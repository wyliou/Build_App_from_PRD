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38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<sst xmlns="http://schemas.openxmlformats.org/spreadsheetml/2006/main" count="243" uniqueCount="100">
  <si>
    <t>COMMERCIAL INVOICE</t>
  </si>
  <si>
    <t>Shipper/Exporter</t>
  </si>
  <si>
    <t>No. &amp; Date of Invoice</t>
  </si>
  <si>
    <t>CIRTEK RESOURCES CORP.</t>
  </si>
  <si>
    <t>9Fl., No. 34, Sec. 3, Pa-Teh Rd. 
Taipei City 105, Taiwan, China
Tel : 886-2-2570-2349 Jasmine Lin</t>
  </si>
  <si>
    <t>Bill To:</t>
  </si>
  <si>
    <t xml:space="preserve"> Payment Term</t>
  </si>
  <si>
    <r>
      <rPr>
        <sz val="10"/>
        <rFont val="Arial"/>
        <charset val="134"/>
      </rPr>
      <t xml:space="preserve"> </t>
    </r>
    <r>
      <rPr>
        <sz val="10"/>
        <rFont val="微软雅黑"/>
        <charset val="134"/>
      </rPr>
      <t>中磊电子（苏州）有限公司</t>
    </r>
    <r>
      <rPr>
        <sz val="10"/>
        <rFont val="Arial"/>
        <charset val="134"/>
      </rPr>
      <t xml:space="preserve"> </t>
    </r>
  </si>
  <si>
    <t>月結150天</t>
  </si>
  <si>
    <t>Sernet (Suzhou)Technologies Corporation</t>
  </si>
  <si>
    <t>Ship To:</t>
  </si>
  <si>
    <t xml:space="preserve"> Trade Term</t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</si>
  <si>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中磊电子（苏州）有限公司</t>
    </r>
    <r>
      <rPr>
        <sz val="10"/>
        <rFont val="Arial"/>
        <charset val="134"/>
      </rPr>
      <t xml:space="preserve"> </t>
    </r>
  </si>
  <si>
    <t>FOB</t>
  </si>
  <si>
    <r>
      <rPr>
        <sz val="10"/>
        <rFont val="Arial"/>
        <charset val="134"/>
      </rPr>
      <t xml:space="preserve">Sernet (Suzhou)Technologies Corporation
</t>
    </r>
    <r>
      <rPr>
        <sz val="10"/>
        <rFont val="宋体"/>
        <charset val="134"/>
      </rPr>
      <t>中國江蘇省蘇州工業區唐莊路</t>
    </r>
    <r>
      <rPr>
        <sz val="10"/>
        <rFont val="Arial"/>
        <charset val="134"/>
      </rPr>
      <t>8</t>
    </r>
    <r>
      <rPr>
        <sz val="10"/>
        <rFont val="宋体"/>
        <charset val="134"/>
      </rPr>
      <t>號</t>
    </r>
    <r>
      <rPr>
        <sz val="10"/>
        <rFont val="Arial"/>
        <charset val="134"/>
      </rPr>
      <t>;No.8,Tangzhuang Road, Suzhou Industrial Park Jiangsu China</t>
    </r>
  </si>
  <si>
    <t>Port of Loading</t>
  </si>
  <si>
    <t>Port of Discharge</t>
  </si>
  <si>
    <t xml:space="preserve"> Remarks:</t>
  </si>
  <si>
    <t>TAIPEI</t>
  </si>
  <si>
    <t>SHANGHAI PUDONG</t>
  </si>
  <si>
    <t>Carrier</t>
  </si>
  <si>
    <t>Sailing on/or About</t>
  </si>
  <si>
    <t>贸易国別或地區：</t>
  </si>
  <si>
    <t>中国台灣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</si>
  <si>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</si>
  <si>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</si>
  <si>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</si>
  <si>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</si>
  <si>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</si>
  <si>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</si>
  <si>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</si>
  <si>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</si>
  <si>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</si>
  <si>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</si>
  <si>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</si>
  <si>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</si>
  <si>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</si>
  <si>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</si>
  <si>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</si>
  <si>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</si>
  <si>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310002W0LT</t>
  </si>
  <si>
    <t>PCS</t>
  </si>
  <si>
    <t>USD</t>
  </si>
  <si>
    <t>THAILAND</t>
  </si>
  <si>
    <t>LITEON</t>
  </si>
  <si>
    <t>境外品牌（其他）</t>
  </si>
  <si>
    <t>LTST-C193KGKT-SR</t>
  </si>
  <si>
    <t>2</t>
  </si>
  <si>
    <t>3</t>
  </si>
  <si>
    <t>31000651LT</t>
  </si>
  <si>
    <t>CHINA</t>
  </si>
  <si>
    <t>LTST-S326TBKFKT</t>
  </si>
  <si>
    <t>4</t>
  </si>
  <si>
    <t>310002P0LT</t>
  </si>
  <si>
    <t>LTST-C193KRKT-SR</t>
  </si>
  <si>
    <t>5</t>
  </si>
  <si>
    <t>6</t>
  </si>
  <si>
    <t>310002Q0LT</t>
  </si>
  <si>
    <t>LTST-C193KFKT-SR</t>
  </si>
  <si>
    <t>7</t>
  </si>
  <si>
    <t>31000300LT</t>
  </si>
  <si>
    <t>LTST-C193TBKT-SR</t>
  </si>
  <si>
    <t>8</t>
  </si>
  <si>
    <t>312000K0LT</t>
  </si>
  <si>
    <t>LTST-C195KGKFKT-SR</t>
  </si>
  <si>
    <t>9</t>
  </si>
  <si>
    <t>10</t>
  </si>
  <si>
    <t>11</t>
  </si>
  <si>
    <t>312000U0LT</t>
  </si>
  <si>
    <t>LTST-C195KGJRKT-SR</t>
  </si>
  <si>
    <t>12</t>
  </si>
  <si>
    <t>310006B9LT</t>
  </si>
  <si>
    <t>LTST-C19HEGBK-C2</t>
  </si>
  <si>
    <t>13</t>
  </si>
  <si>
    <t>14</t>
  </si>
  <si>
    <t>3100064DLT</t>
  </si>
  <si>
    <t>LTST-C19HE1WT</t>
  </si>
  <si>
    <t>15</t>
  </si>
  <si>
    <t>16</t>
  </si>
  <si>
    <t>3100050NLT</t>
  </si>
  <si>
    <t>LTW-C193TS5-RS</t>
  </si>
  <si>
    <t>17</t>
  </si>
  <si>
    <t>57535704LT0</t>
  </si>
  <si>
    <t>LTV-357T-A</t>
  </si>
  <si>
    <t xml:space="preserve">                  TOTAL</t>
  </si>
  <si>
    <t>PACKING LIST</t>
  </si>
  <si>
    <t>No &amp; Date of Invoice</t>
  </si>
  <si>
    <t>9Fl., No. 34, Sec. 3, Pa-Teh Rd. 
Taipei City 105, Taiwan,China
Tel : 886-2-2570-2349 Jasmine Lin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</si>
  <si>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</si>
  <si>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</si>
  <si>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</si>
  <si>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</si>
  <si>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</si>
  <si>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</si>
  <si>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</si>
  <si>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</si>
  <si>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TOTAL</t>
  </si>
  <si>
    <t>件数</t>
  </si>
  <si>
    <t>包装种类</t>
  </si>
  <si>
    <t>纸箱</t>
  </si>
</sst>
</file>

<file path=xl/styles.xml><?xml version="1.0" encoding="utf-8"?>
<styleSheet xmlns="http://schemas.openxmlformats.org/spreadsheetml/2006/main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yyyy/m/d;@"/>
    <numFmt numFmtId="177" formatCode="_ * #,##0_ ;_ * \-#,##0_ ;_ * &quot;-&quot;_ ;_ @_ "/>
    <numFmt numFmtId="178" formatCode="_ * #,##0.00_ ;_ * \-#,##0.00_ ;_ * &quot;-&quot;??_ ;_ @_ "/>
    <numFmt numFmtId="179" formatCode="0.00_ "/>
    <numFmt numFmtId="180" formatCode="0_ "/>
    <numFmt numFmtId="181" formatCode="0.000_ "/>
    <numFmt numFmtId="182" formatCode="0.00_);[Red]\(0.00\)"/>
    <numFmt numFmtId="183" formatCode="#,##0.00_ "/>
    <numFmt numFmtId="184" formatCode="0.0000_);[Red]\(0.0000\)"/>
  </numFmts>
  <fonts count="3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4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sz val="10"/>
      <name val="宋体"/>
      <charset val="134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sz val="10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8" fillId="13" borderId="18" applyNumberFormat="0" applyAlignment="0" applyProtection="0">
      <alignment vertical="center"/>
    </xf>
    <xf numFmtId="0" fontId="29" fillId="13" borderId="14" applyNumberFormat="0" applyAlignment="0" applyProtection="0">
      <alignment vertical="center"/>
    </xf>
    <xf numFmtId="0" fontId="30" fillId="14" borderId="19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0" borderId="0"/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3" fillId="0" borderId="0"/>
    <xf numFmtId="0" fontId="36" fillId="0" borderId="0"/>
    <xf numFmtId="0" fontId="33" fillId="0" borderId="0"/>
  </cellStyleXfs>
  <cellXfs count="174">
    <xf numFmtId="0" fontId="0" fillId="0" borderId="0" xfId="0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0" borderId="4" xfId="31" applyFont="1" applyBorder="1"/>
    <xf numFmtId="0" fontId="5" fillId="3" borderId="3" xfId="0" applyFont="1" applyFill="1" applyBorder="1" applyAlignment="1"/>
    <xf numFmtId="0" fontId="3" fillId="2" borderId="0" xfId="31" applyFont="1" applyFill="1" applyAlignment="1">
      <alignment horizontal="left"/>
    </xf>
    <xf numFmtId="0" fontId="3" fillId="0" borderId="0" xfId="31" applyFont="1"/>
    <xf numFmtId="0" fontId="3" fillId="0" borderId="5" xfId="31" applyFont="1" applyBorder="1"/>
    <xf numFmtId="0" fontId="3" fillId="3" borderId="3" xfId="0" applyFont="1" applyFill="1" applyBorder="1" applyAlignment="1"/>
    <xf numFmtId="0" fontId="3" fillId="0" borderId="3" xfId="52" applyFont="1" applyBorder="1" applyAlignment="1">
      <alignment horizontal="left" vertical="top" wrapText="1"/>
    </xf>
    <xf numFmtId="0" fontId="3" fillId="0" borderId="0" xfId="52" applyFont="1" applyAlignment="1">
      <alignment horizontal="left" vertical="top" wrapText="1"/>
    </xf>
    <xf numFmtId="0" fontId="3" fillId="0" borderId="5" xfId="52" applyFont="1" applyBorder="1" applyAlignment="1">
      <alignment horizontal="left" vertical="top" wrapText="1"/>
    </xf>
    <xf numFmtId="176" fontId="3" fillId="3" borderId="3" xfId="0" applyNumberFormat="1" applyFont="1" applyFill="1" applyBorder="1" applyAlignment="1"/>
    <xf numFmtId="0" fontId="3" fillId="0" borderId="3" xfId="31" applyFont="1" applyBorder="1"/>
    <xf numFmtId="0" fontId="3" fillId="0" borderId="6" xfId="52" applyFont="1" applyBorder="1" applyAlignment="1">
      <alignment horizontal="left"/>
    </xf>
    <xf numFmtId="0" fontId="3" fillId="0" borderId="7" xfId="52" applyFont="1" applyBorder="1"/>
    <xf numFmtId="0" fontId="3" fillId="0" borderId="7" xfId="51" applyFont="1" applyBorder="1"/>
    <xf numFmtId="0" fontId="3" fillId="0" borderId="8" xfId="51" applyFont="1" applyBorder="1"/>
    <xf numFmtId="0" fontId="3" fillId="0" borderId="6" xfId="31" applyFont="1" applyBorder="1"/>
    <xf numFmtId="0" fontId="3" fillId="0" borderId="7" xfId="31" applyFont="1" applyBorder="1"/>
    <xf numFmtId="0" fontId="1" fillId="2" borderId="1" xfId="52" applyFont="1" applyFill="1" applyBorder="1"/>
    <xf numFmtId="0" fontId="3" fillId="2" borderId="2" xfId="31" applyFont="1" applyFill="1" applyBorder="1"/>
    <xf numFmtId="0" fontId="3" fillId="2" borderId="4" xfId="31" applyFont="1" applyFill="1" applyBorder="1"/>
    <xf numFmtId="0" fontId="1" fillId="0" borderId="2" xfId="31" applyFont="1" applyBorder="1"/>
    <xf numFmtId="0" fontId="3" fillId="3" borderId="3" xfId="31" applyFont="1" applyFill="1" applyBorder="1" applyAlignment="1">
      <alignment horizontal="left"/>
    </xf>
    <xf numFmtId="0" fontId="3" fillId="2" borderId="0" xfId="31" applyFont="1" applyFill="1"/>
    <xf numFmtId="0" fontId="3" fillId="2" borderId="5" xfId="31" applyFont="1" applyFill="1" applyBorder="1"/>
    <xf numFmtId="0" fontId="1" fillId="0" borderId="0" xfId="31" applyFont="1"/>
    <xf numFmtId="0" fontId="3" fillId="0" borderId="0" xfId="52" applyFont="1"/>
    <xf numFmtId="0" fontId="3" fillId="2" borderId="3" xfId="31" applyFont="1" applyFill="1" applyBorder="1" applyAlignment="1">
      <alignment vertical="top" wrapText="1"/>
    </xf>
    <xf numFmtId="0" fontId="3" fillId="2" borderId="0" xfId="31" applyFont="1" applyFill="1" applyAlignment="1">
      <alignment vertical="top" wrapText="1"/>
    </xf>
    <xf numFmtId="0" fontId="3" fillId="2" borderId="5" xfId="31" applyFont="1" applyFill="1" applyBorder="1" applyAlignment="1">
      <alignment vertical="top" wrapText="1"/>
    </xf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31" applyFont="1" applyBorder="1"/>
    <xf numFmtId="0" fontId="6" fillId="0" borderId="0" xfId="31" applyFont="1"/>
    <xf numFmtId="0" fontId="7" fillId="0" borderId="0" xfId="31" applyFont="1"/>
    <xf numFmtId="0" fontId="3" fillId="0" borderId="0" xfId="0" applyFont="1" applyAlignment="1"/>
    <xf numFmtId="0" fontId="3" fillId="0" borderId="0" xfId="31" applyFont="1" applyAlignment="1">
      <alignment horizontal="left"/>
    </xf>
    <xf numFmtId="0" fontId="3" fillId="0" borderId="3" xfId="31" applyFont="1" applyBorder="1" applyAlignment="1">
      <alignment horizontal="left" vertical="top" wrapText="1"/>
    </xf>
    <xf numFmtId="0" fontId="3" fillId="0" borderId="0" xfId="31" applyFont="1" applyAlignment="1">
      <alignment horizontal="left" vertical="top" wrapText="1"/>
    </xf>
    <xf numFmtId="0" fontId="3" fillId="0" borderId="5" xfId="31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1" xfId="31" applyFont="1" applyBorder="1"/>
    <xf numFmtId="0" fontId="4" fillId="0" borderId="4" xfId="52" applyFont="1" applyBorder="1"/>
    <xf numFmtId="179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5" xfId="31" applyFont="1" applyBorder="1"/>
    <xf numFmtId="0" fontId="8" fillId="0" borderId="5" xfId="31" applyFont="1" applyBorder="1" applyAlignment="1">
      <alignment horizontal="right"/>
    </xf>
    <xf numFmtId="176" fontId="3" fillId="0" borderId="6" xfId="0" applyNumberFormat="1" applyFont="1" applyBorder="1" applyAlignment="1">
      <alignment horizontal="left"/>
    </xf>
    <xf numFmtId="176" fontId="3" fillId="0" borderId="8" xfId="0" applyNumberFormat="1" applyFont="1" applyBorder="1" applyAlignment="1">
      <alignment horizontal="left"/>
    </xf>
    <xf numFmtId="0" fontId="1" fillId="2" borderId="3" xfId="52" applyFont="1" applyFill="1" applyBorder="1" applyAlignment="1">
      <alignment horizontal="center" vertical="center"/>
    </xf>
    <xf numFmtId="0" fontId="1" fillId="2" borderId="0" xfId="52" applyFont="1" applyFill="1" applyAlignment="1">
      <alignment horizontal="center" vertical="center"/>
    </xf>
    <xf numFmtId="0" fontId="1" fillId="2" borderId="0" xfId="31" applyFont="1" applyFill="1" applyAlignment="1">
      <alignment horizontal="center" vertical="center"/>
    </xf>
    <xf numFmtId="0" fontId="1" fillId="2" borderId="0" xfId="31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0" xfId="0" applyFont="1" applyFill="1" applyAlignment="1">
      <alignment horizontal="center" vertical="center" wrapText="1" shrinkToFit="1"/>
    </xf>
    <xf numFmtId="0" fontId="3" fillId="2" borderId="0" xfId="0" applyFont="1" applyFill="1" applyAlignment="1">
      <alignment horizontal="left" vertical="center" shrinkToFit="1"/>
    </xf>
    <xf numFmtId="180" fontId="3" fillId="3" borderId="0" xfId="0" applyNumberFormat="1" applyFont="1" applyFill="1" applyAlignment="1">
      <alignment horizontal="center" vertical="center" shrinkToFit="1"/>
    </xf>
    <xf numFmtId="181" fontId="3" fillId="3" borderId="0" xfId="0" applyNumberFormat="1" applyFont="1" applyFill="1" applyAlignment="1">
      <alignment horizontal="center" vertical="center" wrapText="1" shrinkToFit="1"/>
    </xf>
    <xf numFmtId="182" fontId="3" fillId="3" borderId="0" xfId="0" applyNumberFormat="1" applyFont="1" applyFill="1" applyAlignment="1">
      <alignment horizontal="center" vertical="center" wrapText="1" shrinkToFit="1"/>
    </xf>
    <xf numFmtId="0" fontId="3" fillId="0" borderId="9" xfId="50" applyFont="1" applyBorder="1" applyAlignment="1">
      <alignment horizontal="center" vertical="center" wrapText="1" shrinkToFit="1"/>
    </xf>
    <xf numFmtId="0" fontId="3" fillId="0" borderId="10" xfId="50" applyFont="1" applyBorder="1" applyAlignment="1">
      <alignment horizontal="center" vertical="center" wrapText="1" shrinkToFit="1"/>
    </xf>
    <xf numFmtId="0" fontId="3" fillId="0" borderId="10" xfId="31" applyFont="1" applyBorder="1" applyAlignment="1">
      <alignment horizontal="center" vertical="center" wrapText="1" shrinkToFit="1"/>
    </xf>
    <xf numFmtId="181" fontId="4" fillId="0" borderId="10" xfId="31" applyNumberFormat="1" applyFont="1" applyBorder="1" applyAlignment="1">
      <alignment horizontal="center" vertical="center" wrapText="1" shrinkToFit="1"/>
    </xf>
    <xf numFmtId="182" fontId="3" fillId="0" borderId="10" xfId="31" applyNumberFormat="1" applyFont="1" applyBorder="1" applyAlignment="1">
      <alignment horizontal="center" vertical="center" wrapText="1" shrinkToFit="1"/>
    </xf>
    <xf numFmtId="180" fontId="1" fillId="3" borderId="3" xfId="31" applyNumberFormat="1" applyFont="1" applyFill="1" applyBorder="1" applyAlignment="1">
      <alignment horizontal="center"/>
    </xf>
    <xf numFmtId="0" fontId="1" fillId="0" borderId="0" xfId="31" applyFont="1" applyAlignment="1">
      <alignment horizontal="left"/>
    </xf>
    <xf numFmtId="0" fontId="1" fillId="0" borderId="0" xfId="31" applyFont="1" applyAlignment="1">
      <alignment horizontal="center"/>
    </xf>
    <xf numFmtId="181" fontId="1" fillId="3" borderId="0" xfId="31" applyNumberFormat="1" applyFont="1" applyFill="1" applyAlignment="1">
      <alignment horizontal="center"/>
    </xf>
    <xf numFmtId="0" fontId="1" fillId="3" borderId="0" xfId="31" applyFont="1" applyFill="1" applyAlignment="1">
      <alignment horizontal="center"/>
    </xf>
    <xf numFmtId="182" fontId="1" fillId="3" borderId="0" xfId="31" applyNumberFormat="1" applyFont="1" applyFill="1" applyAlignment="1">
      <alignment horizontal="center"/>
    </xf>
    <xf numFmtId="0" fontId="0" fillId="0" borderId="3" xfId="0" applyBorder="1">
      <alignment vertical="center"/>
    </xf>
    <xf numFmtId="0" fontId="5" fillId="3" borderId="0" xfId="31" applyFont="1" applyFill="1" applyAlignment="1">
      <alignment horizontal="center" vertical="center"/>
    </xf>
    <xf numFmtId="0" fontId="3" fillId="3" borderId="0" xfId="31" applyFont="1" applyFill="1"/>
    <xf numFmtId="0" fontId="5" fillId="3" borderId="0" xfId="3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3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9" fillId="0" borderId="5" xfId="0" applyFont="1" applyBorder="1" applyAlignment="1"/>
    <xf numFmtId="0" fontId="3" fillId="0" borderId="0" xfId="31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82" fontId="1" fillId="0" borderId="10" xfId="31" applyNumberFormat="1" applyFont="1" applyBorder="1" applyAlignment="1">
      <alignment horizontal="center" vertical="center" wrapText="1" shrinkToFit="1"/>
    </xf>
    <xf numFmtId="182" fontId="1" fillId="0" borderId="11" xfId="31" applyNumberFormat="1" applyFont="1" applyBorder="1" applyAlignment="1">
      <alignment horizontal="center" vertical="center" wrapText="1" shrinkToFit="1"/>
    </xf>
    <xf numFmtId="182" fontId="1" fillId="3" borderId="5" xfId="3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>
      <alignment vertical="center"/>
    </xf>
    <xf numFmtId="0" fontId="13" fillId="0" borderId="1" xfId="52" applyFont="1" applyBorder="1" applyAlignment="1">
      <alignment horizontal="center"/>
    </xf>
    <xf numFmtId="0" fontId="13" fillId="0" borderId="2" xfId="52" applyFont="1" applyBorder="1" applyAlignment="1">
      <alignment horizontal="center"/>
    </xf>
    <xf numFmtId="0" fontId="1" fillId="2" borderId="2" xfId="52" applyFont="1" applyFill="1" applyBorder="1"/>
    <xf numFmtId="0" fontId="3" fillId="0" borderId="2" xfId="52" applyFont="1" applyBorder="1"/>
    <xf numFmtId="0" fontId="3" fillId="2" borderId="2" xfId="52" applyFont="1" applyFill="1" applyBorder="1"/>
    <xf numFmtId="0" fontId="3" fillId="0" borderId="5" xfId="52" applyFont="1" applyBorder="1"/>
    <xf numFmtId="0" fontId="3" fillId="2" borderId="0" xfId="52" applyFont="1" applyFill="1"/>
    <xf numFmtId="49" fontId="3" fillId="2" borderId="0" xfId="52" applyNumberFormat="1" applyFont="1" applyFill="1" applyAlignment="1">
      <alignment horizontal="center"/>
    </xf>
    <xf numFmtId="49" fontId="3" fillId="0" borderId="0" xfId="52" applyNumberFormat="1" applyFont="1" applyAlignment="1">
      <alignment horizontal="center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176" fontId="3" fillId="2" borderId="0" xfId="0" applyNumberFormat="1" applyFont="1" applyFill="1" applyAlignment="1"/>
    <xf numFmtId="176" fontId="3" fillId="0" borderId="0" xfId="0" applyNumberFormat="1" applyFont="1" applyAlignment="1">
      <alignment horizontal="left"/>
    </xf>
    <xf numFmtId="0" fontId="3" fillId="0" borderId="3" xfId="52" applyFont="1" applyBorder="1"/>
    <xf numFmtId="0" fontId="3" fillId="0" borderId="7" xfId="52" applyFont="1" applyBorder="1" applyAlignment="1">
      <alignment horizontal="left"/>
    </xf>
    <xf numFmtId="0" fontId="3" fillId="0" borderId="8" xfId="52" applyFont="1" applyBorder="1"/>
    <xf numFmtId="0" fontId="3" fillId="0" borderId="6" xfId="52" applyFont="1" applyBorder="1"/>
    <xf numFmtId="0" fontId="3" fillId="2" borderId="4" xfId="52" applyFont="1" applyFill="1" applyBorder="1"/>
    <xf numFmtId="0" fontId="1" fillId="0" borderId="1" xfId="52" applyFont="1" applyBorder="1"/>
    <xf numFmtId="0" fontId="1" fillId="2" borderId="0" xfId="31" applyFont="1" applyFill="1" applyAlignment="1">
      <alignment horizontal="left"/>
    </xf>
    <xf numFmtId="0" fontId="1" fillId="2" borderId="5" xfId="31" applyFont="1" applyFill="1" applyBorder="1" applyAlignment="1">
      <alignment horizontal="left"/>
    </xf>
    <xf numFmtId="0" fontId="14" fillId="0" borderId="3" xfId="52" applyFont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3" xfId="52" applyFont="1" applyBorder="1" applyAlignment="1">
      <alignment horizontal="center"/>
    </xf>
    <xf numFmtId="0" fontId="3" fillId="0" borderId="0" xfId="52" applyFont="1" applyAlignment="1">
      <alignment horizontal="center"/>
    </xf>
    <xf numFmtId="0" fontId="3" fillId="0" borderId="4" xfId="52" applyFont="1" applyBorder="1"/>
    <xf numFmtId="0" fontId="3" fillId="2" borderId="0" xfId="0" applyFont="1" applyFill="1" applyAlignment="1"/>
    <xf numFmtId="0" fontId="3" fillId="0" borderId="6" xfId="31" applyFont="1" applyBorder="1" applyAlignment="1">
      <alignment horizontal="left" vertical="top" wrapText="1"/>
    </xf>
    <xf numFmtId="0" fontId="3" fillId="0" borderId="7" xfId="31" applyFont="1" applyBorder="1" applyAlignment="1">
      <alignment horizontal="left" vertical="top"/>
    </xf>
    <xf numFmtId="0" fontId="3" fillId="0" borderId="8" xfId="31" applyFont="1" applyBorder="1" applyAlignment="1">
      <alignment horizontal="left" vertical="top"/>
    </xf>
    <xf numFmtId="0" fontId="1" fillId="0" borderId="0" xfId="52" applyFont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5" fillId="0" borderId="0" xfId="52" applyFont="1"/>
    <xf numFmtId="0" fontId="5" fillId="0" borderId="6" xfId="0" applyFont="1" applyBorder="1" applyAlignment="1"/>
    <xf numFmtId="0" fontId="1" fillId="0" borderId="3" xfId="52" applyFont="1" applyBorder="1"/>
    <xf numFmtId="0" fontId="3" fillId="0" borderId="8" xfId="0" applyFont="1" applyBorder="1" applyAlignment="1">
      <alignment horizontal="center"/>
    </xf>
    <xf numFmtId="0" fontId="5" fillId="3" borderId="6" xfId="52" applyFont="1" applyFill="1" applyBorder="1"/>
    <xf numFmtId="0" fontId="14" fillId="3" borderId="7" xfId="52" applyFont="1" applyFill="1" applyBorder="1"/>
    <xf numFmtId="0" fontId="1" fillId="0" borderId="3" xfId="52" applyFont="1" applyBorder="1" applyAlignment="1">
      <alignment horizontal="center" vertical="center"/>
    </xf>
    <xf numFmtId="0" fontId="1" fillId="0" borderId="0" xfId="52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183" fontId="3" fillId="3" borderId="0" xfId="0" applyNumberFormat="1" applyFont="1" applyFill="1" applyAlignment="1">
      <alignment horizontal="center" vertical="center" wrapText="1" shrinkToFit="1"/>
    </xf>
    <xf numFmtId="184" fontId="3" fillId="3" borderId="0" xfId="0" applyNumberFormat="1" applyFont="1" applyFill="1" applyAlignment="1">
      <alignment horizontal="center" vertical="center" wrapText="1" shrinkToFit="1"/>
    </xf>
    <xf numFmtId="0" fontId="12" fillId="0" borderId="3" xfId="0" applyFont="1" applyBorder="1">
      <alignment vertical="center"/>
    </xf>
    <xf numFmtId="0" fontId="3" fillId="0" borderId="12" xfId="52" applyFont="1" applyBorder="1"/>
    <xf numFmtId="0" fontId="3" fillId="0" borderId="13" xfId="52" applyFont="1" applyBorder="1"/>
    <xf numFmtId="0" fontId="3" fillId="0" borderId="13" xfId="52" applyFont="1" applyBorder="1" applyAlignment="1">
      <alignment horizontal="left"/>
    </xf>
    <xf numFmtId="181" fontId="1" fillId="3" borderId="13" xfId="52" applyNumberFormat="1" applyFont="1" applyFill="1" applyBorder="1" applyAlignment="1">
      <alignment horizontal="center"/>
    </xf>
    <xf numFmtId="0" fontId="1" fillId="0" borderId="13" xfId="52" applyFont="1" applyBorder="1"/>
    <xf numFmtId="184" fontId="1" fillId="0" borderId="13" xfId="52" applyNumberFormat="1" applyFont="1" applyBorder="1" applyAlignment="1">
      <alignment horizontal="center"/>
    </xf>
    <xf numFmtId="0" fontId="13" fillId="0" borderId="4" xfId="52" applyFont="1" applyBorder="1" applyAlignment="1">
      <alignment horizontal="center"/>
    </xf>
    <xf numFmtId="0" fontId="9" fillId="0" borderId="2" xfId="0" applyFont="1" applyBorder="1" applyAlignment="1"/>
    <xf numFmtId="0" fontId="9" fillId="0" borderId="0" xfId="0" applyFont="1" applyAlignment="1"/>
    <xf numFmtId="0" fontId="9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15" fillId="0" borderId="0" xfId="0" applyFont="1">
      <alignment vertical="center"/>
    </xf>
    <xf numFmtId="0" fontId="15" fillId="0" borderId="5" xfId="0" applyFont="1" applyBorder="1">
      <alignment vertical="center"/>
    </xf>
    <xf numFmtId="0" fontId="4" fillId="0" borderId="7" xfId="31" applyFont="1" applyBorder="1"/>
    <xf numFmtId="0" fontId="9" fillId="0" borderId="7" xfId="0" applyFont="1" applyBorder="1" applyAlignme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 shrinkToFit="1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82" fontId="1" fillId="3" borderId="13" xfId="52" applyNumberFormat="1" applyFont="1" applyFill="1" applyBorder="1" applyAlignment="1">
      <alignment horizontal="center"/>
    </xf>
    <xf numFmtId="0" fontId="11" fillId="0" borderId="7" xfId="0" applyFont="1" applyBorder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Sheet1_1" xfId="50"/>
    <cellStyle name="常规_啟德一般貿易" xfId="51"/>
    <cellStyle name="一般_OMRON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349250</xdr:colOff>
      <xdr:row>35</xdr:row>
      <xdr:rowOff>273050</xdr:rowOff>
    </xdr:from>
    <xdr:to>
      <xdr:col>13</xdr:col>
      <xdr:colOff>251385</xdr:colOff>
      <xdr:row>39</xdr:row>
      <xdr:rowOff>104962</xdr:rowOff>
    </xdr:to>
    <xdr:pic>
      <xdr:nvPicPr>
        <xdr:cNvPr id="2" name="图片 1" descr="微信图片_2022110815195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26450" y="9290050"/>
          <a:ext cx="2553970" cy="87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36</xdr:row>
      <xdr:rowOff>0</xdr:rowOff>
    </xdr:from>
    <xdr:to>
      <xdr:col>9</xdr:col>
      <xdr:colOff>1076885</xdr:colOff>
      <xdr:row>41</xdr:row>
      <xdr:rowOff>149412</xdr:rowOff>
    </xdr:to>
    <xdr:pic>
      <xdr:nvPicPr>
        <xdr:cNvPr id="2" name="图片 1" descr="微信图片_2022110815195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59120" y="6804025"/>
          <a:ext cx="2447925" cy="100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8"/>
  <sheetViews>
    <sheetView tabSelected="1" workbookViewId="0">
      <selection activeCell="A1" sqref="A1:O1"/>
    </sheetView>
  </sheetViews>
  <sheetFormatPr defaultColWidth="9" defaultRowHeight="22.5"/>
  <cols>
    <col min="1" max="1" width="9" style="98"/>
    <col min="2" max="2" width="15.9083333333333" style="98" customWidth="1"/>
    <col min="3" max="3" width="16.0916666666667" style="98" customWidth="1"/>
    <col min="4" max="4" width="8.90833333333333" style="98" customWidth="1"/>
    <col min="5" max="5" width="20.0916666666667" style="98" customWidth="1"/>
    <col min="6" max="9" width="9" style="98"/>
    <col min="10" max="10" width="11.5416666666667" style="98" customWidth="1"/>
    <col min="11" max="11" width="5.26666666666667" style="98" customWidth="1"/>
    <col min="12" max="13" width="9" style="98"/>
    <col min="14" max="14" width="22.8166666666667" style="98" customWidth="1"/>
    <col min="15" max="16384" width="9" style="98"/>
  </cols>
  <sheetData>
    <row r="1" ht="23.25" spans="1:15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54"/>
    </row>
    <row r="2" ht="13.5" spans="1:15">
      <c r="A2" s="25" t="s">
        <v>1</v>
      </c>
      <c r="B2" s="101"/>
      <c r="C2" s="102"/>
      <c r="D2" s="8"/>
      <c r="E2" s="25" t="s">
        <v>2</v>
      </c>
      <c r="F2" s="103"/>
      <c r="G2" s="103"/>
      <c r="H2" s="102"/>
      <c r="I2" s="102"/>
      <c r="J2" s="155"/>
      <c r="K2" s="155"/>
      <c r="L2" s="155"/>
      <c r="M2" s="155"/>
      <c r="N2" s="155"/>
      <c r="O2" s="88"/>
    </row>
    <row r="3" ht="13.5" spans="1:15">
      <c r="A3" s="9" t="s">
        <v>3</v>
      </c>
      <c r="B3" s="10"/>
      <c r="C3" s="33"/>
      <c r="D3" s="104"/>
      <c r="E3" s="13">
        <v>2507172</v>
      </c>
      <c r="F3" s="105"/>
      <c r="G3" s="106"/>
      <c r="H3" s="107"/>
      <c r="I3" s="33"/>
      <c r="J3" s="156"/>
      <c r="K3" s="156"/>
      <c r="L3" s="156"/>
      <c r="M3" s="156"/>
      <c r="N3" s="156"/>
      <c r="O3" s="88"/>
    </row>
    <row r="4" ht="13.5" spans="1:15">
      <c r="A4" s="108" t="s">
        <v>4</v>
      </c>
      <c r="B4" s="109"/>
      <c r="C4" s="109"/>
      <c r="D4" s="110"/>
      <c r="E4" s="17">
        <v>45862</v>
      </c>
      <c r="F4" s="111"/>
      <c r="G4" s="111"/>
      <c r="H4" s="112"/>
      <c r="I4" s="33"/>
      <c r="J4" s="156"/>
      <c r="K4" s="156"/>
      <c r="L4" s="156"/>
      <c r="M4" s="156"/>
      <c r="N4" s="156"/>
      <c r="O4" s="88"/>
    </row>
    <row r="5" ht="13.5" spans="1:15">
      <c r="A5" s="108"/>
      <c r="B5" s="109"/>
      <c r="C5" s="109"/>
      <c r="D5" s="110"/>
      <c r="E5" s="113"/>
      <c r="F5" s="33"/>
      <c r="G5" s="33"/>
      <c r="H5" s="33"/>
      <c r="I5" s="33"/>
      <c r="J5" s="156"/>
      <c r="K5" s="156"/>
      <c r="L5" s="156"/>
      <c r="M5" s="156"/>
      <c r="N5" s="156"/>
      <c r="O5" s="88"/>
    </row>
    <row r="6" ht="13.5" spans="1:15">
      <c r="A6" s="19"/>
      <c r="B6" s="114"/>
      <c r="C6" s="20"/>
      <c r="D6" s="115"/>
      <c r="E6" s="116"/>
      <c r="F6" s="20"/>
      <c r="G6" s="20"/>
      <c r="H6" s="20"/>
      <c r="I6" s="20"/>
      <c r="J6" s="157"/>
      <c r="K6" s="157"/>
      <c r="L6" s="157"/>
      <c r="M6" s="157"/>
      <c r="N6" s="157"/>
      <c r="O6" s="158"/>
    </row>
    <row r="7" ht="13.5" spans="1:15">
      <c r="A7" s="25" t="s">
        <v>5</v>
      </c>
      <c r="B7" s="101"/>
      <c r="C7" s="103"/>
      <c r="D7" s="117"/>
      <c r="E7" s="118" t="s">
        <v>6</v>
      </c>
      <c r="F7" s="102"/>
      <c r="G7" s="102"/>
      <c r="H7" s="102"/>
      <c r="I7" s="102"/>
      <c r="J7" s="159"/>
      <c r="K7" s="160"/>
      <c r="L7" s="160"/>
      <c r="M7" s="160"/>
      <c r="N7" s="160"/>
      <c r="O7" s="161"/>
    </row>
    <row r="8" ht="16.5" spans="1:15">
      <c r="A8" s="29" t="s">
        <v>7</v>
      </c>
      <c r="B8" s="10"/>
      <c r="C8" s="119"/>
      <c r="D8" s="120"/>
      <c r="E8" s="121" t="s">
        <v>8</v>
      </c>
      <c r="F8" s="33"/>
      <c r="G8" s="33"/>
      <c r="H8" s="33"/>
      <c r="I8" s="33"/>
      <c r="J8" s="160"/>
      <c r="K8" s="160"/>
      <c r="L8" s="160"/>
      <c r="M8" s="160"/>
      <c r="N8" s="160"/>
      <c r="O8" s="161"/>
    </row>
    <row r="9" ht="13.5" spans="1:15">
      <c r="A9" s="122" t="s">
        <v>9</v>
      </c>
      <c r="B9" s="123"/>
      <c r="C9" s="123"/>
      <c r="D9" s="124"/>
      <c r="E9" s="125"/>
      <c r="F9" s="126"/>
      <c r="G9" s="126"/>
      <c r="H9" s="126"/>
      <c r="I9" s="126"/>
      <c r="J9" s="162"/>
      <c r="K9" s="162"/>
      <c r="L9" s="162"/>
      <c r="M9" s="162"/>
      <c r="N9" s="162"/>
      <c r="O9" s="163"/>
    </row>
    <row r="10" ht="13.5" spans="1:15">
      <c r="A10" s="122"/>
      <c r="B10" s="123"/>
      <c r="C10" s="123"/>
      <c r="D10" s="124"/>
      <c r="E10" s="113"/>
      <c r="F10" s="33"/>
      <c r="G10" s="33"/>
      <c r="H10" s="33"/>
      <c r="I10" s="33"/>
      <c r="J10" s="162"/>
      <c r="K10" s="162"/>
      <c r="L10" s="162"/>
      <c r="M10" s="162"/>
      <c r="N10" s="162"/>
      <c r="O10" s="163"/>
    </row>
    <row r="11" ht="13.5" spans="1:15">
      <c r="A11" s="25" t="s">
        <v>10</v>
      </c>
      <c r="B11" s="102"/>
      <c r="C11" s="102"/>
      <c r="D11" s="127"/>
      <c r="E11" s="25" t="s">
        <v>11</v>
      </c>
      <c r="F11" s="103"/>
      <c r="G11" s="103"/>
      <c r="H11" s="103"/>
      <c r="I11" s="103"/>
      <c r="J11" s="102"/>
      <c r="K11" s="102"/>
      <c r="L11" s="102"/>
      <c r="M11" s="102"/>
      <c r="N11" s="102"/>
      <c r="O11" s="127"/>
    </row>
    <row r="12" ht="13.5" spans="1:15">
      <c r="A12" s="29" t="s">
        <v>12</v>
      </c>
      <c r="B12" s="43"/>
      <c r="C12" s="43"/>
      <c r="D12" s="104"/>
      <c r="E12" s="13" t="s">
        <v>13</v>
      </c>
      <c r="F12" s="128"/>
      <c r="G12" s="128"/>
      <c r="H12" s="128"/>
      <c r="I12" s="128"/>
      <c r="J12" s="156"/>
      <c r="K12" s="156"/>
      <c r="L12" s="156"/>
      <c r="M12" s="156"/>
      <c r="N12" s="156"/>
      <c r="O12" s="88"/>
    </row>
    <row r="13" ht="45.5" customHeight="1" spans="1:15">
      <c r="A13" s="129" t="s">
        <v>14</v>
      </c>
      <c r="B13" s="130"/>
      <c r="C13" s="130"/>
      <c r="D13" s="131"/>
      <c r="E13" s="116"/>
      <c r="F13" s="20"/>
      <c r="G13" s="20"/>
      <c r="H13" s="20"/>
      <c r="I13" s="164"/>
      <c r="J13" s="156"/>
      <c r="K13" s="156"/>
      <c r="L13" s="156"/>
      <c r="M13" s="156"/>
      <c r="N13" s="156"/>
      <c r="O13" s="158"/>
    </row>
    <row r="14" ht="13.5" spans="1:15">
      <c r="A14" s="118" t="s">
        <v>15</v>
      </c>
      <c r="B14" s="102"/>
      <c r="C14" s="118" t="s">
        <v>16</v>
      </c>
      <c r="D14" s="127"/>
      <c r="E14" s="132" t="s">
        <v>17</v>
      </c>
      <c r="F14" s="11"/>
      <c r="G14" s="11"/>
      <c r="H14" s="11"/>
      <c r="I14" s="33"/>
      <c r="J14" s="155"/>
      <c r="K14" s="155"/>
      <c r="L14" s="155"/>
      <c r="M14" s="155"/>
      <c r="N14" s="155"/>
      <c r="O14" s="88"/>
    </row>
    <row r="15" ht="13.5" spans="1:15">
      <c r="A15" s="133" t="s">
        <v>18</v>
      </c>
      <c r="B15" s="134"/>
      <c r="C15" s="133" t="s">
        <v>19</v>
      </c>
      <c r="D15" s="134"/>
      <c r="E15" s="135"/>
      <c r="F15" s="33"/>
      <c r="G15" s="33"/>
      <c r="H15" s="33"/>
      <c r="I15" s="33"/>
      <c r="J15" s="156"/>
      <c r="K15" s="156"/>
      <c r="L15" s="156"/>
      <c r="M15" s="156"/>
      <c r="N15" s="156"/>
      <c r="O15" s="88"/>
    </row>
    <row r="16" ht="13.5" spans="1:15">
      <c r="A16" s="37"/>
      <c r="B16" s="38"/>
      <c r="C16" s="136"/>
      <c r="D16" s="115"/>
      <c r="E16" s="135"/>
      <c r="F16" s="42"/>
      <c r="G16" s="33"/>
      <c r="H16" s="33"/>
      <c r="I16" s="33"/>
      <c r="J16" s="156"/>
      <c r="K16" s="156"/>
      <c r="L16" s="156"/>
      <c r="M16" s="156"/>
      <c r="N16" s="156"/>
      <c r="O16" s="88"/>
    </row>
    <row r="17" ht="13.5" spans="1:15">
      <c r="A17" s="118" t="s">
        <v>20</v>
      </c>
      <c r="B17" s="127"/>
      <c r="C17" s="137" t="s">
        <v>21</v>
      </c>
      <c r="D17" s="56"/>
      <c r="E17" s="135"/>
      <c r="F17" s="42"/>
      <c r="G17" s="33"/>
      <c r="H17" s="33"/>
      <c r="I17" s="33"/>
      <c r="J17" s="156"/>
      <c r="K17" s="156"/>
      <c r="L17" s="156"/>
      <c r="M17" s="156"/>
      <c r="N17" s="156"/>
      <c r="O17" s="88"/>
    </row>
    <row r="18" ht="13.5" spans="1:15">
      <c r="A18" s="52"/>
      <c r="B18" s="138"/>
      <c r="C18" s="57"/>
      <c r="D18" s="58"/>
      <c r="E18" s="139" t="s">
        <v>22</v>
      </c>
      <c r="F18" s="140" t="s">
        <v>23</v>
      </c>
      <c r="G18" s="20"/>
      <c r="H18" s="20"/>
      <c r="I18" s="20"/>
      <c r="J18" s="165"/>
      <c r="K18" s="156"/>
      <c r="L18" s="156"/>
      <c r="M18" s="156"/>
      <c r="N18" s="156"/>
      <c r="O18" s="88"/>
    </row>
    <row r="19" ht="38.25" spans="1:15">
      <c r="A19" s="141" t="s">
        <v>24</v>
      </c>
      <c r="B19" s="60" t="s">
        <v>25</v>
      </c>
      <c r="C19" s="60" t="s">
        <v>26</v>
      </c>
      <c r="D19" s="142" t="s">
        <v>27</v>
      </c>
      <c r="E19" s="60" t="s">
        <v>28</v>
      </c>
      <c r="F19" s="60" t="s">
        <v>29</v>
      </c>
      <c r="G19" s="60" t="s">
        <v>30</v>
      </c>
      <c r="H19" s="60" t="s">
        <v>31</v>
      </c>
      <c r="I19" s="60" t="s">
        <v>32</v>
      </c>
      <c r="J19" s="166" t="s">
        <v>33</v>
      </c>
      <c r="K19" s="166" t="s">
        <v>34</v>
      </c>
      <c r="L19" s="167" t="s">
        <v>35</v>
      </c>
      <c r="M19" s="167" t="s">
        <v>36</v>
      </c>
      <c r="N19" s="167" t="s">
        <v>37</v>
      </c>
      <c r="O19" s="168" t="s">
        <v>38</v>
      </c>
    </row>
    <row r="20" ht="24" spans="1:15">
      <c r="A20" s="143" t="s">
        <v>39</v>
      </c>
      <c r="B20" s="64" t="s">
        <v>40</v>
      </c>
      <c r="C20" s="64">
        <v>2250301637</v>
      </c>
      <c r="D20" s="144"/>
      <c r="E20" s="64">
        <v>17000</v>
      </c>
      <c r="F20" s="145" t="s">
        <v>41</v>
      </c>
      <c r="G20" s="146">
        <v>0.00801</v>
      </c>
      <c r="H20" s="64" t="s">
        <v>42</v>
      </c>
      <c r="I20" s="68">
        <f t="shared" ref="I20:I24" si="0">ROUND(E20*G20,2)</f>
        <v>136.17</v>
      </c>
      <c r="J20" s="64" t="s">
        <v>43</v>
      </c>
      <c r="K20" s="64"/>
      <c r="L20" s="64" t="s">
        <v>44</v>
      </c>
      <c r="M20" s="169" t="s">
        <v>45</v>
      </c>
      <c r="N20" s="64" t="s">
        <v>46</v>
      </c>
      <c r="O20" s="64"/>
    </row>
    <row r="21" ht="24" spans="1:15">
      <c r="A21" s="143" t="s">
        <v>47</v>
      </c>
      <c r="B21" s="64" t="s">
        <v>40</v>
      </c>
      <c r="C21" s="64">
        <v>2250302667</v>
      </c>
      <c r="D21" s="144"/>
      <c r="E21" s="64">
        <v>8000</v>
      </c>
      <c r="F21" s="145" t="s">
        <v>41</v>
      </c>
      <c r="G21" s="146">
        <v>0.00801</v>
      </c>
      <c r="H21" s="64" t="s">
        <v>42</v>
      </c>
      <c r="I21" s="68">
        <f t="shared" si="0"/>
        <v>64.08</v>
      </c>
      <c r="J21" s="64" t="s">
        <v>43</v>
      </c>
      <c r="K21" s="64"/>
      <c r="L21" s="64" t="s">
        <v>44</v>
      </c>
      <c r="M21" s="169" t="s">
        <v>45</v>
      </c>
      <c r="N21" s="64" t="s">
        <v>46</v>
      </c>
      <c r="O21" s="64"/>
    </row>
    <row r="22" ht="24" spans="1:15">
      <c r="A22" s="143" t="s">
        <v>48</v>
      </c>
      <c r="B22" s="64" t="s">
        <v>49</v>
      </c>
      <c r="C22" s="64">
        <v>2250303919</v>
      </c>
      <c r="D22" s="144"/>
      <c r="E22" s="64">
        <v>3000</v>
      </c>
      <c r="F22" s="145" t="s">
        <v>41</v>
      </c>
      <c r="G22" s="146">
        <v>0.0293</v>
      </c>
      <c r="H22" s="64" t="s">
        <v>42</v>
      </c>
      <c r="I22" s="68">
        <f t="shared" si="0"/>
        <v>87.9</v>
      </c>
      <c r="J22" s="64" t="s">
        <v>50</v>
      </c>
      <c r="K22" s="64"/>
      <c r="L22" s="64" t="s">
        <v>44</v>
      </c>
      <c r="M22" s="169" t="s">
        <v>45</v>
      </c>
      <c r="N22" s="64" t="s">
        <v>51</v>
      </c>
      <c r="O22" s="64"/>
    </row>
    <row r="23" ht="24" spans="1:15">
      <c r="A23" s="143" t="s">
        <v>52</v>
      </c>
      <c r="B23" s="64" t="s">
        <v>53</v>
      </c>
      <c r="C23" s="64">
        <v>2250303582</v>
      </c>
      <c r="D23" s="144"/>
      <c r="E23" s="64">
        <v>6000</v>
      </c>
      <c r="F23" s="145" t="s">
        <v>41</v>
      </c>
      <c r="G23" s="146">
        <v>0.00812</v>
      </c>
      <c r="H23" s="64" t="s">
        <v>42</v>
      </c>
      <c r="I23" s="68">
        <f t="shared" si="0"/>
        <v>48.72</v>
      </c>
      <c r="J23" s="64" t="s">
        <v>50</v>
      </c>
      <c r="K23" s="64"/>
      <c r="L23" s="64" t="s">
        <v>44</v>
      </c>
      <c r="M23" s="169" t="s">
        <v>45</v>
      </c>
      <c r="N23" s="64" t="s">
        <v>54</v>
      </c>
      <c r="O23" s="64"/>
    </row>
    <row r="24" ht="24" spans="1:15">
      <c r="A24" s="143" t="s">
        <v>55</v>
      </c>
      <c r="B24" s="64" t="s">
        <v>53</v>
      </c>
      <c r="C24" s="64">
        <v>2250400966</v>
      </c>
      <c r="D24" s="144"/>
      <c r="E24" s="64">
        <v>14000</v>
      </c>
      <c r="F24" s="145" t="s">
        <v>41</v>
      </c>
      <c r="G24" s="146">
        <v>0.00812</v>
      </c>
      <c r="H24" s="64" t="s">
        <v>42</v>
      </c>
      <c r="I24" s="68">
        <f t="shared" si="0"/>
        <v>113.68</v>
      </c>
      <c r="J24" s="64" t="s">
        <v>50</v>
      </c>
      <c r="K24" s="64"/>
      <c r="L24" s="64" t="s">
        <v>44</v>
      </c>
      <c r="M24" s="169" t="s">
        <v>45</v>
      </c>
      <c r="N24" s="64" t="s">
        <v>54</v>
      </c>
      <c r="O24" s="64"/>
    </row>
    <row r="25" ht="24" spans="1:15">
      <c r="A25" s="143" t="s">
        <v>56</v>
      </c>
      <c r="B25" s="64" t="s">
        <v>57</v>
      </c>
      <c r="C25" s="64">
        <v>2250200121</v>
      </c>
      <c r="D25" s="144"/>
      <c r="E25" s="64">
        <v>10000</v>
      </c>
      <c r="F25" s="145" t="s">
        <v>41</v>
      </c>
      <c r="G25" s="146">
        <v>0.00952</v>
      </c>
      <c r="H25" s="64" t="s">
        <v>42</v>
      </c>
      <c r="I25" s="68">
        <f t="shared" ref="I25:I30" si="1">ROUND(E25*G25,2)</f>
        <v>95.2</v>
      </c>
      <c r="J25" s="64" t="s">
        <v>50</v>
      </c>
      <c r="K25" s="64"/>
      <c r="L25" s="64" t="s">
        <v>44</v>
      </c>
      <c r="M25" s="169" t="s">
        <v>45</v>
      </c>
      <c r="N25" s="64" t="s">
        <v>58</v>
      </c>
      <c r="O25" s="64"/>
    </row>
    <row r="26" ht="24" spans="1:15">
      <c r="A26" s="143" t="s">
        <v>59</v>
      </c>
      <c r="B26" s="64" t="s">
        <v>60</v>
      </c>
      <c r="C26" s="64">
        <v>2250403557</v>
      </c>
      <c r="D26" s="144"/>
      <c r="E26" s="64">
        <v>20000</v>
      </c>
      <c r="F26" s="145" t="s">
        <v>41</v>
      </c>
      <c r="G26" s="146">
        <v>0.0123</v>
      </c>
      <c r="H26" s="64" t="s">
        <v>42</v>
      </c>
      <c r="I26" s="68">
        <f t="shared" si="1"/>
        <v>246</v>
      </c>
      <c r="J26" s="64" t="s">
        <v>50</v>
      </c>
      <c r="K26" s="64"/>
      <c r="L26" s="64" t="s">
        <v>44</v>
      </c>
      <c r="M26" s="169" t="s">
        <v>45</v>
      </c>
      <c r="N26" s="64" t="s">
        <v>61</v>
      </c>
      <c r="O26" s="64"/>
    </row>
    <row r="27" ht="24" spans="1:15">
      <c r="A27" s="143" t="s">
        <v>62</v>
      </c>
      <c r="B27" s="64" t="s">
        <v>63</v>
      </c>
      <c r="C27" s="64">
        <v>2250301637</v>
      </c>
      <c r="D27" s="144"/>
      <c r="E27" s="64">
        <v>8000</v>
      </c>
      <c r="F27" s="145" t="s">
        <v>41</v>
      </c>
      <c r="G27" s="146">
        <v>0.01995</v>
      </c>
      <c r="H27" s="64" t="s">
        <v>42</v>
      </c>
      <c r="I27" s="68">
        <f t="shared" si="1"/>
        <v>159.6</v>
      </c>
      <c r="J27" s="64" t="s">
        <v>50</v>
      </c>
      <c r="K27" s="64"/>
      <c r="L27" s="64" t="s">
        <v>44</v>
      </c>
      <c r="M27" s="169" t="s">
        <v>45</v>
      </c>
      <c r="N27" s="64" t="s">
        <v>64</v>
      </c>
      <c r="O27" s="64"/>
    </row>
    <row r="28" ht="24" spans="1:15">
      <c r="A28" s="143" t="s">
        <v>65</v>
      </c>
      <c r="B28" s="64" t="s">
        <v>63</v>
      </c>
      <c r="C28" s="64">
        <v>2250303220</v>
      </c>
      <c r="D28" s="144"/>
      <c r="E28" s="64">
        <v>36000</v>
      </c>
      <c r="F28" s="145" t="s">
        <v>41</v>
      </c>
      <c r="G28" s="146">
        <v>0.01995</v>
      </c>
      <c r="H28" s="64" t="s">
        <v>42</v>
      </c>
      <c r="I28" s="68">
        <f t="shared" si="1"/>
        <v>718.2</v>
      </c>
      <c r="J28" s="64" t="s">
        <v>50</v>
      </c>
      <c r="K28" s="64"/>
      <c r="L28" s="64" t="s">
        <v>44</v>
      </c>
      <c r="M28" s="169" t="s">
        <v>45</v>
      </c>
      <c r="N28" s="64" t="s">
        <v>64</v>
      </c>
      <c r="O28" s="64"/>
    </row>
    <row r="29" ht="24" spans="1:15">
      <c r="A29" s="143" t="s">
        <v>66</v>
      </c>
      <c r="B29" s="64" t="s">
        <v>63</v>
      </c>
      <c r="C29" s="64">
        <v>2250303582</v>
      </c>
      <c r="D29" s="144"/>
      <c r="E29" s="64">
        <v>12000</v>
      </c>
      <c r="F29" s="145" t="s">
        <v>41</v>
      </c>
      <c r="G29" s="146">
        <v>0.01995</v>
      </c>
      <c r="H29" s="64" t="s">
        <v>42</v>
      </c>
      <c r="I29" s="68">
        <f t="shared" si="1"/>
        <v>239.4</v>
      </c>
      <c r="J29" s="64" t="s">
        <v>50</v>
      </c>
      <c r="K29" s="64"/>
      <c r="L29" s="64" t="s">
        <v>44</v>
      </c>
      <c r="M29" s="169" t="s">
        <v>45</v>
      </c>
      <c r="N29" s="64" t="s">
        <v>64</v>
      </c>
      <c r="O29" s="64"/>
    </row>
    <row r="30" ht="24" spans="1:15">
      <c r="A30" s="143" t="s">
        <v>67</v>
      </c>
      <c r="B30" s="64" t="s">
        <v>68</v>
      </c>
      <c r="C30" s="64">
        <v>2250304071</v>
      </c>
      <c r="D30" s="144"/>
      <c r="E30" s="64">
        <v>8000</v>
      </c>
      <c r="F30" s="145" t="s">
        <v>41</v>
      </c>
      <c r="G30" s="146">
        <v>0.0213</v>
      </c>
      <c r="H30" s="64" t="s">
        <v>42</v>
      </c>
      <c r="I30" s="68">
        <f t="shared" si="1"/>
        <v>170.4</v>
      </c>
      <c r="J30" s="64" t="s">
        <v>50</v>
      </c>
      <c r="K30" s="64"/>
      <c r="L30" s="64" t="s">
        <v>44</v>
      </c>
      <c r="M30" s="169" t="s">
        <v>45</v>
      </c>
      <c r="N30" s="64" t="s">
        <v>69</v>
      </c>
      <c r="O30" s="64"/>
    </row>
    <row r="31" ht="24" spans="1:15">
      <c r="A31" s="143" t="s">
        <v>70</v>
      </c>
      <c r="B31" s="64" t="s">
        <v>71</v>
      </c>
      <c r="C31" s="64">
        <v>2250501305</v>
      </c>
      <c r="D31" s="144"/>
      <c r="E31" s="64">
        <v>16000</v>
      </c>
      <c r="F31" s="145" t="s">
        <v>41</v>
      </c>
      <c r="G31" s="146">
        <v>0.0325</v>
      </c>
      <c r="H31" s="64" t="s">
        <v>42</v>
      </c>
      <c r="I31" s="68">
        <f t="shared" ref="I31:I33" si="2">ROUND(E31*G31,2)</f>
        <v>520</v>
      </c>
      <c r="J31" s="64" t="s">
        <v>50</v>
      </c>
      <c r="K31" s="64"/>
      <c r="L31" s="64" t="s">
        <v>44</v>
      </c>
      <c r="M31" s="169" t="s">
        <v>45</v>
      </c>
      <c r="N31" s="64" t="s">
        <v>72</v>
      </c>
      <c r="O31" s="64"/>
    </row>
    <row r="32" ht="24" spans="1:15">
      <c r="A32" s="143" t="s">
        <v>73</v>
      </c>
      <c r="B32" s="64" t="s">
        <v>71</v>
      </c>
      <c r="C32" s="64">
        <v>2250501305</v>
      </c>
      <c r="D32" s="144"/>
      <c r="E32" s="64">
        <v>44000</v>
      </c>
      <c r="F32" s="145" t="s">
        <v>41</v>
      </c>
      <c r="G32" s="146">
        <v>0.0325</v>
      </c>
      <c r="H32" s="64" t="s">
        <v>42</v>
      </c>
      <c r="I32" s="68">
        <f t="shared" si="2"/>
        <v>1430</v>
      </c>
      <c r="J32" s="64" t="s">
        <v>50</v>
      </c>
      <c r="K32" s="64"/>
      <c r="L32" s="64" t="s">
        <v>44</v>
      </c>
      <c r="M32" s="169" t="s">
        <v>45</v>
      </c>
      <c r="N32" s="64" t="s">
        <v>72</v>
      </c>
      <c r="O32" s="64"/>
    </row>
    <row r="33" ht="24" spans="1:15">
      <c r="A33" s="143" t="s">
        <v>74</v>
      </c>
      <c r="B33" s="64" t="s">
        <v>75</v>
      </c>
      <c r="C33" s="64">
        <v>2250200292</v>
      </c>
      <c r="D33" s="144"/>
      <c r="E33" s="64">
        <v>12000</v>
      </c>
      <c r="F33" s="145" t="s">
        <v>41</v>
      </c>
      <c r="G33" s="146">
        <v>0.0345</v>
      </c>
      <c r="H33" s="64" t="s">
        <v>42</v>
      </c>
      <c r="I33" s="68">
        <f t="shared" si="2"/>
        <v>414</v>
      </c>
      <c r="J33" s="64" t="s">
        <v>50</v>
      </c>
      <c r="K33" s="64"/>
      <c r="L33" s="64" t="s">
        <v>44</v>
      </c>
      <c r="M33" s="169" t="s">
        <v>45</v>
      </c>
      <c r="N33" s="64" t="s">
        <v>76</v>
      </c>
      <c r="O33" s="64"/>
    </row>
    <row r="34" ht="24" spans="1:15">
      <c r="A34" s="143" t="s">
        <v>77</v>
      </c>
      <c r="B34" s="64" t="s">
        <v>75</v>
      </c>
      <c r="C34" s="64">
        <v>2250300238</v>
      </c>
      <c r="D34" s="144"/>
      <c r="E34" s="64">
        <v>4000</v>
      </c>
      <c r="F34" s="145" t="s">
        <v>41</v>
      </c>
      <c r="G34" s="146">
        <v>0.0345</v>
      </c>
      <c r="H34" s="64" t="s">
        <v>42</v>
      </c>
      <c r="I34" s="68">
        <f t="shared" ref="I34:I36" si="3">ROUND(E34*G34,2)</f>
        <v>138</v>
      </c>
      <c r="J34" s="64" t="s">
        <v>50</v>
      </c>
      <c r="K34" s="64"/>
      <c r="L34" s="64" t="s">
        <v>44</v>
      </c>
      <c r="M34" s="169" t="s">
        <v>45</v>
      </c>
      <c r="N34" s="64" t="s">
        <v>76</v>
      </c>
      <c r="O34" s="64"/>
    </row>
    <row r="35" ht="24" spans="1:15">
      <c r="A35" s="143" t="s">
        <v>78</v>
      </c>
      <c r="B35" s="64" t="s">
        <v>79</v>
      </c>
      <c r="C35" s="64">
        <v>2250303047</v>
      </c>
      <c r="D35" s="144"/>
      <c r="E35" s="64">
        <v>5000</v>
      </c>
      <c r="F35" s="145" t="s">
        <v>41</v>
      </c>
      <c r="G35" s="146">
        <v>0.00967</v>
      </c>
      <c r="H35" s="64" t="s">
        <v>42</v>
      </c>
      <c r="I35" s="68">
        <f t="shared" si="3"/>
        <v>48.35</v>
      </c>
      <c r="J35" s="64" t="s">
        <v>50</v>
      </c>
      <c r="K35" s="64"/>
      <c r="L35" s="64" t="s">
        <v>44</v>
      </c>
      <c r="M35" s="169" t="s">
        <v>45</v>
      </c>
      <c r="N35" s="64" t="s">
        <v>80</v>
      </c>
      <c r="O35" s="64"/>
    </row>
    <row r="36" ht="24" spans="1:15">
      <c r="A36" s="143" t="s">
        <v>81</v>
      </c>
      <c r="B36" s="64" t="s">
        <v>82</v>
      </c>
      <c r="C36" s="64">
        <v>2250702637</v>
      </c>
      <c r="D36" s="144"/>
      <c r="E36" s="64">
        <v>6000</v>
      </c>
      <c r="F36" s="145" t="s">
        <v>41</v>
      </c>
      <c r="G36" s="146">
        <v>0.0327</v>
      </c>
      <c r="H36" s="64" t="s">
        <v>42</v>
      </c>
      <c r="I36" s="68">
        <f t="shared" si="3"/>
        <v>196.2</v>
      </c>
      <c r="J36" s="64" t="s">
        <v>50</v>
      </c>
      <c r="K36" s="64"/>
      <c r="L36" s="64" t="s">
        <v>44</v>
      </c>
      <c r="M36" s="169" t="s">
        <v>45</v>
      </c>
      <c r="N36" s="64" t="s">
        <v>83</v>
      </c>
      <c r="O36" s="64"/>
    </row>
    <row r="37" spans="1:15">
      <c r="A37" s="147"/>
      <c r="J37" s="170"/>
      <c r="K37" s="170"/>
      <c r="L37" s="170"/>
      <c r="M37" s="170"/>
      <c r="N37" s="170"/>
      <c r="O37" s="171"/>
    </row>
    <row r="38" ht="13.5" spans="1:15">
      <c r="A38" s="148"/>
      <c r="B38" s="149"/>
      <c r="C38" s="150" t="s">
        <v>84</v>
      </c>
      <c r="D38" s="150"/>
      <c r="E38" s="151">
        <f>SUM(E20:E37)</f>
        <v>229000</v>
      </c>
      <c r="F38" s="152"/>
      <c r="G38" s="153"/>
      <c r="H38" s="153"/>
      <c r="I38" s="172">
        <f>SUM(I20:I37)</f>
        <v>4825.9</v>
      </c>
      <c r="J38" s="173"/>
      <c r="K38" s="173"/>
      <c r="L38" s="173"/>
      <c r="M38" s="173"/>
      <c r="N38" s="173"/>
      <c r="O38" s="172"/>
    </row>
  </sheetData>
  <mergeCells count="9">
    <mergeCell ref="A1:O1"/>
    <mergeCell ref="E9:I9"/>
    <mergeCell ref="A13:D13"/>
    <mergeCell ref="A15:B15"/>
    <mergeCell ref="C15:D15"/>
    <mergeCell ref="C18:D18"/>
    <mergeCell ref="C38:D38"/>
    <mergeCell ref="A4:D5"/>
    <mergeCell ref="A9:D10"/>
  </mergeCells>
  <pageMargins left="0.75" right="0.75" top="1" bottom="1" header="0.5" footer="0.5"/>
  <pageSetup paperSize="9" scale="65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9"/>
  <sheetViews>
    <sheetView workbookViewId="0">
      <selection activeCell="G29" sqref="G29"/>
    </sheetView>
  </sheetViews>
  <sheetFormatPr defaultColWidth="9" defaultRowHeight="13.5"/>
  <cols>
    <col min="2" max="2" width="7.36666666666667" customWidth="1"/>
    <col min="3" max="3" width="18" customWidth="1"/>
    <col min="5" max="5" width="10.45" customWidth="1"/>
    <col min="6" max="6" width="11.45" customWidth="1"/>
    <col min="10" max="10" width="24.3666666666667" customWidth="1"/>
  </cols>
  <sheetData>
    <row r="1" spans="1:10">
      <c r="A1" s="1" t="s">
        <v>85</v>
      </c>
      <c r="B1" s="2"/>
      <c r="C1" s="2"/>
      <c r="D1" s="2"/>
      <c r="E1" s="2"/>
      <c r="F1" s="2"/>
      <c r="G1" s="2"/>
      <c r="H1" s="2"/>
      <c r="I1" s="2"/>
      <c r="J1" s="86"/>
    </row>
    <row r="2" spans="1:10">
      <c r="A2" s="3"/>
      <c r="B2" s="4"/>
      <c r="C2" s="4"/>
      <c r="D2" s="4"/>
      <c r="E2" s="4"/>
      <c r="F2" s="4"/>
      <c r="G2" s="4"/>
      <c r="H2" s="4"/>
      <c r="I2" s="4"/>
      <c r="J2" s="87"/>
    </row>
    <row r="3" spans="1:10">
      <c r="A3" s="5" t="s">
        <v>1</v>
      </c>
      <c r="B3" s="6"/>
      <c r="C3" s="7"/>
      <c r="D3" s="7"/>
      <c r="E3" s="8"/>
      <c r="F3" s="6" t="s">
        <v>86</v>
      </c>
      <c r="G3" s="7"/>
      <c r="H3" s="7"/>
      <c r="I3" s="7"/>
      <c r="J3" s="88"/>
    </row>
    <row r="4" spans="1:10">
      <c r="A4" s="9" t="s">
        <v>3</v>
      </c>
      <c r="B4" s="10"/>
      <c r="C4" s="11"/>
      <c r="D4" s="11"/>
      <c r="E4" s="12"/>
      <c r="F4" s="13">
        <v>2507172</v>
      </c>
      <c r="G4" s="11"/>
      <c r="H4" s="11"/>
      <c r="I4" s="11"/>
      <c r="J4" s="88"/>
    </row>
    <row r="5" spans="1:10">
      <c r="A5" s="14" t="s">
        <v>87</v>
      </c>
      <c r="B5" s="15"/>
      <c r="C5" s="15"/>
      <c r="D5" s="15"/>
      <c r="E5" s="16"/>
      <c r="F5" s="17">
        <v>45862</v>
      </c>
      <c r="G5" s="11"/>
      <c r="H5" s="11"/>
      <c r="I5" s="11"/>
      <c r="J5" s="88"/>
    </row>
    <row r="6" ht="25.5" customHeight="1" spans="1:10">
      <c r="A6" s="14"/>
      <c r="B6" s="15"/>
      <c r="C6" s="15"/>
      <c r="D6" s="15"/>
      <c r="E6" s="16"/>
      <c r="F6" s="18"/>
      <c r="G6" s="11"/>
      <c r="H6" s="11"/>
      <c r="I6" s="11"/>
      <c r="J6" s="88"/>
    </row>
    <row r="7" spans="1:10">
      <c r="A7" s="19"/>
      <c r="B7" s="20"/>
      <c r="C7" s="21"/>
      <c r="D7" s="21"/>
      <c r="E7" s="22"/>
      <c r="F7" s="23"/>
      <c r="G7" s="24"/>
      <c r="H7" s="24"/>
      <c r="I7" s="24"/>
      <c r="J7" s="39"/>
    </row>
    <row r="8" spans="1:10">
      <c r="A8" s="25" t="s">
        <v>5</v>
      </c>
      <c r="B8" s="6"/>
      <c r="C8" s="26"/>
      <c r="D8" s="26"/>
      <c r="E8" s="27"/>
      <c r="F8" s="28" t="s">
        <v>88</v>
      </c>
      <c r="G8" s="11"/>
      <c r="H8" s="11"/>
      <c r="I8" s="11"/>
      <c r="J8" s="88"/>
    </row>
    <row r="9" spans="1:10">
      <c r="A9" s="29" t="s">
        <v>12</v>
      </c>
      <c r="B9" s="10"/>
      <c r="C9" s="30"/>
      <c r="D9" s="30"/>
      <c r="E9" s="31"/>
      <c r="F9" s="32"/>
      <c r="G9" s="33"/>
      <c r="H9" s="33"/>
      <c r="I9" s="33"/>
      <c r="J9" s="88"/>
    </row>
    <row r="10" spans="1:10">
      <c r="A10" s="34" t="s">
        <v>9</v>
      </c>
      <c r="B10" s="35"/>
      <c r="C10" s="35"/>
      <c r="D10" s="35"/>
      <c r="E10" s="36"/>
      <c r="F10" s="32"/>
      <c r="G10" s="11"/>
      <c r="H10" s="11"/>
      <c r="I10" s="33"/>
      <c r="J10" s="88"/>
    </row>
    <row r="11" spans="1:10">
      <c r="A11" s="34"/>
      <c r="B11" s="35"/>
      <c r="C11" s="35"/>
      <c r="D11" s="35"/>
      <c r="E11" s="36"/>
      <c r="F11" s="32"/>
      <c r="G11" s="11"/>
      <c r="H11" s="11"/>
      <c r="I11" s="33"/>
      <c r="J11" s="88"/>
    </row>
    <row r="12" spans="1:10">
      <c r="A12" s="37"/>
      <c r="B12" s="38"/>
      <c r="C12" s="24"/>
      <c r="D12" s="24"/>
      <c r="E12" s="39"/>
      <c r="F12" s="11"/>
      <c r="G12" s="40"/>
      <c r="H12" s="40"/>
      <c r="I12" s="11"/>
      <c r="J12" s="88"/>
    </row>
    <row r="13" ht="16.5" spans="1:10">
      <c r="A13" s="25" t="s">
        <v>10</v>
      </c>
      <c r="B13" s="32"/>
      <c r="C13" s="11"/>
      <c r="D13" s="11"/>
      <c r="E13" s="12"/>
      <c r="F13" s="41"/>
      <c r="G13" s="42"/>
      <c r="H13" s="11"/>
      <c r="I13" s="11"/>
      <c r="J13" s="88"/>
    </row>
    <row r="14" ht="16.5" spans="1:10">
      <c r="A14" s="29" t="s">
        <v>12</v>
      </c>
      <c r="B14" s="43"/>
      <c r="C14" s="43"/>
      <c r="D14" s="43"/>
      <c r="E14" s="12"/>
      <c r="F14" s="41"/>
      <c r="G14" s="42"/>
      <c r="H14" s="11"/>
      <c r="I14" s="11"/>
      <c r="J14" s="88"/>
    </row>
    <row r="15" ht="44.5" customHeight="1" spans="1:10">
      <c r="A15" s="44" t="s">
        <v>14</v>
      </c>
      <c r="B15" s="45"/>
      <c r="C15" s="45"/>
      <c r="D15" s="45"/>
      <c r="E15" s="46"/>
      <c r="F15" s="11"/>
      <c r="G15" s="11"/>
      <c r="H15" s="11"/>
      <c r="I15" s="11"/>
      <c r="J15" s="88"/>
    </row>
    <row r="16" spans="1:10">
      <c r="A16" s="23"/>
      <c r="B16" s="24"/>
      <c r="C16" s="24"/>
      <c r="D16" s="24"/>
      <c r="E16" s="39"/>
      <c r="F16" s="47"/>
      <c r="G16" s="47"/>
      <c r="H16" s="48"/>
      <c r="I16" s="89"/>
      <c r="J16" s="88"/>
    </row>
    <row r="17" spans="1:10">
      <c r="A17" s="49" t="s">
        <v>89</v>
      </c>
      <c r="B17" s="28"/>
      <c r="C17" s="8"/>
      <c r="D17" s="28" t="s">
        <v>90</v>
      </c>
      <c r="E17" s="50"/>
      <c r="F17" s="47"/>
      <c r="G17" s="47"/>
      <c r="H17" s="51"/>
      <c r="I17" s="11"/>
      <c r="J17" s="88"/>
    </row>
    <row r="18" spans="1:10">
      <c r="A18" s="52" t="s">
        <v>18</v>
      </c>
      <c r="B18" s="53"/>
      <c r="C18" s="54"/>
      <c r="D18" s="52" t="s">
        <v>19</v>
      </c>
      <c r="E18" s="54"/>
      <c r="F18" s="47"/>
      <c r="G18" s="47"/>
      <c r="H18" s="51"/>
      <c r="I18" s="11"/>
      <c r="J18" s="88"/>
    </row>
    <row r="19" spans="1:10">
      <c r="A19" s="49" t="s">
        <v>20</v>
      </c>
      <c r="B19" s="32"/>
      <c r="C19" s="55"/>
      <c r="D19" s="28" t="s">
        <v>21</v>
      </c>
      <c r="E19" s="56"/>
      <c r="F19" s="11"/>
      <c r="G19" s="11"/>
      <c r="H19" s="11"/>
      <c r="I19" s="11"/>
      <c r="J19" s="88"/>
    </row>
    <row r="20" spans="1:10">
      <c r="A20" s="52"/>
      <c r="B20" s="53"/>
      <c r="C20" s="54"/>
      <c r="D20" s="57"/>
      <c r="E20" s="58"/>
      <c r="F20" s="24"/>
      <c r="G20" s="24"/>
      <c r="H20" s="24"/>
      <c r="I20" s="24"/>
      <c r="J20" s="88"/>
    </row>
    <row r="21" spans="1:10">
      <c r="A21" s="59" t="s">
        <v>91</v>
      </c>
      <c r="B21" s="60" t="s">
        <v>26</v>
      </c>
      <c r="C21" s="60" t="s">
        <v>25</v>
      </c>
      <c r="D21" s="60" t="s">
        <v>27</v>
      </c>
      <c r="E21" s="60"/>
      <c r="F21" s="61" t="s">
        <v>28</v>
      </c>
      <c r="G21" s="61" t="s">
        <v>29</v>
      </c>
      <c r="H21" s="62" t="s">
        <v>92</v>
      </c>
      <c r="I21" s="62" t="s">
        <v>93</v>
      </c>
      <c r="J21" s="90" t="s">
        <v>94</v>
      </c>
    </row>
    <row r="22" spans="1:10">
      <c r="A22" s="59"/>
      <c r="B22" s="60"/>
      <c r="C22" s="60"/>
      <c r="D22" s="60"/>
      <c r="E22" s="60"/>
      <c r="F22" s="61"/>
      <c r="G22" s="61"/>
      <c r="H22" s="62" t="s">
        <v>95</v>
      </c>
      <c r="I22" s="62" t="s">
        <v>95</v>
      </c>
      <c r="J22" s="91"/>
    </row>
    <row r="23" spans="1:10">
      <c r="A23" s="63" t="s">
        <v>39</v>
      </c>
      <c r="B23" s="64"/>
      <c r="C23" s="64" t="s">
        <v>40</v>
      </c>
      <c r="D23" s="65"/>
      <c r="E23" s="65" t="s">
        <v>46</v>
      </c>
      <c r="F23" s="66">
        <v>25000</v>
      </c>
      <c r="G23" s="67" t="s">
        <v>41</v>
      </c>
      <c r="H23" s="68">
        <v>0.58</v>
      </c>
      <c r="I23" s="68">
        <v>0.7375</v>
      </c>
      <c r="J23" s="92"/>
    </row>
    <row r="24" spans="1:10">
      <c r="A24" s="63" t="s">
        <v>47</v>
      </c>
      <c r="B24" s="64"/>
      <c r="C24" s="64" t="s">
        <v>49</v>
      </c>
      <c r="D24" s="65"/>
      <c r="E24" s="65"/>
      <c r="F24" s="66">
        <v>3000</v>
      </c>
      <c r="G24" s="67" t="s">
        <v>41</v>
      </c>
      <c r="H24" s="68">
        <v>0.1</v>
      </c>
      <c r="I24" s="68">
        <v>0.193</v>
      </c>
      <c r="J24" s="92"/>
    </row>
    <row r="25" spans="1:10">
      <c r="A25" s="63" t="s">
        <v>48</v>
      </c>
      <c r="B25" s="64"/>
      <c r="C25" s="64" t="s">
        <v>53</v>
      </c>
      <c r="D25" s="65"/>
      <c r="E25" s="65"/>
      <c r="F25" s="66">
        <v>20000</v>
      </c>
      <c r="G25" s="67" t="s">
        <v>41</v>
      </c>
      <c r="H25" s="68">
        <v>0.464</v>
      </c>
      <c r="I25" s="68">
        <v>0.59</v>
      </c>
      <c r="J25" s="92"/>
    </row>
    <row r="26" spans="1:10">
      <c r="A26" s="63" t="s">
        <v>52</v>
      </c>
      <c r="B26" s="64"/>
      <c r="C26" s="64" t="s">
        <v>57</v>
      </c>
      <c r="D26" s="65"/>
      <c r="E26" s="65"/>
      <c r="F26" s="66">
        <v>10000</v>
      </c>
      <c r="G26" s="67" t="s">
        <v>41</v>
      </c>
      <c r="H26" s="68">
        <v>0.232</v>
      </c>
      <c r="I26" s="68">
        <v>0.295</v>
      </c>
      <c r="J26" s="92"/>
    </row>
    <row r="27" spans="1:10">
      <c r="A27" s="63" t="s">
        <v>55</v>
      </c>
      <c r="B27" s="64"/>
      <c r="C27" s="64" t="s">
        <v>60</v>
      </c>
      <c r="D27" s="65"/>
      <c r="E27" s="65"/>
      <c r="F27" s="66">
        <v>20000</v>
      </c>
      <c r="G27" s="67" t="s">
        <v>41</v>
      </c>
      <c r="H27" s="68">
        <v>0.464</v>
      </c>
      <c r="I27" s="68">
        <v>3</v>
      </c>
      <c r="J27" s="92"/>
    </row>
    <row r="28" spans="1:10">
      <c r="A28" s="63" t="s">
        <v>56</v>
      </c>
      <c r="B28" s="64"/>
      <c r="C28" s="64" t="s">
        <v>63</v>
      </c>
      <c r="D28" s="65"/>
      <c r="E28" s="65"/>
      <c r="F28" s="66">
        <v>56000</v>
      </c>
      <c r="G28" s="67" t="s">
        <v>41</v>
      </c>
      <c r="H28" s="68">
        <v>1.4</v>
      </c>
      <c r="I28" s="68">
        <v>1.9145</v>
      </c>
      <c r="J28" s="92"/>
    </row>
    <row r="29" spans="1:10">
      <c r="A29" s="63" t="s">
        <v>59</v>
      </c>
      <c r="B29" s="64"/>
      <c r="C29" s="64" t="s">
        <v>68</v>
      </c>
      <c r="D29" s="65"/>
      <c r="E29" s="65"/>
      <c r="F29" s="66">
        <v>8000</v>
      </c>
      <c r="G29" s="67" t="s">
        <v>41</v>
      </c>
      <c r="H29" s="68">
        <v>0.24</v>
      </c>
      <c r="I29" s="68">
        <v>0.28</v>
      </c>
      <c r="J29" s="92"/>
    </row>
    <row r="30" spans="1:10">
      <c r="A30" s="63" t="s">
        <v>62</v>
      </c>
      <c r="B30" s="64"/>
      <c r="C30" s="64" t="s">
        <v>71</v>
      </c>
      <c r="D30" s="65"/>
      <c r="E30" s="65"/>
      <c r="F30" s="66">
        <v>60000</v>
      </c>
      <c r="G30" s="67" t="s">
        <v>41</v>
      </c>
      <c r="H30" s="68">
        <v>1.53214285714286</v>
      </c>
      <c r="I30" s="68">
        <v>3.79</v>
      </c>
      <c r="J30" s="92"/>
    </row>
    <row r="31" spans="1:10">
      <c r="A31" s="63" t="s">
        <v>65</v>
      </c>
      <c r="B31" s="64"/>
      <c r="C31" s="64" t="s">
        <v>75</v>
      </c>
      <c r="D31" s="65"/>
      <c r="E31" s="65"/>
      <c r="F31" s="66">
        <v>16000</v>
      </c>
      <c r="G31" s="67" t="s">
        <v>41</v>
      </c>
      <c r="H31" s="68">
        <v>0.432</v>
      </c>
      <c r="I31" s="68">
        <v>0.59</v>
      </c>
      <c r="J31" s="92"/>
    </row>
    <row r="32" spans="1:10">
      <c r="A32" s="63" t="s">
        <v>66</v>
      </c>
      <c r="B32" s="64"/>
      <c r="C32" s="64" t="s">
        <v>79</v>
      </c>
      <c r="D32" s="65"/>
      <c r="E32" s="65"/>
      <c r="F32" s="66">
        <v>5000</v>
      </c>
      <c r="G32" s="67" t="s">
        <v>41</v>
      </c>
      <c r="H32" s="68">
        <v>0.116</v>
      </c>
      <c r="I32" s="68">
        <v>0.1475</v>
      </c>
      <c r="J32" s="92"/>
    </row>
    <row r="33" spans="1:10">
      <c r="A33" s="63" t="s">
        <v>67</v>
      </c>
      <c r="B33" s="64"/>
      <c r="C33" s="64" t="s">
        <v>82</v>
      </c>
      <c r="D33" s="65"/>
      <c r="E33" s="65"/>
      <c r="F33" s="66">
        <v>6000</v>
      </c>
      <c r="G33" s="67" t="s">
        <v>41</v>
      </c>
      <c r="H33" s="68">
        <v>1.25</v>
      </c>
      <c r="I33" s="68">
        <v>1.465</v>
      </c>
      <c r="J33" s="92"/>
    </row>
    <row r="34" ht="14.25" spans="1:10">
      <c r="A34" s="69"/>
      <c r="B34" s="70"/>
      <c r="C34" s="71"/>
      <c r="D34" s="71"/>
      <c r="E34" s="71"/>
      <c r="F34" s="72"/>
      <c r="G34" s="71"/>
      <c r="H34" s="73"/>
      <c r="I34" s="93"/>
      <c r="J34" s="94"/>
    </row>
    <row r="35" spans="1:10">
      <c r="A35" s="74">
        <v>11</v>
      </c>
      <c r="B35" s="11"/>
      <c r="C35" s="32"/>
      <c r="D35" s="75"/>
      <c r="E35" s="76" t="s">
        <v>96</v>
      </c>
      <c r="F35" s="77">
        <f>SUM(F23:F34)</f>
        <v>229000</v>
      </c>
      <c r="G35" s="78"/>
      <c r="H35" s="79">
        <f>SUM(H23:H34)</f>
        <v>6.81014285714286</v>
      </c>
      <c r="I35" s="79">
        <f>SUM(I23:I34)</f>
        <v>13.0025</v>
      </c>
      <c r="J35" s="95"/>
    </row>
    <row r="36" spans="1:10">
      <c r="A36" s="80"/>
      <c r="E36" s="81" t="s">
        <v>97</v>
      </c>
      <c r="F36" s="82">
        <v>11</v>
      </c>
      <c r="J36" s="96"/>
    </row>
    <row r="37" spans="1:10">
      <c r="A37" s="80"/>
      <c r="E37" s="81" t="s">
        <v>98</v>
      </c>
      <c r="F37" s="83" t="s">
        <v>99</v>
      </c>
      <c r="J37" s="96"/>
    </row>
    <row r="38" spans="1:10">
      <c r="A38" s="80"/>
      <c r="E38" s="81"/>
      <c r="F38" s="83"/>
      <c r="J38" s="96"/>
    </row>
    <row r="39" spans="1:10">
      <c r="A39" s="84"/>
      <c r="B39" s="85"/>
      <c r="C39" s="85"/>
      <c r="D39" s="85"/>
      <c r="E39" s="85"/>
      <c r="F39" s="85"/>
      <c r="G39" s="85"/>
      <c r="H39" s="85"/>
      <c r="I39" s="85"/>
      <c r="J39" s="97"/>
    </row>
  </sheetData>
  <mergeCells count="29">
    <mergeCell ref="A1:J1"/>
    <mergeCell ref="A15:E15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A21:A22"/>
    <mergeCell ref="B21:B22"/>
    <mergeCell ref="C21:C22"/>
    <mergeCell ref="F21:F22"/>
    <mergeCell ref="G21:G22"/>
    <mergeCell ref="J21:J22"/>
    <mergeCell ref="A5:E6"/>
    <mergeCell ref="A10:E11"/>
    <mergeCell ref="D21:E22"/>
  </mergeCells>
  <pageMargins left="0.75" right="0.75" top="1" bottom="1" header="0.5" footer="0.5"/>
  <pageSetup paperSize="9" scale="96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dcterms:modified xsi:type="dcterms:W3CDTF">2025-08-19T01:34:47Z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