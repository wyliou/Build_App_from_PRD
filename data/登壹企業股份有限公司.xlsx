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A000150\Desktop\CustomAuto\Data\"/>
    </mc:Choice>
  </mc:AlternateContent>
  <xr:revisionPtr revIDLastSave="0" documentId="13_ncr:1_{F19F9B20-56E1-44EC-B87D-432B4F2788A2}" xr6:coauthVersionLast="47" xr6:coauthVersionMax="47" xr10:uidLastSave="{00000000-0000-0000-0000-000000000000}"/>
  <bookViews>
    <workbookView xWindow="-28920" yWindow="-105" windowWidth="29040" windowHeight="15840" activeTab="1" xr2:uid="{00000000-000D-0000-FFFF-FFFF00000000}"/>
  </bookViews>
  <sheets>
    <sheet name="INVOICE" sheetId="1" r:id="rId1"/>
    <sheet name="PACKING" sheetId="2" r:id="rId2"/>
    <sheet name="報關單" sheetId="6" r:id="rId3"/>
    <sheet name="銷售合同" sheetId="5" r:id="rId4"/>
    <sheet name="裝箱明細" sheetId="4" r:id="rId5"/>
    <sheet name="發票" sheetId="3" r:id="rId6"/>
  </sheets>
  <definedNames>
    <definedName name="_xlnm.Print_Area" localSheetId="0">INVOICE!$A$1:$O$44</definedName>
    <definedName name="_xlnm.Print_Area" localSheetId="1">PACKING!$A$1:$L$48</definedName>
    <definedName name="_xlnm.Print_Titles" localSheetId="0">INVOICE!$1:$22</definedName>
    <definedName name="_xlnm.Print_Titles" localSheetId="1">PACKING!$1:$18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3" l="1"/>
  <c r="F17" i="3"/>
  <c r="G8" i="3"/>
  <c r="F11" i="3" s="1"/>
  <c r="I24" i="4"/>
  <c r="H24" i="4"/>
  <c r="G24" i="4"/>
  <c r="E24" i="4"/>
  <c r="K22" i="4"/>
  <c r="J22" i="4"/>
  <c r="H22" i="4"/>
  <c r="H21" i="4"/>
  <c r="H20" i="4"/>
  <c r="H19" i="4"/>
  <c r="K18" i="4"/>
  <c r="H18" i="4"/>
  <c r="J18" i="4" s="1"/>
  <c r="K17" i="4"/>
  <c r="J17" i="4"/>
  <c r="H17" i="4"/>
  <c r="H16" i="4"/>
  <c r="J15" i="4" s="1"/>
  <c r="K15" i="4"/>
  <c r="H15" i="4"/>
  <c r="K14" i="4"/>
  <c r="J14" i="4"/>
  <c r="H14" i="4"/>
  <c r="K13" i="4"/>
  <c r="H13" i="4"/>
  <c r="J13" i="4" s="1"/>
  <c r="K12" i="4"/>
  <c r="H12" i="4"/>
  <c r="J12" i="4" s="1"/>
  <c r="K11" i="4"/>
  <c r="J11" i="4"/>
  <c r="H11" i="4"/>
  <c r="K10" i="4"/>
  <c r="J10" i="4"/>
  <c r="H10" i="4"/>
  <c r="K9" i="4"/>
  <c r="K24" i="4" s="1"/>
  <c r="J9" i="4"/>
  <c r="H9" i="4"/>
  <c r="H18" i="5"/>
  <c r="H17" i="5"/>
  <c r="G17" i="5"/>
  <c r="E17" i="5"/>
  <c r="H16" i="5"/>
  <c r="E28" i="6"/>
  <c r="J27" i="6"/>
  <c r="I27" i="6"/>
  <c r="J23" i="6"/>
  <c r="G34" i="2"/>
  <c r="K33" i="2"/>
  <c r="K32" i="2"/>
  <c r="J32" i="2"/>
  <c r="I32" i="2"/>
  <c r="J28" i="2"/>
  <c r="I28" i="2"/>
  <c r="K28" i="2" s="1"/>
  <c r="J27" i="2"/>
  <c r="I27" i="2"/>
  <c r="K27" i="2" s="1"/>
  <c r="K25" i="2"/>
  <c r="J25" i="2"/>
  <c r="I25" i="2"/>
  <c r="K24" i="2"/>
  <c r="J24" i="2"/>
  <c r="I24" i="2"/>
  <c r="J23" i="2"/>
  <c r="I23" i="2"/>
  <c r="K23" i="2" s="1"/>
  <c r="J22" i="2"/>
  <c r="I22" i="2"/>
  <c r="K22" i="2" s="1"/>
  <c r="J21" i="2"/>
  <c r="I21" i="2"/>
  <c r="K21" i="2" s="1"/>
  <c r="K20" i="2"/>
  <c r="J20" i="2"/>
  <c r="I20" i="2"/>
  <c r="J19" i="2"/>
  <c r="J34" i="2" s="1"/>
  <c r="I19" i="2"/>
  <c r="K19" i="2" s="1"/>
  <c r="O34" i="1"/>
  <c r="E34" i="1"/>
  <c r="E18" i="3" s="1"/>
  <c r="I32" i="1"/>
  <c r="I31" i="1"/>
  <c r="I30" i="1"/>
  <c r="I29" i="1"/>
  <c r="I28" i="1"/>
  <c r="I27" i="1"/>
  <c r="I26" i="1"/>
  <c r="I25" i="1"/>
  <c r="I24" i="1"/>
  <c r="I23" i="1"/>
  <c r="I34" i="1" s="1"/>
  <c r="K34" i="2" l="1"/>
  <c r="J24" i="4"/>
  <c r="E18" i="5"/>
  <c r="E16" i="3"/>
  <c r="F16" i="3" l="1"/>
  <c r="E24" i="6"/>
  <c r="I23" i="6" s="1"/>
  <c r="E16" i="5"/>
  <c r="G16" i="5" s="1"/>
</calcChain>
</file>

<file path=xl/sharedStrings.xml><?xml version="1.0" encoding="utf-8"?>
<sst xmlns="http://schemas.openxmlformats.org/spreadsheetml/2006/main" count="507" uniqueCount="302">
  <si>
    <t>COMMERCIAL INVOICE</t>
  </si>
  <si>
    <t>Shipper/Exporter</t>
  </si>
  <si>
    <t>No. &amp; Date of Invoice</t>
  </si>
  <si>
    <t>登壹企業股份有限公司</t>
  </si>
  <si>
    <t>TW-17546</t>
  </si>
  <si>
    <r>
      <rPr>
        <sz val="10"/>
        <rFont val="微软雅黑"/>
        <charset val="134"/>
      </rPr>
      <t>中國台灣新北市中和區中山路三段</t>
    </r>
    <r>
      <rPr>
        <sz val="10"/>
        <rFont val="Arial"/>
        <charset val="134"/>
      </rPr>
      <t>110</t>
    </r>
    <r>
      <rPr>
        <sz val="10"/>
        <rFont val="微软雅黑"/>
        <charset val="134"/>
      </rPr>
      <t>號</t>
    </r>
    <r>
      <rPr>
        <sz val="10"/>
        <rFont val="Arial"/>
        <charset val="134"/>
      </rPr>
      <t>9</t>
    </r>
    <r>
      <rPr>
        <sz val="10"/>
        <rFont val="微软雅黑"/>
        <charset val="134"/>
      </rPr>
      <t>樓</t>
    </r>
  </si>
  <si>
    <t>Bill To:</t>
  </si>
  <si>
    <t xml:space="preserve"> Payment Term</t>
  </si>
  <si>
    <t>中磊電子（蘇州）有限公司</t>
  </si>
  <si>
    <r>
      <rPr>
        <sz val="10"/>
        <rFont val="微软雅黑"/>
        <charset val="134"/>
      </rPr>
      <t>蘇州工業園區唐莊路</t>
    </r>
    <r>
      <rPr>
        <sz val="10"/>
        <rFont val="Arial"/>
        <charset val="134"/>
      </rPr>
      <t>8</t>
    </r>
    <r>
      <rPr>
        <sz val="10"/>
        <rFont val="微软雅黑"/>
        <charset val="134"/>
      </rPr>
      <t>號</t>
    </r>
  </si>
  <si>
    <r>
      <rPr>
        <sz val="10"/>
        <rFont val="微软雅黑"/>
        <charset val="134"/>
      </rPr>
      <t>电话：</t>
    </r>
    <r>
      <rPr>
        <sz val="10"/>
        <rFont val="Arial"/>
        <charset val="134"/>
      </rPr>
      <t xml:space="preserve">0512-67613993
</t>
    </r>
    <r>
      <rPr>
        <sz val="10"/>
        <rFont val="微软雅黑"/>
        <charset val="134"/>
      </rPr>
      <t>传真：</t>
    </r>
    <r>
      <rPr>
        <sz val="10"/>
        <rFont val="Arial"/>
        <charset val="134"/>
      </rPr>
      <t>0512-67624500</t>
    </r>
  </si>
  <si>
    <t>Ship To:</t>
  </si>
  <si>
    <t xml:space="preserve"> Trade Term</t>
  </si>
  <si>
    <t>DDU-SZ</t>
  </si>
  <si>
    <t>Port of Loading</t>
  </si>
  <si>
    <t>Port of Discharge</t>
  </si>
  <si>
    <t xml:space="preserve"> Remarks:</t>
  </si>
  <si>
    <t>Carrier</t>
  </si>
  <si>
    <t>Sailing on/or About</t>
  </si>
  <si>
    <t>贸易国：</t>
  </si>
  <si>
    <t>Taiwan, China</t>
  </si>
  <si>
    <t>ITEM</t>
  </si>
  <si>
    <t>Part No.</t>
  </si>
  <si>
    <t>PO No.</t>
  </si>
  <si>
    <t>Description of Goods</t>
  </si>
  <si>
    <t>Quantity</t>
  </si>
  <si>
    <t>Unit</t>
  </si>
  <si>
    <t>Unit Price</t>
  </si>
  <si>
    <t>Currency</t>
  </si>
  <si>
    <t>Amount</t>
  </si>
  <si>
    <t>COO</t>
  </si>
  <si>
    <t>COD</t>
  </si>
  <si>
    <t>品牌</t>
  </si>
  <si>
    <t>品牌类型</t>
  </si>
  <si>
    <t>型号</t>
  </si>
  <si>
    <t>Net WT(KGS)</t>
  </si>
  <si>
    <t>1</t>
  </si>
  <si>
    <t>3604754AMS</t>
  </si>
  <si>
    <t>UT6045N-4R7M</t>
  </si>
  <si>
    <t>PCS</t>
  </si>
  <si>
    <t>USD</t>
  </si>
  <si>
    <t>china</t>
  </si>
  <si>
    <r>
      <rPr>
        <sz val="10"/>
        <rFont val="微软雅黑"/>
        <charset val="134"/>
      </rPr>
      <t>登壹牌</t>
    </r>
  </si>
  <si>
    <r>
      <rPr>
        <sz val="10"/>
        <rFont val="微软雅黑"/>
        <charset val="134"/>
      </rPr>
      <t>境內自主品牌</t>
    </r>
  </si>
  <si>
    <t>305-70504</t>
  </si>
  <si>
    <t>2</t>
  </si>
  <si>
    <t>3600000KMS</t>
  </si>
  <si>
    <t>UT6045N-1R0M</t>
  </si>
  <si>
    <t>305-70511</t>
  </si>
  <si>
    <t>3</t>
  </si>
  <si>
    <t>36033537MS</t>
  </si>
  <si>
    <t>UT6045N-3R3M</t>
  </si>
  <si>
    <t>305-70503</t>
  </si>
  <si>
    <t>4</t>
  </si>
  <si>
    <t>3603352QMS</t>
  </si>
  <si>
    <t>CD43N-3R3M</t>
  </si>
  <si>
    <t>306-56203</t>
  </si>
  <si>
    <t>5</t>
  </si>
  <si>
    <t>3670000BMS</t>
  </si>
  <si>
    <t>TM100605N-302</t>
  </si>
  <si>
    <t>302-98111</t>
  </si>
  <si>
    <t>6</t>
  </si>
  <si>
    <t>7</t>
  </si>
  <si>
    <t>3670004MMS</t>
  </si>
  <si>
    <t>TM100605N-302-P</t>
  </si>
  <si>
    <t>302-98555</t>
  </si>
  <si>
    <t>8</t>
  </si>
  <si>
    <t>9</t>
  </si>
  <si>
    <t>10</t>
  </si>
  <si>
    <t xml:space="preserve">                  TOTAL</t>
  </si>
  <si>
    <r>
      <rPr>
        <sz val="12"/>
        <rFont val="Times New Roman"/>
        <charset val="134"/>
      </rPr>
      <t>1</t>
    </r>
    <r>
      <rPr>
        <sz val="12"/>
        <rFont val="宋体"/>
        <charset val="134"/>
      </rPr>
      <t>、進境口岸關別代碼</t>
    </r>
    <r>
      <rPr>
        <sz val="12"/>
        <rFont val="Times New Roman"/>
        <charset val="134"/>
      </rPr>
      <t xml:space="preserve">  </t>
    </r>
  </si>
  <si>
    <r>
      <rPr>
        <sz val="12"/>
        <rFont val="Times New Roman"/>
        <charset val="134"/>
      </rPr>
      <t>5726</t>
    </r>
    <r>
      <rPr>
        <sz val="12"/>
        <rFont val="宋体"/>
        <charset val="134"/>
      </rPr>
      <t>中山物流</t>
    </r>
  </si>
  <si>
    <r>
      <rPr>
        <sz val="12"/>
        <rFont val="Times New Roman"/>
        <charset val="134"/>
      </rPr>
      <t>2</t>
    </r>
    <r>
      <rPr>
        <sz val="12"/>
        <rFont val="宋体"/>
        <charset val="134"/>
      </rPr>
      <t>、申報地口岸關別代碼</t>
    </r>
  </si>
  <si>
    <r>
      <rPr>
        <sz val="12"/>
        <rFont val="Times New Roman"/>
        <charset val="134"/>
      </rPr>
      <t>3</t>
    </r>
    <r>
      <rPr>
        <sz val="12"/>
        <rFont val="宋体"/>
        <charset val="134"/>
      </rPr>
      <t>、報關行名稱及代碼</t>
    </r>
  </si>
  <si>
    <r>
      <rPr>
        <sz val="12"/>
        <rFont val="宋体"/>
        <charset val="134"/>
      </rPr>
      <t>中山市科達報關服務有限公司</t>
    </r>
  </si>
  <si>
    <r>
      <rPr>
        <sz val="12"/>
        <rFont val="Times New Roman"/>
        <charset val="134"/>
      </rPr>
      <t>4</t>
    </r>
    <r>
      <rPr>
        <sz val="12"/>
        <rFont val="宋体"/>
        <charset val="134"/>
      </rPr>
      <t>、關聯手冊（賬冊）編號</t>
    </r>
  </si>
  <si>
    <t>L5726B25A014</t>
  </si>
  <si>
    <r>
      <rPr>
        <sz val="12"/>
        <rFont val="Times New Roman"/>
        <charset val="134"/>
      </rPr>
      <t>5</t>
    </r>
    <r>
      <rPr>
        <sz val="12"/>
        <rFont val="宋体"/>
        <charset val="134"/>
      </rPr>
      <t>、貿易國</t>
    </r>
  </si>
  <si>
    <r>
      <rPr>
        <sz val="12"/>
        <rFont val="宋体"/>
        <charset val="134"/>
      </rPr>
      <t>中國台灣</t>
    </r>
  </si>
  <si>
    <r>
      <rPr>
        <sz val="12"/>
        <rFont val="Times New Roman"/>
        <charset val="134"/>
      </rPr>
      <t>6</t>
    </r>
    <r>
      <rPr>
        <sz val="12"/>
        <rFont val="宋体"/>
        <charset val="134"/>
      </rPr>
      <t>、原產國</t>
    </r>
  </si>
  <si>
    <r>
      <rPr>
        <sz val="12"/>
        <rFont val="宋体"/>
        <charset val="134"/>
      </rPr>
      <t>中國</t>
    </r>
  </si>
  <si>
    <r>
      <rPr>
        <sz val="12"/>
        <rFont val="Times New Roman"/>
        <charset val="134"/>
      </rPr>
      <t>7</t>
    </r>
    <r>
      <rPr>
        <sz val="12"/>
        <rFont val="宋体"/>
        <charset val="134"/>
      </rPr>
      <t>、包裝種類</t>
    </r>
  </si>
  <si>
    <r>
      <rPr>
        <sz val="12"/>
        <rFont val="Times New Roman"/>
        <charset val="134"/>
      </rPr>
      <t>8</t>
    </r>
    <r>
      <rPr>
        <sz val="12"/>
        <rFont val="宋体"/>
        <charset val="134"/>
      </rPr>
      <t>、成交方式</t>
    </r>
  </si>
  <si>
    <t>DDU</t>
  </si>
  <si>
    <t>9、申報計量單位</t>
  </si>
  <si>
    <t>个</t>
  </si>
  <si>
    <t>PACKING LIST</t>
  </si>
  <si>
    <t>No &amp; Date of Invoice</t>
  </si>
  <si>
    <t>Remarks:</t>
  </si>
  <si>
    <r>
      <rPr>
        <sz val="10"/>
        <rFont val="微软雅黑"/>
        <charset val="134"/>
      </rPr>
      <t>中磊電子</t>
    </r>
    <r>
      <rPr>
        <sz val="10"/>
        <rFont val="Arial"/>
        <charset val="134"/>
      </rPr>
      <t>(</t>
    </r>
    <r>
      <rPr>
        <sz val="10"/>
        <rFont val="微软雅黑"/>
        <charset val="134"/>
      </rPr>
      <t>蘇州</t>
    </r>
    <r>
      <rPr>
        <sz val="10"/>
        <rFont val="Arial"/>
        <charset val="134"/>
      </rPr>
      <t>)</t>
    </r>
    <r>
      <rPr>
        <sz val="10"/>
        <rFont val="微软雅黑"/>
        <charset val="134"/>
      </rPr>
      <t>有限公司</t>
    </r>
  </si>
  <si>
    <r>
      <rPr>
        <sz val="10"/>
        <rFont val="微软雅黑"/>
        <charset val="134"/>
      </rPr>
      <t>中國江蘇省蘇州工業園區唐庄路</t>
    </r>
    <r>
      <rPr>
        <sz val="10"/>
        <rFont val="Arial"/>
        <charset val="134"/>
      </rPr>
      <t>8</t>
    </r>
    <r>
      <rPr>
        <sz val="10"/>
        <rFont val="微软雅黑"/>
        <charset val="134"/>
      </rPr>
      <t>號
尚飛</t>
    </r>
    <r>
      <rPr>
        <sz val="10"/>
        <rFont val="Arial"/>
        <charset val="134"/>
      </rPr>
      <t xml:space="preserve">  #7528
Tel:512-67613993   Fax:512-66699177</t>
    </r>
  </si>
  <si>
    <t>Port of Departure</t>
  </si>
  <si>
    <t>Port of Arrival</t>
  </si>
  <si>
    <t>CTNS</t>
  </si>
  <si>
    <t>Package</t>
  </si>
  <si>
    <t>Number of pieces</t>
  </si>
  <si>
    <t>Net WT</t>
  </si>
  <si>
    <t>Gross WT</t>
  </si>
  <si>
    <t>MEASUREMENT  L*W*H(CM)</t>
  </si>
  <si>
    <t>KGS</t>
  </si>
  <si>
    <t>1-11</t>
  </si>
  <si>
    <t>36*36*19</t>
  </si>
  <si>
    <t>12</t>
  </si>
  <si>
    <t>36*36*9.5</t>
  </si>
  <si>
    <t>13-14</t>
  </si>
  <si>
    <t>15</t>
  </si>
  <si>
    <t>16</t>
  </si>
  <si>
    <t>17</t>
  </si>
  <si>
    <t>18-22</t>
  </si>
  <si>
    <t>24-33</t>
  </si>
  <si>
    <t>110*80*15CM</t>
  </si>
  <si>
    <t>TOTAL</t>
  </si>
  <si>
    <t>0.2m³</t>
  </si>
  <si>
    <t>件数</t>
  </si>
  <si>
    <t xml:space="preserve">PLT#1(1~34)  </t>
  </si>
  <si>
    <t>包装种类</t>
  </si>
  <si>
    <r>
      <rPr>
        <sz val="10"/>
        <rFont val="宋体"/>
        <charset val="134"/>
      </rPr>
      <t>纸箱</t>
    </r>
    <r>
      <rPr>
        <sz val="10"/>
        <rFont val="Arial"/>
        <charset val="134"/>
      </rPr>
      <t>/</t>
    </r>
    <r>
      <rPr>
        <sz val="10"/>
        <rFont val="宋体"/>
        <charset val="134"/>
      </rPr>
      <t>托盘</t>
    </r>
  </si>
  <si>
    <t>托盘材质</t>
  </si>
  <si>
    <t>塑胶托</t>
  </si>
  <si>
    <t>中华人民共和国海关出口货物报关单</t>
  </si>
  <si>
    <t>预录入编号</t>
  </si>
  <si>
    <t>海关编号</t>
  </si>
  <si>
    <t xml:space="preserve">关联手（帐）册编号：L5726B25A014
</t>
  </si>
  <si>
    <t xml:space="preserve">收发货人          </t>
  </si>
  <si>
    <t>出口口岸</t>
  </si>
  <si>
    <t>出口日期</t>
  </si>
  <si>
    <t>申报日期</t>
  </si>
  <si>
    <t>登壹电子（开平）有限公司</t>
  </si>
  <si>
    <t>中山物流</t>
  </si>
  <si>
    <t xml:space="preserve">生产销售单位      </t>
  </si>
  <si>
    <t>运输方式：物流中心</t>
  </si>
  <si>
    <t>运输工具名称</t>
  </si>
  <si>
    <t>提运单号</t>
  </si>
  <si>
    <t>物流中心</t>
  </si>
  <si>
    <t>粤JP9797</t>
  </si>
  <si>
    <t xml:space="preserve">申报单位         </t>
  </si>
  <si>
    <t>监管方式</t>
  </si>
  <si>
    <t>征免性质</t>
  </si>
  <si>
    <t>备案号</t>
  </si>
  <si>
    <t>一般贸易</t>
  </si>
  <si>
    <t xml:space="preserve">贸易国(地区)      </t>
  </si>
  <si>
    <t>运抵国(地区)</t>
  </si>
  <si>
    <t>指运港</t>
  </si>
  <si>
    <t>境内货源地</t>
  </si>
  <si>
    <t>中国</t>
  </si>
  <si>
    <t>江门（44079）</t>
  </si>
  <si>
    <t>许可证号</t>
  </si>
  <si>
    <t>成交方式</t>
  </si>
  <si>
    <t>运费</t>
  </si>
  <si>
    <t>保费</t>
  </si>
  <si>
    <t>杂费</t>
  </si>
  <si>
    <t>合同协议号</t>
  </si>
  <si>
    <t>毛重(千克)</t>
  </si>
  <si>
    <t>净重(千克)</t>
  </si>
  <si>
    <t>托盘</t>
  </si>
  <si>
    <t>集装箱号</t>
  </si>
  <si>
    <t>随附单证</t>
  </si>
  <si>
    <t>标记唛码及备注：用加固木条</t>
  </si>
  <si>
    <t>出口退税</t>
  </si>
  <si>
    <t>登壹牌，MINGSTAR牌</t>
  </si>
  <si>
    <t>用途:抑制电流突变，抑制电磁干扰，非触摸屏</t>
  </si>
  <si>
    <t>项号</t>
  </si>
  <si>
    <t>商品编号</t>
  </si>
  <si>
    <t>商品名称、规格型号</t>
  </si>
  <si>
    <t>数量及单位</t>
  </si>
  <si>
    <r>
      <rPr>
        <sz val="9"/>
        <color indexed="10"/>
        <rFont val="宋体"/>
        <charset val="134"/>
      </rPr>
      <t xml:space="preserve">最终目的国(地区) </t>
    </r>
    <r>
      <rPr>
        <sz val="9"/>
        <color indexed="10"/>
        <rFont val="宋体"/>
        <charset val="134"/>
      </rPr>
      <t xml:space="preserve">   </t>
    </r>
  </si>
  <si>
    <t>单价</t>
  </si>
  <si>
    <t xml:space="preserve">   总价       币制</t>
  </si>
  <si>
    <t>征免</t>
  </si>
  <si>
    <t>用途:抑制电流突变</t>
  </si>
  <si>
    <t>电感</t>
  </si>
  <si>
    <t>美元</t>
  </si>
  <si>
    <t>用途：抑制电磁干扰，非触摸屏</t>
  </si>
  <si>
    <t>滤波器</t>
  </si>
  <si>
    <t>录入员       录入单位</t>
  </si>
  <si>
    <t>兹声明以上内容承担如实申报、依法纳税之法律责任</t>
  </si>
  <si>
    <t xml:space="preserve">  海关批注及签章</t>
  </si>
  <si>
    <t>报关人员</t>
  </si>
  <si>
    <t>申请单位(签章)</t>
  </si>
  <si>
    <t>销  售  合  同</t>
  </si>
  <si>
    <t>PURCHASE CONTRACT</t>
  </si>
  <si>
    <r>
      <rPr>
        <sz val="12"/>
        <rFont val="宋体"/>
        <charset val="134"/>
      </rPr>
      <t>合同号</t>
    </r>
    <r>
      <rPr>
        <sz val="12"/>
        <rFont val="Arial"/>
        <charset val="134"/>
      </rPr>
      <t>:TW-17546</t>
    </r>
  </si>
  <si>
    <t>CONTRACT NO:</t>
  </si>
  <si>
    <t>日期:</t>
  </si>
  <si>
    <t>卖方:</t>
  </si>
  <si>
    <r>
      <rPr>
        <sz val="12"/>
        <rFont val="宋体"/>
        <charset val="134"/>
      </rPr>
      <t>登壹</t>
    </r>
    <r>
      <rPr>
        <sz val="12"/>
        <rFont val="宋体"/>
        <charset val="134"/>
      </rPr>
      <t>电</t>
    </r>
    <r>
      <rPr>
        <sz val="12"/>
        <rFont val="宋体"/>
        <charset val="134"/>
      </rPr>
      <t>子(</t>
    </r>
    <r>
      <rPr>
        <sz val="12"/>
        <rFont val="宋体"/>
        <charset val="134"/>
      </rPr>
      <t>开</t>
    </r>
    <r>
      <rPr>
        <sz val="12"/>
        <rFont val="宋体"/>
        <charset val="134"/>
      </rPr>
      <t>平)有限公司</t>
    </r>
  </si>
  <si>
    <t>买方:</t>
  </si>
  <si>
    <t>登壹企业股份有限公司</t>
  </si>
  <si>
    <t xml:space="preserve">   </t>
  </si>
  <si>
    <t>Buyers:</t>
  </si>
  <si>
    <t>Sellers:</t>
  </si>
  <si>
    <t>地址:</t>
  </si>
  <si>
    <t>开平市沙冈工业园兴祥路44-46号</t>
  </si>
  <si>
    <t>Address:</t>
  </si>
  <si>
    <t>9F., No.110, Sec. 3, Zhongshan Rd., Zhonghe Dist., New Taipei City 23544, Taiwan ,R.O.C.</t>
  </si>
  <si>
    <t>电话:</t>
  </si>
  <si>
    <t>0750-2226899</t>
  </si>
  <si>
    <t xml:space="preserve">886-2-3234-6785 </t>
  </si>
  <si>
    <t>TEL:</t>
  </si>
  <si>
    <t>兹经买卖双方同意,由买方购进,卖方出售下列货物,并按下列条款签订本合同:</t>
  </si>
  <si>
    <t>This CONTRACT is made by and between the Buyers and the Sellers.Whereby it is agred that Buyers and the Sellers</t>
  </si>
  <si>
    <t>SUPPLY the under mentioned goods according to the terms and condition stipulated below:</t>
  </si>
  <si>
    <t>序 号</t>
  </si>
  <si>
    <r>
      <rPr>
        <sz val="12"/>
        <rFont val="宋体"/>
        <charset val="134"/>
      </rPr>
      <t>1.</t>
    </r>
    <r>
      <rPr>
        <sz val="12"/>
        <rFont val="宋体"/>
        <charset val="134"/>
      </rPr>
      <t>商品编号</t>
    </r>
  </si>
  <si>
    <t xml:space="preserve">   2.品名及规格/客户料号</t>
  </si>
  <si>
    <r>
      <rPr>
        <sz val="12"/>
        <rFont val="宋体"/>
        <charset val="134"/>
      </rPr>
      <t>3.</t>
    </r>
    <r>
      <rPr>
        <sz val="12"/>
        <rFont val="宋体"/>
        <charset val="134"/>
      </rPr>
      <t>数</t>
    </r>
    <r>
      <rPr>
        <sz val="12"/>
        <rFont val="宋体"/>
        <charset val="134"/>
      </rPr>
      <t xml:space="preserve">  </t>
    </r>
    <r>
      <rPr>
        <sz val="12"/>
        <rFont val="宋体"/>
        <charset val="134"/>
      </rPr>
      <t>量</t>
    </r>
  </si>
  <si>
    <r>
      <rPr>
        <sz val="12"/>
        <rFont val="宋体"/>
        <charset val="134"/>
      </rPr>
      <t>4.</t>
    </r>
    <r>
      <rPr>
        <sz val="12"/>
        <rFont val="宋体"/>
        <charset val="134"/>
      </rPr>
      <t>单</t>
    </r>
    <r>
      <rPr>
        <sz val="12"/>
        <rFont val="宋体"/>
        <charset val="134"/>
      </rPr>
      <t xml:space="preserve">  </t>
    </r>
    <r>
      <rPr>
        <sz val="12"/>
        <rFont val="宋体"/>
        <charset val="134"/>
      </rPr>
      <t>价</t>
    </r>
  </si>
  <si>
    <r>
      <rPr>
        <sz val="12"/>
        <rFont val="宋体"/>
        <charset val="134"/>
      </rPr>
      <t>5.</t>
    </r>
    <r>
      <rPr>
        <sz val="12"/>
        <rFont val="宋体"/>
        <charset val="134"/>
      </rPr>
      <t>金</t>
    </r>
    <r>
      <rPr>
        <sz val="12"/>
        <rFont val="宋体"/>
        <charset val="134"/>
      </rPr>
      <t xml:space="preserve">  </t>
    </r>
    <r>
      <rPr>
        <sz val="12"/>
        <rFont val="宋体"/>
        <charset val="134"/>
      </rPr>
      <t>额</t>
    </r>
  </si>
  <si>
    <t>NO.</t>
  </si>
  <si>
    <t>H.S</t>
  </si>
  <si>
    <t xml:space="preserve"> Name of commodity and specifications</t>
  </si>
  <si>
    <t>Total Contract Value:</t>
  </si>
  <si>
    <t>Total Value</t>
  </si>
  <si>
    <r>
      <rPr>
        <sz val="8"/>
        <rFont val="宋体"/>
        <charset val="134"/>
      </rPr>
      <t>允许溢短</t>
    </r>
    <r>
      <rPr>
        <sz val="8"/>
        <rFont val="Arial Narrow"/>
        <charset val="134"/>
      </rPr>
      <t xml:space="preserve">  %</t>
    </r>
    <r>
      <rPr>
        <sz val="8"/>
        <rFont val="宋体"/>
        <charset val="134"/>
      </rPr>
      <t>，允许转运</t>
    </r>
    <r>
      <rPr>
        <sz val="8"/>
        <rFont val="Arial Narrow"/>
        <charset val="134"/>
      </rPr>
      <t>.</t>
    </r>
    <r>
      <rPr>
        <sz val="8"/>
        <rFont val="宋体"/>
        <charset val="134"/>
      </rPr>
      <t>分运。</t>
    </r>
    <r>
      <rPr>
        <sz val="8"/>
        <rFont val="Arial Narrow"/>
        <charset val="134"/>
      </rPr>
      <t>WITH  %</t>
    </r>
    <r>
      <rPr>
        <sz val="8"/>
        <rFont val="宋体"/>
        <charset val="134"/>
      </rPr>
      <t>，</t>
    </r>
    <r>
      <rPr>
        <sz val="8"/>
        <rFont val="Arial Narrow"/>
        <charset val="134"/>
      </rPr>
      <t>morc or ress shipment allowed Both transhipent and parlial shipment apowed.</t>
    </r>
  </si>
  <si>
    <r>
      <rPr>
        <sz val="12"/>
        <rFont val="宋体"/>
        <charset val="134"/>
      </rPr>
      <t>6.</t>
    </r>
    <r>
      <rPr>
        <sz val="12"/>
        <rFont val="宋体"/>
        <charset val="134"/>
      </rPr>
      <t>原产地及制造厂家：</t>
    </r>
    <r>
      <rPr>
        <sz val="12"/>
        <rFont val="宋体"/>
        <charset val="134"/>
      </rPr>
      <t>Made in china</t>
    </r>
  </si>
  <si>
    <r>
      <rPr>
        <sz val="12"/>
        <rFont val="宋体"/>
        <charset val="134"/>
      </rPr>
      <t>7.包</t>
    </r>
    <r>
      <rPr>
        <sz val="12"/>
        <rFont val="宋体"/>
        <charset val="134"/>
      </rPr>
      <t>装</t>
    </r>
    <r>
      <rPr>
        <sz val="12"/>
        <rFont val="宋体"/>
        <charset val="134"/>
      </rPr>
      <t>:</t>
    </r>
    <r>
      <rPr>
        <sz val="12"/>
        <rFont val="宋体"/>
        <charset val="134"/>
      </rPr>
      <t>纸箱</t>
    </r>
  </si>
  <si>
    <t>6.Country Of Origin And Manufacturers:</t>
  </si>
  <si>
    <t>7.PACKING:</t>
  </si>
  <si>
    <t>8.交货日期:</t>
  </si>
  <si>
    <t>9.装运口岸:</t>
  </si>
  <si>
    <t>KAIPING</t>
  </si>
  <si>
    <t xml:space="preserve">      </t>
  </si>
  <si>
    <t>8.Date Of Delivery:</t>
  </si>
  <si>
    <t>9.PORT OF SHIPMENT:</t>
  </si>
  <si>
    <r>
      <rPr>
        <sz val="12"/>
        <rFont val="宋体"/>
        <charset val="134"/>
      </rPr>
      <t>10.目的口岸:江</t>
    </r>
    <r>
      <rPr>
        <sz val="12"/>
        <rFont val="宋体"/>
        <charset val="134"/>
      </rPr>
      <t>苏</t>
    </r>
  </si>
  <si>
    <r>
      <rPr>
        <sz val="12"/>
        <rFont val="宋体"/>
        <charset val="134"/>
      </rPr>
      <t>11.</t>
    </r>
    <r>
      <rPr>
        <sz val="12"/>
        <rFont val="宋体"/>
        <charset val="134"/>
      </rPr>
      <t>运输</t>
    </r>
    <r>
      <rPr>
        <sz val="12"/>
        <rFont val="宋体"/>
        <charset val="134"/>
      </rPr>
      <t>方式:</t>
    </r>
  </si>
  <si>
    <t>10.Port Of Desteination:</t>
  </si>
  <si>
    <t>11.Means Of Transportation:</t>
  </si>
  <si>
    <t>12.保险:</t>
  </si>
  <si>
    <t>13.付款方式:</t>
  </si>
  <si>
    <t>T/T</t>
  </si>
  <si>
    <t>12.Insurance:</t>
  </si>
  <si>
    <t>13.Terms  Of Payment:</t>
  </si>
  <si>
    <t>14.单证:</t>
  </si>
  <si>
    <t>A.海运:全套清洁已装船海运提单,注明“运费已付”/“运费到付”空白抬头，空白背书面通知买方。</t>
  </si>
  <si>
    <t xml:space="preserve">  空运：  份注明“运费已付”/“运费到付”，以买方为收货人的空运单。</t>
  </si>
  <si>
    <t xml:space="preserve">  其他方式：一份能证明证明货物已运送给买方，代表货物处置权/所有权的凭证。</t>
  </si>
  <si>
    <r>
      <rPr>
        <sz val="9"/>
        <rFont val="宋体"/>
        <charset val="134"/>
      </rPr>
      <t>B.商业发票一式</t>
    </r>
    <r>
      <rPr>
        <u/>
        <sz val="9"/>
        <rFont val="宋体"/>
        <charset val="134"/>
      </rPr>
      <t xml:space="preserve">   </t>
    </r>
    <r>
      <rPr>
        <sz val="9"/>
        <rFont val="宋体"/>
        <charset val="134"/>
      </rPr>
      <t>份。注明合同号.唛头及信用证号,如系分批装运,须注明分批号。</t>
    </r>
  </si>
  <si>
    <r>
      <rPr>
        <sz val="9"/>
        <rFont val="宋体"/>
        <charset val="134"/>
      </rPr>
      <t>C.装箱单或重量单一式</t>
    </r>
    <r>
      <rPr>
        <u/>
        <sz val="9"/>
        <rFont val="宋体"/>
        <charset val="134"/>
      </rPr>
      <t xml:space="preserve">   </t>
    </r>
    <r>
      <rPr>
        <sz val="9"/>
        <rFont val="宋体"/>
        <charset val="134"/>
      </rPr>
      <t>份.</t>
    </r>
  </si>
  <si>
    <t>D.其它单证:</t>
  </si>
  <si>
    <t>14.Documents:</t>
  </si>
  <si>
    <t xml:space="preserve">A.In case Of freight:Full set Of clean on board ocean bill of lading made out to order and endorsed in biank </t>
  </si>
  <si>
    <t xml:space="preserve">  markde“FREIGHT PREPAID”/“FREIGHT TO COLLECT”notily the buyers.</t>
  </si>
  <si>
    <r>
      <rPr>
        <sz val="8"/>
        <rFont val="Arial Narrow"/>
        <charset val="134"/>
      </rPr>
      <t xml:space="preserve">  In case of air freight</t>
    </r>
    <r>
      <rPr>
        <sz val="8"/>
        <rFont val="宋体"/>
        <charset val="134"/>
      </rPr>
      <t>：</t>
    </r>
    <r>
      <rPr>
        <sz val="8"/>
        <rFont val="Arial Narrow"/>
        <charset val="134"/>
      </rPr>
      <t>One copy of air bill consigned to the Buyers</t>
    </r>
    <r>
      <rPr>
        <sz val="8"/>
        <rFont val="宋体"/>
        <charset val="134"/>
      </rPr>
      <t>，</t>
    </r>
    <r>
      <rPr>
        <sz val="8"/>
        <rFont val="Arial Narrow"/>
        <charset val="134"/>
      </rPr>
      <t>marked“FREIGHT PREPAID”/“FREIGHT COLLECT”.</t>
    </r>
  </si>
  <si>
    <r>
      <rPr>
        <sz val="8"/>
        <rFont val="Arial Narrow"/>
        <charset val="134"/>
      </rPr>
      <t xml:space="preserve"> In other case</t>
    </r>
    <r>
      <rPr>
        <sz val="8"/>
        <rFont val="宋体"/>
        <charset val="134"/>
      </rPr>
      <t>：</t>
    </r>
    <r>
      <rPr>
        <sz val="8"/>
        <rFont val="Arial Narrow"/>
        <charset val="134"/>
      </rPr>
      <t>One copy of document which can prove the goods has been deilverde to the Buyers</t>
    </r>
    <r>
      <rPr>
        <sz val="8"/>
        <rFont val="宋体"/>
        <charset val="134"/>
      </rPr>
      <t>，</t>
    </r>
    <r>
      <rPr>
        <sz val="8"/>
        <rFont val="Arial Narrow"/>
        <charset val="134"/>
      </rPr>
      <t>and represents the of contracted goods.</t>
    </r>
  </si>
  <si>
    <r>
      <rPr>
        <sz val="8"/>
        <rFont val="Arial Narrow"/>
        <charset val="134"/>
      </rPr>
      <t>B.Commercial invoice in</t>
    </r>
    <r>
      <rPr>
        <u/>
        <sz val="8"/>
        <rFont val="Arial Narrow"/>
        <charset val="134"/>
      </rPr>
      <t xml:space="preserve">     </t>
    </r>
    <r>
      <rPr>
        <sz val="8"/>
        <rFont val="Arial Narrow"/>
        <charset val="134"/>
      </rPr>
      <t>indicating the Contract No.The shipping mark(s)and L/C No.The lot number shall be added if the</t>
    </r>
  </si>
  <si>
    <t xml:space="preserve">  goods are separtely shipped.</t>
  </si>
  <si>
    <r>
      <rPr>
        <sz val="8"/>
        <rFont val="Arial Narrow"/>
        <charset val="134"/>
      </rPr>
      <t>C.Packing list or weihgt note in</t>
    </r>
    <r>
      <rPr>
        <u/>
        <sz val="8"/>
        <rFont val="Arial Narrow"/>
        <charset val="134"/>
      </rPr>
      <t xml:space="preserve">        </t>
    </r>
    <r>
      <rPr>
        <sz val="8"/>
        <rFont val="Arial Narrow"/>
        <charset val="134"/>
      </rPr>
      <t xml:space="preserve">  </t>
    </r>
  </si>
  <si>
    <t>D.Other documents.</t>
  </si>
  <si>
    <t>卖方(The Sellers):</t>
  </si>
  <si>
    <t>买方(The Buyers):</t>
  </si>
  <si>
    <t>登壹电子(开平)有限公司</t>
  </si>
  <si>
    <r>
      <rPr>
        <sz val="10"/>
        <rFont val="新細明體"/>
        <charset val="134"/>
      </rPr>
      <t>出口</t>
    </r>
    <r>
      <rPr>
        <sz val="10"/>
        <rFont val="宋体"/>
        <charset val="134"/>
      </rPr>
      <t>货物装箱单</t>
    </r>
  </si>
  <si>
    <r>
      <rPr>
        <sz val="10"/>
        <rFont val="細明體"/>
        <charset val="136"/>
      </rPr>
      <t xml:space="preserve">商    </t>
    </r>
    <r>
      <rPr>
        <sz val="10"/>
        <rFont val="宋体"/>
        <charset val="134"/>
      </rPr>
      <t>号</t>
    </r>
    <r>
      <rPr>
        <sz val="10"/>
        <rFont val="細明體"/>
        <charset val="136"/>
      </rPr>
      <t>:</t>
    </r>
  </si>
  <si>
    <t>海关编号:</t>
  </si>
  <si>
    <r>
      <rPr>
        <sz val="10"/>
        <rFont val="宋体"/>
        <charset val="134"/>
      </rPr>
      <t>发货单位</t>
    </r>
    <r>
      <rPr>
        <sz val="10"/>
        <rFont val="細明體"/>
        <charset val="136"/>
      </rPr>
      <t xml:space="preserve">: </t>
    </r>
  </si>
  <si>
    <t>手册编号:</t>
  </si>
  <si>
    <r>
      <rPr>
        <sz val="10"/>
        <rFont val="宋体"/>
        <charset val="134"/>
      </rPr>
      <t>协议</t>
    </r>
    <r>
      <rPr>
        <sz val="10"/>
        <rFont val="Times New Roman"/>
        <charset val="134"/>
      </rPr>
      <t>(</t>
    </r>
    <r>
      <rPr>
        <sz val="10"/>
        <rFont val="新細明體"/>
        <charset val="134"/>
      </rPr>
      <t>合同</t>
    </r>
    <r>
      <rPr>
        <sz val="10"/>
        <rFont val="Times New Roman"/>
        <charset val="134"/>
      </rPr>
      <t>):</t>
    </r>
  </si>
  <si>
    <t>国内车牌:</t>
  </si>
  <si>
    <r>
      <rPr>
        <sz val="10"/>
        <rFont val="宋体"/>
        <charset val="134"/>
      </rPr>
      <t>起始国</t>
    </r>
    <r>
      <rPr>
        <sz val="10"/>
        <rFont val="Times New Roman"/>
        <charset val="134"/>
      </rPr>
      <t>(</t>
    </r>
    <r>
      <rPr>
        <sz val="10"/>
        <rFont val="新細明體"/>
        <charset val="134"/>
      </rPr>
      <t>地</t>
    </r>
    <r>
      <rPr>
        <sz val="10"/>
        <rFont val="宋体"/>
        <charset val="134"/>
      </rPr>
      <t>区</t>
    </r>
    <r>
      <rPr>
        <sz val="10"/>
        <rFont val="Times New Roman"/>
        <charset val="134"/>
      </rPr>
      <t>):</t>
    </r>
  </si>
  <si>
    <t>司机姓名﹕</t>
  </si>
  <si>
    <t>件数:</t>
  </si>
  <si>
    <r>
      <rPr>
        <sz val="10"/>
        <rFont val="新細明體"/>
        <charset val="134"/>
      </rPr>
      <t>包裝种</t>
    </r>
    <r>
      <rPr>
        <sz val="10"/>
        <rFont val="宋体"/>
        <charset val="134"/>
      </rPr>
      <t>类</t>
    </r>
    <r>
      <rPr>
        <sz val="10"/>
        <rFont val="新細明體"/>
        <charset val="134"/>
      </rPr>
      <t>:</t>
    </r>
  </si>
  <si>
    <r>
      <rPr>
        <sz val="10"/>
        <color indexed="8"/>
        <rFont val="細明體"/>
        <charset val="136"/>
      </rPr>
      <t>托</t>
    </r>
    <r>
      <rPr>
        <sz val="10"/>
        <color indexed="8"/>
        <rFont val="宋体"/>
        <charset val="134"/>
      </rPr>
      <t>盘</t>
    </r>
  </si>
  <si>
    <t>毛重(公斤):</t>
  </si>
  <si>
    <t>净重（公斤）：105.78</t>
  </si>
  <si>
    <t>品名：电感</t>
  </si>
  <si>
    <r>
      <rPr>
        <sz val="10"/>
        <rFont val="新細明體"/>
        <charset val="134"/>
      </rPr>
      <t xml:space="preserve">卡板號
</t>
    </r>
    <r>
      <rPr>
        <sz val="10"/>
        <rFont val="Arial"/>
        <charset val="134"/>
      </rPr>
      <t>PLT#</t>
    </r>
  </si>
  <si>
    <t>箱號</t>
  </si>
  <si>
    <t>型號</t>
  </si>
  <si>
    <t>品名規格</t>
  </si>
  <si>
    <r>
      <rPr>
        <sz val="10"/>
        <rFont val="新細明體"/>
        <charset val="134"/>
      </rPr>
      <t xml:space="preserve">數量
</t>
    </r>
    <r>
      <rPr>
        <sz val="10"/>
        <rFont val="Arial"/>
        <charset val="134"/>
      </rPr>
      <t>(PCS)</t>
    </r>
  </si>
  <si>
    <r>
      <rPr>
        <sz val="10"/>
        <rFont val="新細明體"/>
        <charset val="134"/>
      </rPr>
      <t>每箱數量（</t>
    </r>
    <r>
      <rPr>
        <sz val="10"/>
        <rFont val="Arial"/>
        <charset val="134"/>
      </rPr>
      <t>PCS</t>
    </r>
    <r>
      <rPr>
        <sz val="10"/>
        <rFont val="新細明體"/>
        <charset val="134"/>
      </rPr>
      <t>）</t>
    </r>
  </si>
  <si>
    <t>箱數</t>
  </si>
  <si>
    <r>
      <rPr>
        <sz val="10"/>
        <rFont val="新細明體"/>
        <charset val="134"/>
      </rPr>
      <t xml:space="preserve">單箱凈重
</t>
    </r>
    <r>
      <rPr>
        <sz val="10"/>
        <rFont val="Arial"/>
        <charset val="134"/>
      </rPr>
      <t xml:space="preserve">     (KG)</t>
    </r>
  </si>
  <si>
    <r>
      <rPr>
        <sz val="10"/>
        <rFont val="新細明體"/>
        <charset val="134"/>
      </rPr>
      <t>單箱毛重</t>
    </r>
    <r>
      <rPr>
        <sz val="10"/>
        <rFont val="Arial"/>
        <charset val="134"/>
      </rPr>
      <t>(KG)</t>
    </r>
  </si>
  <si>
    <r>
      <rPr>
        <sz val="10"/>
        <rFont val="新細明體"/>
        <charset val="134"/>
      </rPr>
      <t>合計凈重</t>
    </r>
    <r>
      <rPr>
        <sz val="10"/>
        <rFont val="Arial"/>
        <charset val="134"/>
      </rPr>
      <t xml:space="preserve"> 
(KG)</t>
    </r>
  </si>
  <si>
    <r>
      <rPr>
        <sz val="10"/>
        <rFont val="新細明體"/>
        <charset val="134"/>
      </rPr>
      <t>合計毛重</t>
    </r>
    <r>
      <rPr>
        <sz val="10"/>
        <rFont val="Arial"/>
        <charset val="134"/>
      </rPr>
      <t xml:space="preserve"> 
(KG)</t>
    </r>
  </si>
  <si>
    <t>23</t>
  </si>
  <si>
    <t>34</t>
  </si>
  <si>
    <r>
      <rPr>
        <sz val="10"/>
        <rFont val="細明體"/>
        <charset val="136"/>
      </rPr>
      <t>塑膠棧板</t>
    </r>
    <r>
      <rPr>
        <sz val="10"/>
        <rFont val="Arial"/>
        <charset val="134"/>
      </rPr>
      <t>X1</t>
    </r>
  </si>
  <si>
    <t>MINGSTAR ELECTRNIC(KAIPING)CO.,LTD.</t>
  </si>
  <si>
    <r>
      <rPr>
        <sz val="12"/>
        <rFont val="宋体"/>
        <charset val="134"/>
      </rPr>
      <t>开平市沙冈工业园兴祥路</t>
    </r>
    <r>
      <rPr>
        <sz val="12"/>
        <rFont val="Times New Roman"/>
        <charset val="134"/>
      </rPr>
      <t>44-46</t>
    </r>
    <r>
      <rPr>
        <sz val="12"/>
        <rFont val="宋体"/>
        <charset val="134"/>
      </rPr>
      <t>号</t>
    </r>
  </si>
  <si>
    <t>Tel:0750-2226899 Fax:0750-2226788</t>
  </si>
  <si>
    <t>发  票</t>
  </si>
  <si>
    <t xml:space="preserve">发票号码： </t>
  </si>
  <si>
    <t>买方：登壹企业股份有限公司</t>
  </si>
  <si>
    <t>卖方：登壹电子(开平)有限公司</t>
  </si>
  <si>
    <r>
      <rPr>
        <b/>
        <sz val="11"/>
        <rFont val="宋体"/>
        <charset val="134"/>
      </rPr>
      <t>货源地</t>
    </r>
    <r>
      <rPr>
        <b/>
        <sz val="11"/>
        <rFont val="Times New Roman"/>
        <charset val="134"/>
      </rPr>
      <t>/</t>
    </r>
    <r>
      <rPr>
        <b/>
        <sz val="11"/>
        <rFont val="宋体"/>
        <charset val="134"/>
      </rPr>
      <t>产地：广东开平</t>
    </r>
  </si>
  <si>
    <t>合同号：</t>
  </si>
  <si>
    <t>成交方式：FOB 江门</t>
  </si>
  <si>
    <r>
      <rPr>
        <b/>
        <sz val="11"/>
        <rFont val="宋体"/>
        <charset val="134"/>
      </rPr>
      <t>付汇方式：电汇</t>
    </r>
    <r>
      <rPr>
        <b/>
        <sz val="11"/>
        <rFont val="Times New Roman"/>
        <charset val="134"/>
      </rPr>
      <t xml:space="preserve"> </t>
    </r>
  </si>
  <si>
    <t>包装种类：纸箱</t>
  </si>
  <si>
    <t>序号</t>
  </si>
  <si>
    <t>商品编码</t>
  </si>
  <si>
    <t>Description             品名及规格</t>
  </si>
  <si>
    <t>数量（个）</t>
  </si>
  <si>
    <t>单价（USD）</t>
  </si>
  <si>
    <t>总价（USD）</t>
  </si>
  <si>
    <t>TOTAL:</t>
  </si>
  <si>
    <t>发货单位(签章):登壹电子(开平)有限公司</t>
  </si>
  <si>
    <t>塑膠棧板X1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</si>
</sst>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.00_ "/>
    <numFmt numFmtId="165" formatCode="0.0000_ "/>
    <numFmt numFmtId="166" formatCode="[$USD]\ #,##0.00;[$USD]\ \-#,##0.00"/>
    <numFmt numFmtId="167" formatCode="0.00_ "/>
    <numFmt numFmtId="168" formatCode="0.00_);[Red]\(0.00\)"/>
    <numFmt numFmtId="169" formatCode="0.0000"/>
    <numFmt numFmtId="170" formatCode="0.000_ "/>
    <numFmt numFmtId="171" formatCode="0_ "/>
    <numFmt numFmtId="172" formatCode="0.0000_);[Red]\(0.0000\)"/>
    <numFmt numFmtId="173" formatCode="yyyy/m/d;@"/>
    <numFmt numFmtId="174" formatCode="0.00000_);[Red]\(0.00000\)"/>
  </numFmts>
  <fonts count="61">
    <font>
      <sz val="11"/>
      <color theme="1"/>
      <name val="Calibri"/>
      <charset val="134"/>
      <scheme val="minor"/>
    </font>
    <font>
      <b/>
      <sz val="18"/>
      <name val="华文中宋"/>
      <charset val="134"/>
    </font>
    <font>
      <b/>
      <sz val="16"/>
      <name val="Times New Roman"/>
      <charset val="134"/>
    </font>
    <font>
      <sz val="12"/>
      <name val="宋体"/>
      <charset val="134"/>
    </font>
    <font>
      <sz val="12"/>
      <name val="Times New Roman"/>
      <charset val="134"/>
    </font>
    <font>
      <sz val="10"/>
      <name val="Times New Roman"/>
      <charset val="134"/>
    </font>
    <font>
      <b/>
      <sz val="16"/>
      <name val="宋体"/>
      <charset val="134"/>
    </font>
    <font>
      <sz val="20"/>
      <name val="Times New Roman"/>
      <charset val="134"/>
    </font>
    <font>
      <b/>
      <sz val="11"/>
      <name val="宋体"/>
      <charset val="134"/>
    </font>
    <font>
      <b/>
      <sz val="11"/>
      <name val="Times New Roman"/>
      <charset val="134"/>
    </font>
    <font>
      <b/>
      <sz val="10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4"/>
      <name val="Times New Roman"/>
      <charset val="134"/>
    </font>
    <font>
      <sz val="12"/>
      <name val="Arial"/>
      <charset val="134"/>
    </font>
    <font>
      <b/>
      <sz val="12"/>
      <name val="Times New Roman"/>
      <charset val="134"/>
    </font>
    <font>
      <sz val="14"/>
      <name val="宋体"/>
      <charset val="134"/>
    </font>
    <font>
      <sz val="10"/>
      <name val="Arial"/>
      <charset val="134"/>
    </font>
    <font>
      <sz val="10"/>
      <name val="新細明體"/>
      <charset val="134"/>
    </font>
    <font>
      <sz val="10"/>
      <color indexed="8"/>
      <name val="Arial"/>
      <charset val="134"/>
    </font>
    <font>
      <sz val="10"/>
      <name val="細明體"/>
      <charset val="136"/>
    </font>
    <font>
      <sz val="10"/>
      <name val="Helv"/>
      <charset val="134"/>
    </font>
    <font>
      <sz val="10"/>
      <color indexed="8"/>
      <name val="細明體"/>
      <charset val="136"/>
    </font>
    <font>
      <b/>
      <sz val="20"/>
      <name val="宋体"/>
      <charset val="134"/>
    </font>
    <font>
      <b/>
      <sz val="14"/>
      <name val="宋体"/>
      <charset val="134"/>
    </font>
    <font>
      <sz val="9"/>
      <name val="Arial Narrow"/>
      <charset val="134"/>
    </font>
    <font>
      <sz val="11"/>
      <name val="新細明體"/>
      <charset val="136"/>
    </font>
    <font>
      <sz val="10"/>
      <name val="Arial Narrow"/>
      <charset val="134"/>
    </font>
    <font>
      <sz val="12"/>
      <name val="Arial Narrow"/>
      <charset val="134"/>
    </font>
    <font>
      <sz val="8"/>
      <name val="Arial Narrow"/>
      <charset val="134"/>
    </font>
    <font>
      <sz val="8"/>
      <name val="宋体"/>
      <charset val="134"/>
    </font>
    <font>
      <sz val="11"/>
      <name val="Arial Narrow"/>
      <charset val="134"/>
    </font>
    <font>
      <sz val="9"/>
      <name val="宋体"/>
      <charset val="134"/>
    </font>
    <font>
      <sz val="12"/>
      <name val="新細明體"/>
      <charset val="136"/>
    </font>
    <font>
      <u/>
      <sz val="18"/>
      <name val="黑体"/>
      <charset val="134"/>
    </font>
    <font>
      <sz val="18"/>
      <name val="黑体"/>
      <charset val="134"/>
    </font>
    <font>
      <sz val="10"/>
      <color indexed="10"/>
      <name val="宋体"/>
      <charset val="134"/>
    </font>
    <font>
      <sz val="10"/>
      <color indexed="30"/>
      <name val="宋体"/>
      <charset val="134"/>
    </font>
    <font>
      <b/>
      <sz val="12"/>
      <name val="宋体"/>
      <charset val="134"/>
    </font>
    <font>
      <sz val="9"/>
      <color indexed="10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10"/>
      <color indexed="10"/>
      <name val="Times New Roman"/>
      <charset val="134"/>
    </font>
    <font>
      <b/>
      <sz val="12"/>
      <color indexed="10"/>
      <name val="宋体"/>
      <charset val="134"/>
    </font>
    <font>
      <sz val="12"/>
      <color theme="1"/>
      <name val="Calibri"/>
      <charset val="134"/>
      <scheme val="minor"/>
    </font>
    <font>
      <b/>
      <sz val="18"/>
      <name val="Arial"/>
      <charset val="134"/>
    </font>
    <font>
      <b/>
      <sz val="10"/>
      <name val="Arial"/>
      <charset val="134"/>
    </font>
    <font>
      <sz val="10"/>
      <name val="微软雅黑"/>
      <charset val="134"/>
    </font>
    <font>
      <sz val="10"/>
      <color rgb="FFFF0000"/>
      <name val="宋体"/>
      <charset val="134"/>
    </font>
    <font>
      <sz val="11"/>
      <color theme="1"/>
      <name val="Calibri"/>
      <charset val="134"/>
    </font>
    <font>
      <sz val="12"/>
      <name val="微软雅黑"/>
      <charset val="134"/>
    </font>
    <font>
      <b/>
      <sz val="10"/>
      <name val="新細明體"/>
      <charset val="134"/>
    </font>
    <font>
      <sz val="18"/>
      <color theme="1"/>
      <name val="Calibri"/>
      <charset val="134"/>
      <scheme val="minor"/>
    </font>
    <font>
      <sz val="10"/>
      <color rgb="FFFF0000"/>
      <name val="Arial"/>
      <charset val="134"/>
    </font>
    <font>
      <sz val="10"/>
      <color indexed="12"/>
      <name val="新細明體"/>
      <charset val="134"/>
    </font>
    <font>
      <sz val="10"/>
      <color theme="1"/>
      <name val="Arial"/>
      <charset val="134"/>
    </font>
    <font>
      <sz val="10"/>
      <color indexed="8"/>
      <name val="宋体"/>
      <charset val="134"/>
    </font>
    <font>
      <u/>
      <sz val="9"/>
      <name val="宋体"/>
      <charset val="134"/>
    </font>
    <font>
      <u/>
      <sz val="8"/>
      <name val="Arial Narrow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9">
    <xf numFmtId="0" fontId="0" fillId="0" borderId="0">
      <alignment vertical="center"/>
    </xf>
    <xf numFmtId="0" fontId="21" fillId="0" borderId="0"/>
    <xf numFmtId="0" fontId="19" fillId="0" borderId="0">
      <alignment vertical="top"/>
    </xf>
    <xf numFmtId="0" fontId="3" fillId="0" borderId="0"/>
    <xf numFmtId="0" fontId="59" fillId="0" borderId="0">
      <alignment vertical="center"/>
    </xf>
    <xf numFmtId="0" fontId="19" fillId="0" borderId="0">
      <alignment vertical="top"/>
    </xf>
    <xf numFmtId="0" fontId="3" fillId="0" borderId="0"/>
    <xf numFmtId="0" fontId="19" fillId="0" borderId="0">
      <alignment vertical="top"/>
    </xf>
    <xf numFmtId="0" fontId="3" fillId="0" borderId="0"/>
  </cellStyleXfs>
  <cellXfs count="519">
    <xf numFmtId="0" fontId="0" fillId="0" borderId="0" xfId="0">
      <alignment vertical="center"/>
    </xf>
    <xf numFmtId="0" fontId="7" fillId="0" borderId="0" xfId="7" applyFont="1" applyAlignment="1">
      <alignment horizontal="center"/>
    </xf>
    <xf numFmtId="0" fontId="8" fillId="0" borderId="0" xfId="7" applyFont="1" applyAlignment="1">
      <alignment vertical="center"/>
    </xf>
    <xf numFmtId="0" fontId="8" fillId="0" borderId="0" xfId="7" applyFont="1" applyAlignment="1">
      <alignment horizontal="center" vertical="center"/>
    </xf>
    <xf numFmtId="0" fontId="3" fillId="0" borderId="0" xfId="7" applyFont="1" applyAlignment="1">
      <alignment vertical="center"/>
    </xf>
    <xf numFmtId="0" fontId="9" fillId="0" borderId="0" xfId="7" applyFont="1" applyAlignment="1">
      <alignment horizontal="left" vertical="center"/>
    </xf>
    <xf numFmtId="0" fontId="8" fillId="0" borderId="0" xfId="7" applyFont="1" applyAlignment="1">
      <alignment horizontal="left" vertical="center"/>
    </xf>
    <xf numFmtId="0" fontId="8" fillId="0" borderId="0" xfId="7" applyFont="1" applyAlignment="1"/>
    <xf numFmtId="0" fontId="8" fillId="0" borderId="0" xfId="7" applyFont="1" applyAlignment="1">
      <alignment horizontal="center"/>
    </xf>
    <xf numFmtId="0" fontId="8" fillId="0" borderId="0" xfId="7" applyFont="1" applyAlignment="1">
      <alignment horizontal="left"/>
    </xf>
    <xf numFmtId="0" fontId="8" fillId="0" borderId="0" xfId="7" applyFont="1" applyAlignment="1">
      <alignment vertical="center" wrapText="1"/>
    </xf>
    <xf numFmtId="0" fontId="3" fillId="0" borderId="0" xfId="7" applyFont="1" applyAlignment="1">
      <alignment vertical="center" wrapText="1"/>
    </xf>
    <xf numFmtId="0" fontId="9" fillId="0" borderId="0" xfId="7" applyFont="1" applyAlignment="1">
      <alignment vertical="center"/>
    </xf>
    <xf numFmtId="0" fontId="11" fillId="0" borderId="0" xfId="7" applyFont="1" applyAlignment="1">
      <alignment vertical="center"/>
    </xf>
    <xf numFmtId="0" fontId="12" fillId="0" borderId="0" xfId="7" applyFont="1" applyAlignment="1">
      <alignment vertical="center"/>
    </xf>
    <xf numFmtId="0" fontId="12" fillId="0" borderId="2" xfId="7" applyFont="1" applyBorder="1" applyAlignment="1">
      <alignment horizontal="center" vertical="center" wrapText="1"/>
    </xf>
    <xf numFmtId="0" fontId="12" fillId="0" borderId="3" xfId="7" applyFont="1" applyBorder="1" applyAlignment="1">
      <alignment horizontal="center" vertical="center" wrapText="1"/>
    </xf>
    <xf numFmtId="0" fontId="12" fillId="0" borderId="4" xfId="7" applyFont="1" applyBorder="1" applyAlignment="1">
      <alignment horizontal="center" vertical="center" wrapText="1"/>
    </xf>
    <xf numFmtId="0" fontId="13" fillId="0" borderId="5" xfId="7" applyFont="1" applyBorder="1" applyAlignment="1">
      <alignment horizontal="center" vertical="center" wrapText="1"/>
    </xf>
    <xf numFmtId="0" fontId="14" fillId="0" borderId="6" xfId="7" applyFont="1" applyBorder="1" applyAlignment="1">
      <alignment horizontal="center" vertical="center" wrapText="1"/>
    </xf>
    <xf numFmtId="3" fontId="14" fillId="0" borderId="6" xfId="7" applyNumberFormat="1" applyFont="1" applyBorder="1" applyAlignment="1">
      <alignment horizontal="center" vertical="center" wrapText="1"/>
    </xf>
    <xf numFmtId="165" fontId="14" fillId="0" borderId="6" xfId="7" applyNumberFormat="1" applyFont="1" applyBorder="1" applyAlignment="1">
      <alignment horizontal="center" vertical="center" wrapText="1"/>
    </xf>
    <xf numFmtId="4" fontId="14" fillId="0" borderId="7" xfId="7" applyNumberFormat="1" applyFont="1" applyBorder="1" applyAlignment="1">
      <alignment horizontal="center" vertical="center" wrapText="1"/>
    </xf>
    <xf numFmtId="3" fontId="0" fillId="0" borderId="0" xfId="0" applyNumberFormat="1">
      <alignment vertical="center"/>
    </xf>
    <xf numFmtId="0" fontId="13" fillId="0" borderId="8" xfId="7" applyFont="1" applyBorder="1" applyAlignment="1">
      <alignment horizontal="center" vertical="center" wrapText="1"/>
    </xf>
    <xf numFmtId="0" fontId="3" fillId="2" borderId="9" xfId="2" applyFont="1" applyFill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3" fontId="14" fillId="0" borderId="10" xfId="7" applyNumberFormat="1" applyFont="1" applyBorder="1" applyAlignment="1">
      <alignment horizontal="center" vertical="center" wrapText="1"/>
    </xf>
    <xf numFmtId="4" fontId="14" fillId="0" borderId="11" xfId="7" applyNumberFormat="1" applyFont="1" applyBorder="1" applyAlignment="1">
      <alignment horizontal="center" vertical="center" wrapText="1"/>
    </xf>
    <xf numFmtId="0" fontId="15" fillId="0" borderId="12" xfId="7" applyFont="1" applyBorder="1" applyAlignment="1">
      <alignment horizontal="center" vertical="center"/>
    </xf>
    <xf numFmtId="3" fontId="13" fillId="0" borderId="13" xfId="7" applyNumberFormat="1" applyFont="1" applyBorder="1" applyAlignment="1">
      <alignment horizontal="center" vertical="center"/>
    </xf>
    <xf numFmtId="0" fontId="13" fillId="0" borderId="13" xfId="7" applyFont="1" applyBorder="1" applyAlignment="1">
      <alignment horizontal="center" vertical="center"/>
    </xf>
    <xf numFmtId="166" fontId="13" fillId="0" borderId="14" xfId="7" applyNumberFormat="1" applyFont="1" applyBorder="1" applyAlignment="1">
      <alignment horizontal="center" vertical="center"/>
    </xf>
    <xf numFmtId="0" fontId="17" fillId="0" borderId="0" xfId="7" applyFont="1" applyAlignment="1"/>
    <xf numFmtId="0" fontId="18" fillId="3" borderId="0" xfId="0" applyFont="1" applyFill="1">
      <alignment vertical="center"/>
    </xf>
    <xf numFmtId="0" fontId="19" fillId="3" borderId="0" xfId="0" applyFont="1" applyFill="1" applyAlignment="1">
      <alignment horizontal="center"/>
    </xf>
    <xf numFmtId="0" fontId="18" fillId="3" borderId="0" xfId="0" applyFont="1" applyFill="1" applyAlignment="1"/>
    <xf numFmtId="0" fontId="11" fillId="3" borderId="15" xfId="1" applyFont="1" applyFill="1" applyBorder="1" applyAlignment="1">
      <alignment vertical="center"/>
    </xf>
    <xf numFmtId="0" fontId="21" fillId="3" borderId="15" xfId="1" applyFill="1" applyBorder="1" applyAlignment="1">
      <alignment vertical="center"/>
    </xf>
    <xf numFmtId="0" fontId="21" fillId="3" borderId="0" xfId="1" applyFill="1" applyAlignment="1">
      <alignment vertical="center"/>
    </xf>
    <xf numFmtId="0" fontId="11" fillId="3" borderId="0" xfId="1" applyFont="1" applyFill="1" applyAlignment="1">
      <alignment horizontal="right" vertical="center"/>
    </xf>
    <xf numFmtId="0" fontId="11" fillId="3" borderId="0" xfId="1" applyFont="1" applyFill="1" applyAlignment="1">
      <alignment horizontal="left" vertical="center"/>
    </xf>
    <xf numFmtId="0" fontId="11" fillId="3" borderId="0" xfId="1" applyFont="1" applyFill="1" applyAlignment="1">
      <alignment vertical="center"/>
    </xf>
    <xf numFmtId="0" fontId="11" fillId="3" borderId="16" xfId="1" applyFont="1" applyFill="1" applyBorder="1" applyAlignment="1">
      <alignment vertical="center"/>
    </xf>
    <xf numFmtId="0" fontId="5" fillId="3" borderId="16" xfId="1" applyFont="1" applyFill="1" applyBorder="1" applyAlignment="1">
      <alignment vertical="center"/>
    </xf>
    <xf numFmtId="0" fontId="5" fillId="3" borderId="0" xfId="1" applyFont="1" applyFill="1" applyAlignment="1">
      <alignment vertical="center"/>
    </xf>
    <xf numFmtId="0" fontId="5" fillId="3" borderId="15" xfId="1" applyFont="1" applyFill="1" applyBorder="1" applyAlignment="1">
      <alignment horizontal="center" vertical="center"/>
    </xf>
    <xf numFmtId="0" fontId="18" fillId="3" borderId="16" xfId="1" applyFont="1" applyFill="1" applyBorder="1" applyAlignment="1">
      <alignment horizontal="center" vertical="center"/>
    </xf>
    <xf numFmtId="0" fontId="22" fillId="3" borderId="9" xfId="0" applyFont="1" applyFill="1" applyBorder="1" applyAlignment="1">
      <alignment horizontal="center" vertical="center"/>
    </xf>
    <xf numFmtId="0" fontId="18" fillId="3" borderId="18" xfId="5" applyFont="1" applyFill="1" applyBorder="1" applyAlignment="1">
      <alignment horizontal="center" vertical="center" wrapText="1"/>
    </xf>
    <xf numFmtId="0" fontId="18" fillId="3" borderId="18" xfId="5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 wrapText="1"/>
    </xf>
    <xf numFmtId="49" fontId="17" fillId="3" borderId="9" xfId="0" applyNumberFormat="1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168" fontId="17" fillId="3" borderId="9" xfId="0" applyNumberFormat="1" applyFont="1" applyFill="1" applyBorder="1" applyAlignment="1">
      <alignment horizontal="center" vertical="center"/>
    </xf>
    <xf numFmtId="0" fontId="17" fillId="3" borderId="20" xfId="5" applyFont="1" applyFill="1" applyBorder="1" applyAlignment="1">
      <alignment horizontal="center" vertical="center" shrinkToFit="1"/>
    </xf>
    <xf numFmtId="38" fontId="19" fillId="3" borderId="9" xfId="0" applyNumberFormat="1" applyFont="1" applyFill="1" applyBorder="1" applyAlignment="1">
      <alignment horizontal="center" vertical="center"/>
    </xf>
    <xf numFmtId="40" fontId="19" fillId="3" borderId="9" xfId="0" applyNumberFormat="1" applyFont="1" applyFill="1" applyBorder="1" applyAlignment="1">
      <alignment horizontal="center" vertical="center"/>
    </xf>
    <xf numFmtId="167" fontId="17" fillId="3" borderId="9" xfId="0" applyNumberFormat="1" applyFont="1" applyFill="1" applyBorder="1" applyAlignment="1">
      <alignment horizontal="center" vertical="center"/>
    </xf>
    <xf numFmtId="0" fontId="3" fillId="0" borderId="0" xfId="2" applyFont="1" applyAlignment="1"/>
    <xf numFmtId="49" fontId="3" fillId="0" borderId="0" xfId="2" applyNumberFormat="1" applyFont="1" applyAlignment="1"/>
    <xf numFmtId="17" fontId="3" fillId="0" borderId="0" xfId="2" applyNumberFormat="1" applyFont="1" applyAlignment="1"/>
    <xf numFmtId="0" fontId="11" fillId="0" borderId="0" xfId="2" applyFont="1" applyAlignment="1"/>
    <xf numFmtId="14" fontId="11" fillId="0" borderId="0" xfId="2" applyNumberFormat="1" applyFont="1" applyAlignment="1"/>
    <xf numFmtId="14" fontId="11" fillId="0" borderId="0" xfId="2" applyNumberFormat="1" applyFont="1" applyAlignment="1">
      <alignment horizontal="left" vertical="center"/>
    </xf>
    <xf numFmtId="0" fontId="12" fillId="0" borderId="0" xfId="2" applyFont="1" applyAlignment="1"/>
    <xf numFmtId="0" fontId="3" fillId="0" borderId="0" xfId="2" applyFont="1" applyAlignment="1">
      <alignment vertical="center"/>
    </xf>
    <xf numFmtId="0" fontId="25" fillId="0" borderId="0" xfId="2" applyFont="1" applyAlignment="1"/>
    <xf numFmtId="0" fontId="26" fillId="0" borderId="0" xfId="2" applyFont="1" applyAlignment="1"/>
    <xf numFmtId="0" fontId="27" fillId="0" borderId="0" xfId="2" applyFont="1" applyAlignment="1"/>
    <xf numFmtId="0" fontId="3" fillId="0" borderId="23" xfId="2" applyFont="1" applyBorder="1" applyAlignment="1">
      <alignment horizontal="center" vertical="center"/>
    </xf>
    <xf numFmtId="0" fontId="3" fillId="0" borderId="18" xfId="2" applyFont="1" applyBorder="1" applyAlignment="1">
      <alignment horizontal="center" vertical="center"/>
    </xf>
    <xf numFmtId="0" fontId="3" fillId="0" borderId="17" xfId="2" applyFont="1" applyBorder="1" applyAlignment="1">
      <alignment horizontal="center" vertical="center"/>
    </xf>
    <xf numFmtId="0" fontId="28" fillId="0" borderId="25" xfId="2" applyFont="1" applyBorder="1" applyAlignment="1">
      <alignment horizontal="left" vertical="center"/>
    </xf>
    <xf numFmtId="0" fontId="27" fillId="0" borderId="19" xfId="2" applyFont="1" applyBorder="1" applyAlignment="1">
      <alignment horizontal="center" vertical="center"/>
    </xf>
    <xf numFmtId="0" fontId="28" fillId="0" borderId="0" xfId="2" applyFont="1" applyAlignment="1">
      <alignment horizontal="center" vertical="center"/>
    </xf>
    <xf numFmtId="0" fontId="28" fillId="0" borderId="19" xfId="2" applyFont="1" applyBorder="1" applyAlignment="1">
      <alignment horizontal="center" vertical="center"/>
    </xf>
    <xf numFmtId="3" fontId="3" fillId="0" borderId="9" xfId="2" applyNumberFormat="1" applyFont="1" applyBorder="1" applyAlignment="1">
      <alignment horizontal="left" vertical="center" shrinkToFit="1"/>
    </xf>
    <xf numFmtId="0" fontId="3" fillId="0" borderId="9" xfId="2" applyFont="1" applyBorder="1" applyAlignment="1">
      <alignment horizontal="left" vertical="center"/>
    </xf>
    <xf numFmtId="169" fontId="3" fillId="0" borderId="9" xfId="2" applyNumberFormat="1" applyFont="1" applyBorder="1" applyAlignment="1">
      <alignment horizontal="left" vertical="center"/>
    </xf>
    <xf numFmtId="167" fontId="3" fillId="0" borderId="9" xfId="2" applyNumberFormat="1" applyFont="1" applyBorder="1" applyAlignment="1">
      <alignment horizontal="center" vertical="center"/>
    </xf>
    <xf numFmtId="3" fontId="3" fillId="0" borderId="21" xfId="2" applyNumberFormat="1" applyFont="1" applyBorder="1" applyAlignment="1">
      <alignment horizontal="left" vertical="center" shrinkToFit="1"/>
    </xf>
    <xf numFmtId="167" fontId="3" fillId="4" borderId="9" xfId="2" applyNumberFormat="1" applyFont="1" applyFill="1" applyBorder="1" applyAlignment="1">
      <alignment horizontal="center" vertical="center"/>
    </xf>
    <xf numFmtId="0" fontId="28" fillId="0" borderId="26" xfId="2" applyFont="1" applyBorder="1" applyAlignment="1">
      <alignment vertical="center"/>
    </xf>
    <xf numFmtId="0" fontId="28" fillId="0" borderId="15" xfId="2" applyFont="1" applyBorder="1" applyAlignment="1">
      <alignment vertical="center"/>
    </xf>
    <xf numFmtId="3" fontId="3" fillId="0" borderId="15" xfId="2" applyNumberFormat="1" applyFont="1" applyBorder="1" applyAlignment="1"/>
    <xf numFmtId="0" fontId="28" fillId="0" borderId="27" xfId="2" applyFont="1" applyBorder="1" applyAlignment="1">
      <alignment horizontal="left" vertical="center"/>
    </xf>
    <xf numFmtId="0" fontId="28" fillId="0" borderId="27" xfId="2" applyFont="1" applyBorder="1" applyAlignment="1">
      <alignment horizontal="center" vertical="center"/>
    </xf>
    <xf numFmtId="167" fontId="28" fillId="0" borderId="20" xfId="2" applyNumberFormat="1" applyFont="1" applyBorder="1" applyAlignment="1"/>
    <xf numFmtId="0" fontId="30" fillId="0" borderId="0" xfId="2" applyFont="1" applyAlignment="1"/>
    <xf numFmtId="0" fontId="31" fillId="0" borderId="0" xfId="2" applyFont="1" applyAlignment="1"/>
    <xf numFmtId="0" fontId="3" fillId="2" borderId="0" xfId="2" applyFont="1" applyFill="1" applyAlignment="1"/>
    <xf numFmtId="0" fontId="32" fillId="0" borderId="0" xfId="2" applyFont="1" applyAlignment="1"/>
    <xf numFmtId="0" fontId="29" fillId="0" borderId="0" xfId="2" applyFont="1" applyAlignment="1"/>
    <xf numFmtId="0" fontId="29" fillId="0" borderId="0" xfId="2" applyFont="1" applyAlignment="1">
      <alignment horizontal="left" vertical="center"/>
    </xf>
    <xf numFmtId="0" fontId="29" fillId="0" borderId="0" xfId="2" applyFont="1" applyAlignment="1">
      <alignment horizontal="left"/>
    </xf>
    <xf numFmtId="0" fontId="33" fillId="0" borderId="0" xfId="2" applyFont="1" applyAlignment="1"/>
    <xf numFmtId="0" fontId="28" fillId="0" borderId="0" xfId="2" applyFont="1" applyAlignment="1"/>
    <xf numFmtId="0" fontId="14" fillId="0" borderId="0" xfId="2" applyFont="1" applyAlignment="1">
      <alignment vertical="center"/>
    </xf>
    <xf numFmtId="0" fontId="14" fillId="0" borderId="0" xfId="2" applyFont="1" applyAlignment="1"/>
    <xf numFmtId="0" fontId="32" fillId="0" borderId="0" xfId="5" applyFont="1">
      <alignment vertical="top"/>
    </xf>
    <xf numFmtId="0" fontId="32" fillId="0" borderId="0" xfId="5" applyFont="1" applyAlignment="1">
      <alignment horizontal="center" vertical="center"/>
    </xf>
    <xf numFmtId="0" fontId="36" fillId="0" borderId="9" xfId="5" applyFont="1" applyBorder="1">
      <alignment vertical="top"/>
    </xf>
    <xf numFmtId="0" fontId="11" fillId="0" borderId="9" xfId="5" applyFont="1" applyBorder="1">
      <alignment vertical="top"/>
    </xf>
    <xf numFmtId="0" fontId="37" fillId="0" borderId="9" xfId="5" applyFont="1" applyBorder="1">
      <alignment vertical="top"/>
    </xf>
    <xf numFmtId="0" fontId="36" fillId="4" borderId="0" xfId="5" applyFont="1" applyFill="1" applyAlignment="1">
      <alignment horizontal="left" vertical="center"/>
    </xf>
    <xf numFmtId="0" fontId="11" fillId="0" borderId="18" xfId="5" applyFont="1" applyBorder="1" applyAlignment="1">
      <alignment vertical="center"/>
    </xf>
    <xf numFmtId="0" fontId="36" fillId="4" borderId="20" xfId="5" applyFont="1" applyFill="1" applyBorder="1" applyAlignment="1">
      <alignment vertical="center"/>
    </xf>
    <xf numFmtId="0" fontId="36" fillId="4" borderId="19" xfId="5" applyFont="1" applyFill="1" applyBorder="1" applyAlignment="1">
      <alignment horizontal="center" vertical="center"/>
    </xf>
    <xf numFmtId="0" fontId="32" fillId="0" borderId="34" xfId="5" applyFont="1" applyBorder="1">
      <alignment vertical="top"/>
    </xf>
    <xf numFmtId="0" fontId="32" fillId="0" borderId="0" xfId="5" applyFont="1" applyAlignment="1">
      <alignment vertical="center"/>
    </xf>
    <xf numFmtId="0" fontId="32" fillId="0" borderId="0" xfId="5" applyFont="1" applyAlignment="1">
      <alignment horizontal="right" vertical="center"/>
    </xf>
    <xf numFmtId="0" fontId="39" fillId="0" borderId="0" xfId="5" applyFont="1">
      <alignment vertical="top"/>
    </xf>
    <xf numFmtId="0" fontId="40" fillId="0" borderId="0" xfId="5" applyFont="1" applyAlignment="1">
      <alignment horizontal="center" vertical="center"/>
    </xf>
    <xf numFmtId="0" fontId="40" fillId="0" borderId="15" xfId="5" applyFont="1" applyBorder="1" applyAlignment="1">
      <alignment horizontal="center" vertical="center"/>
    </xf>
    <xf numFmtId="0" fontId="3" fillId="4" borderId="9" xfId="5" applyFont="1" applyFill="1" applyBorder="1" applyAlignment="1">
      <alignment horizontal="center"/>
    </xf>
    <xf numFmtId="4" fontId="38" fillId="5" borderId="9" xfId="0" applyNumberFormat="1" applyFont="1" applyFill="1" applyBorder="1" applyAlignment="1">
      <alignment horizontal="center" vertical="center"/>
    </xf>
    <xf numFmtId="4" fontId="38" fillId="0" borderId="20" xfId="0" applyNumberFormat="1" applyFont="1" applyBorder="1" applyAlignment="1">
      <alignment horizontal="center" vertical="center"/>
    </xf>
    <xf numFmtId="0" fontId="41" fillId="0" borderId="9" xfId="5" applyFont="1" applyBorder="1" applyAlignment="1">
      <alignment horizontal="center" vertical="center"/>
    </xf>
    <xf numFmtId="0" fontId="40" fillId="0" borderId="26" xfId="5" applyFont="1" applyBorder="1" applyAlignment="1">
      <alignment horizontal="center" vertical="center"/>
    </xf>
    <xf numFmtId="0" fontId="40" fillId="0" borderId="27" xfId="5" applyFont="1" applyBorder="1" applyAlignment="1">
      <alignment horizontal="center" vertical="center"/>
    </xf>
    <xf numFmtId="3" fontId="38" fillId="0" borderId="9" xfId="0" applyNumberFormat="1" applyFont="1" applyBorder="1" applyAlignment="1">
      <alignment horizontal="center" vertical="center"/>
    </xf>
    <xf numFmtId="3" fontId="38" fillId="0" borderId="17" xfId="0" applyNumberFormat="1" applyFont="1" applyBorder="1" applyAlignment="1">
      <alignment horizontal="center" vertical="center"/>
    </xf>
    <xf numFmtId="4" fontId="38" fillId="5" borderId="20" xfId="0" applyNumberFormat="1" applyFont="1" applyFill="1" applyBorder="1" applyAlignment="1">
      <alignment horizontal="center" vertical="center"/>
    </xf>
    <xf numFmtId="0" fontId="3" fillId="4" borderId="17" xfId="5" applyFont="1" applyFill="1" applyBorder="1" applyAlignment="1">
      <alignment horizontal="center"/>
    </xf>
    <xf numFmtId="0" fontId="40" fillId="0" borderId="17" xfId="5" applyFont="1" applyBorder="1" applyAlignment="1">
      <alignment horizontal="center" vertical="center"/>
    </xf>
    <xf numFmtId="0" fontId="41" fillId="0" borderId="24" xfId="5" applyFont="1" applyBorder="1" applyAlignment="1">
      <alignment horizontal="center" vertical="center"/>
    </xf>
    <xf numFmtId="0" fontId="11" fillId="0" borderId="0" xfId="5" applyFont="1">
      <alignment vertical="top"/>
    </xf>
    <xf numFmtId="0" fontId="19" fillId="0" borderId="0" xfId="5" applyAlignment="1">
      <alignment horizontal="center" vertical="center"/>
    </xf>
    <xf numFmtId="0" fontId="3" fillId="0" borderId="0" xfId="5" applyFont="1" applyAlignment="1"/>
    <xf numFmtId="170" fontId="11" fillId="0" borderId="0" xfId="5" applyNumberFormat="1" applyFont="1">
      <alignment vertical="top"/>
    </xf>
    <xf numFmtId="171" fontId="32" fillId="0" borderId="0" xfId="5" applyNumberFormat="1" applyFont="1" applyAlignment="1">
      <alignment vertical="center"/>
    </xf>
    <xf numFmtId="0" fontId="36" fillId="4" borderId="28" xfId="5" applyFont="1" applyFill="1" applyBorder="1" applyAlignment="1">
      <alignment horizontal="left" vertical="center"/>
    </xf>
    <xf numFmtId="0" fontId="0" fillId="0" borderId="24" xfId="0" applyBorder="1">
      <alignment vertical="center"/>
    </xf>
    <xf numFmtId="0" fontId="11" fillId="0" borderId="0" xfId="5" applyFont="1" applyAlignment="1"/>
    <xf numFmtId="0" fontId="11" fillId="0" borderId="28" xfId="5" applyFont="1" applyBorder="1" applyAlignment="1"/>
    <xf numFmtId="0" fontId="0" fillId="0" borderId="28" xfId="0" applyBorder="1">
      <alignment vertical="center"/>
    </xf>
    <xf numFmtId="0" fontId="32" fillId="0" borderId="0" xfId="5" applyFont="1" applyAlignment="1">
      <alignment horizontal="left" vertical="center"/>
    </xf>
    <xf numFmtId="0" fontId="0" fillId="0" borderId="27" xfId="0" applyBorder="1">
      <alignment vertical="center"/>
    </xf>
    <xf numFmtId="0" fontId="40" fillId="0" borderId="28" xfId="5" applyFont="1" applyBorder="1" applyAlignment="1">
      <alignment horizontal="center" vertical="center"/>
    </xf>
    <xf numFmtId="165" fontId="43" fillId="0" borderId="9" xfId="5" applyNumberFormat="1" applyFont="1" applyBorder="1" applyAlignment="1">
      <alignment horizontal="center" vertical="center"/>
    </xf>
    <xf numFmtId="167" fontId="40" fillId="4" borderId="9" xfId="5" applyNumberFormat="1" applyFont="1" applyFill="1" applyBorder="1" applyAlignment="1">
      <alignment horizontal="center" vertical="center"/>
    </xf>
    <xf numFmtId="0" fontId="40" fillId="0" borderId="25" xfId="5" applyFont="1" applyBorder="1" applyAlignment="1">
      <alignment horizontal="center" vertical="center"/>
    </xf>
    <xf numFmtId="0" fontId="3" fillId="0" borderId="0" xfId="0" applyFont="1">
      <alignment vertical="center"/>
    </xf>
    <xf numFmtId="172" fontId="11" fillId="0" borderId="0" xfId="5" applyNumberFormat="1" applyFont="1" applyAlignment="1">
      <alignment vertical="center" shrinkToFit="1"/>
    </xf>
    <xf numFmtId="0" fontId="44" fillId="0" borderId="0" xfId="0" applyFont="1">
      <alignment vertical="center"/>
    </xf>
    <xf numFmtId="0" fontId="46" fillId="3" borderId="23" xfId="3" applyFont="1" applyFill="1" applyBorder="1"/>
    <xf numFmtId="0" fontId="46" fillId="3" borderId="17" xfId="3" applyFont="1" applyFill="1" applyBorder="1"/>
    <xf numFmtId="0" fontId="17" fillId="3" borderId="17" xfId="3" applyFont="1" applyFill="1" applyBorder="1"/>
    <xf numFmtId="0" fontId="11" fillId="3" borderId="25" xfId="0" applyFont="1" applyFill="1" applyBorder="1" applyAlignment="1"/>
    <xf numFmtId="0" fontId="11" fillId="3" borderId="0" xfId="0" applyFont="1" applyFill="1" applyAlignment="1"/>
    <xf numFmtId="0" fontId="17" fillId="3" borderId="0" xfId="3" applyFont="1" applyFill="1" applyAlignment="1">
      <alignment horizontal="left"/>
    </xf>
    <xf numFmtId="0" fontId="17" fillId="3" borderId="0" xfId="3" applyFont="1" applyFill="1"/>
    <xf numFmtId="0" fontId="46" fillId="3" borderId="23" xfId="8" applyFont="1" applyFill="1" applyBorder="1"/>
    <xf numFmtId="0" fontId="46" fillId="3" borderId="17" xfId="8" applyFont="1" applyFill="1" applyBorder="1"/>
    <xf numFmtId="0" fontId="17" fillId="3" borderId="24" xfId="3" applyFont="1" applyFill="1" applyBorder="1"/>
    <xf numFmtId="0" fontId="17" fillId="3" borderId="25" xfId="3" applyFont="1" applyFill="1" applyBorder="1" applyAlignment="1">
      <alignment horizontal="left"/>
    </xf>
    <xf numFmtId="0" fontId="17" fillId="3" borderId="28" xfId="3" applyFont="1" applyFill="1" applyBorder="1"/>
    <xf numFmtId="0" fontId="46" fillId="3" borderId="25" xfId="3" applyFont="1" applyFill="1" applyBorder="1"/>
    <xf numFmtId="0" fontId="17" fillId="3" borderId="0" xfId="8" applyFont="1" applyFill="1"/>
    <xf numFmtId="0" fontId="46" fillId="3" borderId="0" xfId="3" applyFont="1" applyFill="1"/>
    <xf numFmtId="0" fontId="47" fillId="3" borderId="0" xfId="3" applyFont="1" applyFill="1"/>
    <xf numFmtId="0" fontId="17" fillId="3" borderId="0" xfId="0" applyFont="1" applyFill="1" applyAlignment="1"/>
    <xf numFmtId="0" fontId="46" fillId="3" borderId="0" xfId="0" applyFont="1" applyFill="1" applyAlignment="1">
      <alignment horizontal="left" vertical="center"/>
    </xf>
    <xf numFmtId="0" fontId="48" fillId="3" borderId="24" xfId="3" applyFont="1" applyFill="1" applyBorder="1"/>
    <xf numFmtId="0" fontId="46" fillId="3" borderId="24" xfId="3" applyFont="1" applyFill="1" applyBorder="1"/>
    <xf numFmtId="0" fontId="17" fillId="3" borderId="26" xfId="0" applyFont="1" applyFill="1" applyBorder="1" applyAlignment="1">
      <alignment horizontal="left"/>
    </xf>
    <xf numFmtId="0" fontId="48" fillId="3" borderId="28" xfId="3" applyFont="1" applyFill="1" applyBorder="1"/>
    <xf numFmtId="0" fontId="46" fillId="3" borderId="9" xfId="3" applyFont="1" applyFill="1" applyBorder="1" applyAlignment="1">
      <alignment horizontal="center" vertical="center"/>
    </xf>
    <xf numFmtId="49" fontId="17" fillId="3" borderId="9" xfId="0" applyNumberFormat="1" applyFont="1" applyFill="1" applyBorder="1" applyAlignment="1">
      <alignment horizontal="center" vertical="center" wrapText="1" shrinkToFit="1"/>
    </xf>
    <xf numFmtId="0" fontId="17" fillId="3" borderId="9" xfId="0" applyFont="1" applyFill="1" applyBorder="1" applyAlignment="1">
      <alignment horizontal="center" vertical="center" wrapText="1" shrinkToFit="1"/>
    </xf>
    <xf numFmtId="0" fontId="4" fillId="3" borderId="9" xfId="0" applyFont="1" applyFill="1" applyBorder="1" applyAlignment="1">
      <alignment horizontal="center" vertical="center"/>
    </xf>
    <xf numFmtId="170" fontId="17" fillId="3" borderId="9" xfId="0" applyNumberFormat="1" applyFont="1" applyFill="1" applyBorder="1" applyAlignment="1">
      <alignment horizontal="center" vertical="center" wrapText="1" shrinkToFit="1"/>
    </xf>
    <xf numFmtId="0" fontId="4" fillId="6" borderId="9" xfId="0" applyFont="1" applyFill="1" applyBorder="1" applyAlignment="1">
      <alignment horizontal="center" vertical="center"/>
    </xf>
    <xf numFmtId="0" fontId="17" fillId="6" borderId="9" xfId="0" applyFont="1" applyFill="1" applyBorder="1" applyAlignment="1">
      <alignment horizontal="center" vertical="center" wrapText="1" shrinkToFit="1"/>
    </xf>
    <xf numFmtId="0" fontId="5" fillId="6" borderId="9" xfId="0" applyFont="1" applyFill="1" applyBorder="1" applyAlignment="1">
      <alignment horizontal="center" vertical="center"/>
    </xf>
    <xf numFmtId="170" fontId="17" fillId="6" borderId="9" xfId="0" applyNumberFormat="1" applyFont="1" applyFill="1" applyBorder="1" applyAlignment="1">
      <alignment horizontal="center" vertical="center" wrapText="1" shrinkToFit="1"/>
    </xf>
    <xf numFmtId="0" fontId="17" fillId="3" borderId="9" xfId="6" applyFont="1" applyFill="1" applyBorder="1" applyAlignment="1">
      <alignment horizontal="center" vertical="center" wrapText="1" shrinkToFit="1"/>
    </xf>
    <xf numFmtId="0" fontId="49" fillId="3" borderId="9" xfId="0" applyFont="1" applyFill="1" applyBorder="1" applyAlignment="1">
      <alignment horizontal="center" vertical="center"/>
    </xf>
    <xf numFmtId="0" fontId="49" fillId="3" borderId="9" xfId="0" applyFont="1" applyFill="1" applyBorder="1">
      <alignment vertical="center"/>
    </xf>
    <xf numFmtId="171" fontId="46" fillId="3" borderId="9" xfId="3" applyNumberFormat="1" applyFont="1" applyFill="1" applyBorder="1" applyAlignment="1">
      <alignment horizontal="center" vertical="center"/>
    </xf>
    <xf numFmtId="171" fontId="46" fillId="3" borderId="9" xfId="3" applyNumberFormat="1" applyFont="1" applyFill="1" applyBorder="1" applyAlignment="1">
      <alignment horizontal="center"/>
    </xf>
    <xf numFmtId="0" fontId="17" fillId="3" borderId="9" xfId="3" applyFont="1" applyFill="1" applyBorder="1"/>
    <xf numFmtId="0" fontId="46" fillId="3" borderId="9" xfId="3" applyFont="1" applyFill="1" applyBorder="1"/>
    <xf numFmtId="0" fontId="0" fillId="3" borderId="0" xfId="0" applyFill="1" applyAlignment="1">
      <alignment horizontal="center" vertical="center"/>
    </xf>
    <xf numFmtId="0" fontId="11" fillId="3" borderId="0" xfId="3" applyFont="1" applyFill="1" applyAlignment="1">
      <alignment horizontal="center" vertical="center"/>
    </xf>
    <xf numFmtId="0" fontId="11" fillId="3" borderId="0" xfId="3" applyFont="1" applyFill="1" applyAlignment="1">
      <alignment horizontal="center"/>
    </xf>
    <xf numFmtId="0" fontId="4" fillId="0" borderId="0" xfId="0" applyFont="1" applyAlignment="1">
      <alignment horizontal="left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50" fillId="0" borderId="0" xfId="0" applyFont="1">
      <alignment vertical="center"/>
    </xf>
    <xf numFmtId="0" fontId="18" fillId="3" borderId="24" xfId="0" applyFont="1" applyFill="1" applyBorder="1" applyAlignment="1"/>
    <xf numFmtId="0" fontId="18" fillId="3" borderId="28" xfId="0" applyFont="1" applyFill="1" applyBorder="1" applyAlignment="1"/>
    <xf numFmtId="0" fontId="17" fillId="3" borderId="0" xfId="0" applyFont="1" applyFill="1" applyAlignment="1">
      <alignment horizontal="center" vertical="center"/>
    </xf>
    <xf numFmtId="0" fontId="17" fillId="3" borderId="0" xfId="3" applyFont="1" applyFill="1" applyAlignment="1">
      <alignment horizontal="center" vertical="center"/>
    </xf>
    <xf numFmtId="167" fontId="17" fillId="3" borderId="0" xfId="0" applyNumberFormat="1" applyFont="1" applyFill="1" applyAlignment="1">
      <alignment horizontal="center" vertical="center"/>
    </xf>
    <xf numFmtId="0" fontId="46" fillId="3" borderId="9" xfId="3" applyFont="1" applyFill="1" applyBorder="1" applyAlignment="1">
      <alignment horizontal="center"/>
    </xf>
    <xf numFmtId="171" fontId="17" fillId="3" borderId="9" xfId="0" applyNumberFormat="1" applyFont="1" applyFill="1" applyBorder="1" applyAlignment="1">
      <alignment horizontal="center" vertical="center" wrapText="1" shrinkToFit="1"/>
    </xf>
    <xf numFmtId="168" fontId="17" fillId="3" borderId="9" xfId="0" applyNumberFormat="1" applyFont="1" applyFill="1" applyBorder="1" applyAlignment="1">
      <alignment horizontal="center" vertical="center" wrapText="1" shrinkToFit="1"/>
    </xf>
    <xf numFmtId="0" fontId="17" fillId="3" borderId="9" xfId="0" applyFont="1" applyFill="1" applyBorder="1" applyAlignment="1">
      <alignment horizontal="center" vertical="center" wrapText="1"/>
    </xf>
    <xf numFmtId="171" fontId="17" fillId="6" borderId="9" xfId="0" applyNumberFormat="1" applyFont="1" applyFill="1" applyBorder="1" applyAlignment="1">
      <alignment horizontal="center" vertical="center" wrapText="1" shrinkToFit="1"/>
    </xf>
    <xf numFmtId="168" fontId="17" fillId="6" borderId="9" xfId="0" applyNumberFormat="1" applyFont="1" applyFill="1" applyBorder="1" applyAlignment="1">
      <alignment horizontal="center" vertical="center" wrapText="1" shrinkToFit="1"/>
    </xf>
    <xf numFmtId="0" fontId="17" fillId="6" borderId="9" xfId="0" applyFont="1" applyFill="1" applyBorder="1" applyAlignment="1">
      <alignment horizontal="center" vertical="center" wrapText="1"/>
    </xf>
    <xf numFmtId="168" fontId="46" fillId="3" borderId="9" xfId="3" applyNumberFormat="1" applyFont="1" applyFill="1" applyBorder="1" applyAlignment="1">
      <alignment horizontal="center" vertical="center" wrapText="1" shrinkToFit="1"/>
    </xf>
    <xf numFmtId="168" fontId="46" fillId="3" borderId="9" xfId="3" applyNumberFormat="1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3" fillId="0" borderId="0" xfId="0" applyFont="1">
      <alignment vertical="center"/>
    </xf>
    <xf numFmtId="0" fontId="44" fillId="0" borderId="0" xfId="0" applyFont="1" applyAlignment="1">
      <alignment horizontal="center" vertical="center"/>
    </xf>
    <xf numFmtId="0" fontId="52" fillId="0" borderId="0" xfId="0" applyFont="1">
      <alignment vertical="center"/>
    </xf>
    <xf numFmtId="0" fontId="17" fillId="3" borderId="17" xfId="8" applyFont="1" applyFill="1" applyBorder="1"/>
    <xf numFmtId="0" fontId="17" fillId="3" borderId="28" xfId="8" applyFont="1" applyFill="1" applyBorder="1"/>
    <xf numFmtId="0" fontId="17" fillId="3" borderId="25" xfId="0" applyFont="1" applyFill="1" applyBorder="1" applyAlignment="1"/>
    <xf numFmtId="49" fontId="17" fillId="3" borderId="0" xfId="8" applyNumberFormat="1" applyFont="1" applyFill="1" applyAlignment="1">
      <alignment horizontal="center"/>
    </xf>
    <xf numFmtId="173" fontId="17" fillId="3" borderId="25" xfId="0" applyNumberFormat="1" applyFont="1" applyFill="1" applyBorder="1" applyAlignment="1">
      <alignment horizontal="left"/>
    </xf>
    <xf numFmtId="173" fontId="17" fillId="3" borderId="0" xfId="0" applyNumberFormat="1" applyFont="1" applyFill="1" applyAlignment="1"/>
    <xf numFmtId="173" fontId="17" fillId="3" borderId="0" xfId="0" applyNumberFormat="1" applyFont="1" applyFill="1" applyAlignment="1">
      <alignment horizontal="left"/>
    </xf>
    <xf numFmtId="0" fontId="17" fillId="3" borderId="25" xfId="8" applyFont="1" applyFill="1" applyBorder="1"/>
    <xf numFmtId="0" fontId="17" fillId="3" borderId="26" xfId="8" applyFont="1" applyFill="1" applyBorder="1" applyAlignment="1">
      <alignment horizontal="left"/>
    </xf>
    <xf numFmtId="0" fontId="17" fillId="3" borderId="15" xfId="8" applyFont="1" applyFill="1" applyBorder="1" applyAlignment="1">
      <alignment horizontal="left"/>
    </xf>
    <xf numFmtId="0" fontId="17" fillId="3" borderId="15" xfId="8" applyFont="1" applyFill="1" applyBorder="1"/>
    <xf numFmtId="0" fontId="17" fillId="3" borderId="27" xfId="8" applyFont="1" applyFill="1" applyBorder="1"/>
    <xf numFmtId="0" fontId="17" fillId="3" borderId="26" xfId="8" applyFont="1" applyFill="1" applyBorder="1"/>
    <xf numFmtId="0" fontId="17" fillId="3" borderId="24" xfId="8" applyFont="1" applyFill="1" applyBorder="1"/>
    <xf numFmtId="0" fontId="47" fillId="3" borderId="25" xfId="3" applyFont="1" applyFill="1" applyBorder="1" applyAlignment="1">
      <alignment horizontal="left"/>
    </xf>
    <xf numFmtId="0" fontId="46" fillId="3" borderId="0" xfId="3" applyFont="1" applyFill="1" applyAlignment="1">
      <alignment horizontal="left"/>
    </xf>
    <xf numFmtId="0" fontId="46" fillId="3" borderId="28" xfId="3" applyFont="1" applyFill="1" applyBorder="1" applyAlignment="1">
      <alignment horizontal="left"/>
    </xf>
    <xf numFmtId="0" fontId="17" fillId="3" borderId="25" xfId="8" applyFont="1" applyFill="1" applyBorder="1" applyAlignment="1">
      <alignment horizontal="center"/>
    </xf>
    <xf numFmtId="0" fontId="17" fillId="3" borderId="0" xfId="8" applyFont="1" applyFill="1" applyAlignment="1">
      <alignment horizontal="center"/>
    </xf>
    <xf numFmtId="0" fontId="46" fillId="3" borderId="0" xfId="8" applyFont="1" applyFill="1"/>
    <xf numFmtId="0" fontId="11" fillId="3" borderId="0" xfId="8" applyFont="1" applyFill="1"/>
    <xf numFmtId="0" fontId="17" fillId="3" borderId="26" xfId="0" applyFont="1" applyFill="1" applyBorder="1" applyAlignment="1"/>
    <xf numFmtId="0" fontId="17" fillId="3" borderId="15" xfId="0" applyFont="1" applyFill="1" applyBorder="1" applyAlignment="1"/>
    <xf numFmtId="0" fontId="11" fillId="3" borderId="26" xfId="0" applyFont="1" applyFill="1" applyBorder="1" applyAlignment="1"/>
    <xf numFmtId="0" fontId="46" fillId="3" borderId="25" xfId="8" applyFont="1" applyFill="1" applyBorder="1"/>
    <xf numFmtId="0" fontId="53" fillId="3" borderId="28" xfId="3" applyFont="1" applyFill="1" applyBorder="1" applyAlignment="1">
      <alignment horizontal="right"/>
    </xf>
    <xf numFmtId="0" fontId="17" fillId="3" borderId="27" xfId="0" applyFont="1" applyFill="1" applyBorder="1" applyAlignment="1">
      <alignment horizontal="center"/>
    </xf>
    <xf numFmtId="0" fontId="11" fillId="3" borderId="26" xfId="8" applyFont="1" applyFill="1" applyBorder="1"/>
    <xf numFmtId="0" fontId="46" fillId="3" borderId="25" xfId="8" applyFont="1" applyFill="1" applyBorder="1" applyAlignment="1">
      <alignment horizontal="center" vertical="center"/>
    </xf>
    <xf numFmtId="0" fontId="46" fillId="3" borderId="0" xfId="8" applyFont="1" applyFill="1" applyAlignment="1">
      <alignment horizontal="center" vertical="center"/>
    </xf>
    <xf numFmtId="0" fontId="46" fillId="3" borderId="0" xfId="8" applyFont="1" applyFill="1" applyAlignment="1">
      <alignment horizontal="center" vertical="center" wrapText="1"/>
    </xf>
    <xf numFmtId="164" fontId="17" fillId="3" borderId="9" xfId="0" applyNumberFormat="1" applyFont="1" applyFill="1" applyBorder="1" applyAlignment="1">
      <alignment horizontal="center" vertical="center" wrapText="1" shrinkToFit="1"/>
    </xf>
    <xf numFmtId="174" fontId="5" fillId="3" borderId="9" xfId="0" applyNumberFormat="1" applyFont="1" applyFill="1" applyBorder="1" applyAlignment="1">
      <alignment horizontal="center" vertical="center"/>
    </xf>
    <xf numFmtId="164" fontId="17" fillId="6" borderId="9" xfId="0" applyNumberFormat="1" applyFont="1" applyFill="1" applyBorder="1" applyAlignment="1">
      <alignment horizontal="center" vertical="center" wrapText="1" shrinkToFit="1"/>
    </xf>
    <xf numFmtId="174" fontId="5" fillId="6" borderId="9" xfId="0" applyNumberFormat="1" applyFont="1" applyFill="1" applyBorder="1" applyAlignment="1">
      <alignment horizontal="center" vertical="center"/>
    </xf>
    <xf numFmtId="174" fontId="4" fillId="3" borderId="9" xfId="0" applyNumberFormat="1" applyFont="1" applyFill="1" applyBorder="1" applyAlignment="1">
      <alignment horizontal="center" vertical="center"/>
    </xf>
    <xf numFmtId="0" fontId="17" fillId="3" borderId="21" xfId="8" applyFont="1" applyFill="1" applyBorder="1"/>
    <xf numFmtId="0" fontId="17" fillId="3" borderId="16" xfId="8" applyFont="1" applyFill="1" applyBorder="1"/>
    <xf numFmtId="171" fontId="46" fillId="3" borderId="16" xfId="8" applyNumberFormat="1" applyFont="1" applyFill="1" applyBorder="1" applyAlignment="1">
      <alignment horizontal="center"/>
    </xf>
    <xf numFmtId="0" fontId="46" fillId="3" borderId="16" xfId="8" applyFont="1" applyFill="1" applyBorder="1"/>
    <xf numFmtId="172" fontId="46" fillId="3" borderId="16" xfId="8" applyNumberFormat="1" applyFont="1" applyFill="1" applyBorder="1" applyAlignment="1">
      <alignment horizontal="center"/>
    </xf>
    <xf numFmtId="0" fontId="18" fillId="3" borderId="17" xfId="0" applyFont="1" applyFill="1" applyBorder="1" applyAlignment="1"/>
    <xf numFmtId="0" fontId="18" fillId="3" borderId="15" xfId="0" applyFont="1" applyFill="1" applyBorder="1">
      <alignment vertical="center"/>
    </xf>
    <xf numFmtId="0" fontId="54" fillId="3" borderId="27" xfId="0" applyFont="1" applyFill="1" applyBorder="1">
      <alignment vertical="center"/>
    </xf>
    <xf numFmtId="0" fontId="18" fillId="3" borderId="17" xfId="0" applyFont="1" applyFill="1" applyBorder="1">
      <alignment vertical="center"/>
    </xf>
    <xf numFmtId="0" fontId="18" fillId="3" borderId="28" xfId="0" applyFont="1" applyFill="1" applyBorder="1">
      <alignment vertical="center"/>
    </xf>
    <xf numFmtId="0" fontId="54" fillId="3" borderId="0" xfId="0" applyFont="1" applyFill="1">
      <alignment vertical="center"/>
    </xf>
    <xf numFmtId="0" fontId="54" fillId="3" borderId="28" xfId="0" applyFont="1" applyFill="1" applyBorder="1">
      <alignment vertical="center"/>
    </xf>
    <xf numFmtId="0" fontId="48" fillId="3" borderId="15" xfId="3" applyFont="1" applyFill="1" applyBorder="1"/>
    <xf numFmtId="0" fontId="18" fillId="3" borderId="15" xfId="0" applyFont="1" applyFill="1" applyBorder="1" applyAlignment="1"/>
    <xf numFmtId="0" fontId="18" fillId="3" borderId="27" xfId="0" applyFont="1" applyFill="1" applyBorder="1" applyAlignment="1"/>
    <xf numFmtId="0" fontId="51" fillId="3" borderId="17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 wrapText="1"/>
    </xf>
    <xf numFmtId="0" fontId="55" fillId="6" borderId="9" xfId="0" applyFont="1" applyFill="1" applyBorder="1">
      <alignment vertical="center"/>
    </xf>
    <xf numFmtId="0" fontId="55" fillId="3" borderId="9" xfId="0" applyFont="1" applyFill="1" applyBorder="1">
      <alignment vertical="center"/>
    </xf>
    <xf numFmtId="168" fontId="46" fillId="3" borderId="16" xfId="8" applyNumberFormat="1" applyFont="1" applyFill="1" applyBorder="1" applyAlignment="1">
      <alignment horizontal="center"/>
    </xf>
    <xf numFmtId="0" fontId="51" fillId="3" borderId="15" xfId="0" applyFont="1" applyFill="1" applyBorder="1" applyAlignment="1"/>
    <xf numFmtId="168" fontId="46" fillId="3" borderId="27" xfId="8" applyNumberFormat="1" applyFont="1" applyFill="1" applyBorder="1" applyAlignment="1">
      <alignment horizont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7" fillId="3" borderId="25" xfId="0" applyFont="1" applyFill="1" applyBorder="1" applyAlignment="1">
      <alignment vertical="top" wrapText="1"/>
    </xf>
    <xf numFmtId="0" fontId="17" fillId="3" borderId="0" xfId="0" applyFont="1" applyFill="1" applyAlignment="1">
      <alignment vertical="top" wrapText="1"/>
    </xf>
    <xf numFmtId="0" fontId="17" fillId="3" borderId="28" xfId="0" applyFont="1" applyFill="1" applyBorder="1" applyAlignment="1">
      <alignment vertical="top" wrapText="1"/>
    </xf>
    <xf numFmtId="0" fontId="17" fillId="3" borderId="16" xfId="8" applyFont="1" applyFill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5" fillId="3" borderId="23" xfId="8" applyFont="1" applyFill="1" applyBorder="1" applyAlignment="1">
      <alignment horizontal="center"/>
    </xf>
    <xf numFmtId="0" fontId="45" fillId="3" borderId="17" xfId="8" applyFont="1" applyFill="1" applyBorder="1" applyAlignment="1">
      <alignment horizontal="center"/>
    </xf>
    <xf numFmtId="0" fontId="45" fillId="3" borderId="24" xfId="8" applyFont="1" applyFill="1" applyBorder="1" applyAlignment="1">
      <alignment horizontal="center"/>
    </xf>
    <xf numFmtId="0" fontId="17" fillId="3" borderId="25" xfId="8" applyFont="1" applyFill="1" applyBorder="1" applyAlignment="1">
      <alignment horizontal="center"/>
    </xf>
    <xf numFmtId="0" fontId="17" fillId="3" borderId="0" xfId="8" applyFont="1" applyFill="1" applyAlignment="1">
      <alignment horizontal="center"/>
    </xf>
    <xf numFmtId="0" fontId="17" fillId="3" borderId="25" xfId="0" applyFont="1" applyFill="1" applyBorder="1" applyAlignment="1">
      <alignment horizontal="left"/>
    </xf>
    <xf numFmtId="0" fontId="17" fillId="3" borderId="28" xfId="0" applyFont="1" applyFill="1" applyBorder="1" applyAlignment="1">
      <alignment horizontal="left"/>
    </xf>
    <xf numFmtId="173" fontId="17" fillId="3" borderId="26" xfId="0" applyNumberFormat="1" applyFont="1" applyFill="1" applyBorder="1" applyAlignment="1">
      <alignment horizontal="left"/>
    </xf>
    <xf numFmtId="173" fontId="17" fillId="3" borderId="27" xfId="0" applyNumberFormat="1" applyFont="1" applyFill="1" applyBorder="1" applyAlignment="1">
      <alignment horizontal="left"/>
    </xf>
    <xf numFmtId="0" fontId="0" fillId="3" borderId="23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168" fontId="17" fillId="6" borderId="18" xfId="0" applyNumberFormat="1" applyFont="1" applyFill="1" applyBorder="1" applyAlignment="1">
      <alignment horizontal="center" vertical="center" wrapText="1" shrinkToFit="1"/>
    </xf>
    <xf numFmtId="168" fontId="17" fillId="6" borderId="20" xfId="0" applyNumberFormat="1" applyFont="1" applyFill="1" applyBorder="1" applyAlignment="1">
      <alignment horizontal="center" vertical="center" wrapText="1" shrinkToFit="1"/>
    </xf>
    <xf numFmtId="168" fontId="17" fillId="6" borderId="19" xfId="0" applyNumberFormat="1" applyFont="1" applyFill="1" applyBorder="1" applyAlignment="1">
      <alignment horizontal="center" vertical="center" wrapText="1" shrinkToFit="1"/>
    </xf>
    <xf numFmtId="0" fontId="10" fillId="3" borderId="9" xfId="0" applyFont="1" applyFill="1" applyBorder="1" applyAlignment="1">
      <alignment horizontal="center" vertical="center" wrapText="1"/>
    </xf>
    <xf numFmtId="0" fontId="51" fillId="3" borderId="9" xfId="0" applyFont="1" applyFill="1" applyBorder="1" applyAlignment="1">
      <alignment horizontal="center" vertical="center" wrapText="1"/>
    </xf>
    <xf numFmtId="0" fontId="17" fillId="6" borderId="18" xfId="0" applyFont="1" applyFill="1" applyBorder="1" applyAlignment="1">
      <alignment horizontal="center" vertical="center" wrapText="1"/>
    </xf>
    <xf numFmtId="0" fontId="17" fillId="6" borderId="20" xfId="0" applyFont="1" applyFill="1" applyBorder="1" applyAlignment="1">
      <alignment horizontal="center" vertical="center" wrapText="1"/>
    </xf>
    <xf numFmtId="0" fontId="17" fillId="6" borderId="19" xfId="0" applyFont="1" applyFill="1" applyBorder="1" applyAlignment="1">
      <alignment horizontal="center" vertical="center" wrapText="1"/>
    </xf>
    <xf numFmtId="0" fontId="46" fillId="3" borderId="9" xfId="3" applyFont="1" applyFill="1" applyBorder="1" applyAlignment="1">
      <alignment horizontal="center" vertical="center" wrapText="1"/>
    </xf>
    <xf numFmtId="171" fontId="17" fillId="6" borderId="18" xfId="0" applyNumberFormat="1" applyFont="1" applyFill="1" applyBorder="1" applyAlignment="1">
      <alignment horizontal="center" vertical="center" wrapText="1" shrinkToFit="1"/>
    </xf>
    <xf numFmtId="171" fontId="17" fillId="6" borderId="20" xfId="0" applyNumberFormat="1" applyFont="1" applyFill="1" applyBorder="1" applyAlignment="1">
      <alignment horizontal="center" vertical="center" wrapText="1" shrinkToFit="1"/>
    </xf>
    <xf numFmtId="171" fontId="17" fillId="6" borderId="19" xfId="0" applyNumberFormat="1" applyFont="1" applyFill="1" applyBorder="1" applyAlignment="1">
      <alignment horizontal="center" vertical="center" wrapText="1" shrinkToFit="1"/>
    </xf>
    <xf numFmtId="0" fontId="46" fillId="3" borderId="9" xfId="3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0" fontId="5" fillId="6" borderId="19" xfId="0" applyFont="1" applyFill="1" applyBorder="1" applyAlignment="1">
      <alignment horizontal="center" vertical="center"/>
    </xf>
    <xf numFmtId="170" fontId="17" fillId="6" borderId="18" xfId="0" applyNumberFormat="1" applyFont="1" applyFill="1" applyBorder="1" applyAlignment="1">
      <alignment horizontal="center" vertical="center" wrapText="1" shrinkToFit="1"/>
    </xf>
    <xf numFmtId="170" fontId="17" fillId="6" borderId="20" xfId="0" applyNumberFormat="1" applyFont="1" applyFill="1" applyBorder="1" applyAlignment="1">
      <alignment horizontal="center" vertical="center" wrapText="1" shrinkToFit="1"/>
    </xf>
    <xf numFmtId="170" fontId="17" fillId="6" borderId="19" xfId="0" applyNumberFormat="1" applyFont="1" applyFill="1" applyBorder="1" applyAlignment="1">
      <alignment horizontal="center" vertical="center" wrapText="1" shrinkToFit="1"/>
    </xf>
    <xf numFmtId="0" fontId="46" fillId="3" borderId="9" xfId="8" applyFont="1" applyFill="1" applyBorder="1" applyAlignment="1">
      <alignment horizontal="center" vertical="center"/>
    </xf>
    <xf numFmtId="0" fontId="17" fillId="6" borderId="18" xfId="0" applyFont="1" applyFill="1" applyBorder="1" applyAlignment="1">
      <alignment horizontal="center" vertical="center" wrapText="1" shrinkToFit="1"/>
    </xf>
    <xf numFmtId="0" fontId="17" fillId="6" borderId="20" xfId="0" applyFont="1" applyFill="1" applyBorder="1" applyAlignment="1">
      <alignment horizontal="center" vertical="center" wrapText="1" shrinkToFit="1"/>
    </xf>
    <xf numFmtId="0" fontId="17" fillId="6" borderId="19" xfId="0" applyFont="1" applyFill="1" applyBorder="1" applyAlignment="1">
      <alignment horizontal="center" vertical="center" wrapText="1" shrinkToFit="1"/>
    </xf>
    <xf numFmtId="0" fontId="46" fillId="3" borderId="9" xfId="8" applyFont="1" applyFill="1" applyBorder="1" applyAlignment="1">
      <alignment horizontal="center" vertical="center" wrapText="1"/>
    </xf>
    <xf numFmtId="0" fontId="11" fillId="3" borderId="9" xfId="3" applyFont="1" applyFill="1" applyBorder="1" applyAlignment="1">
      <alignment horizontal="center" vertical="center"/>
    </xf>
    <xf numFmtId="0" fontId="11" fillId="3" borderId="21" xfId="3" applyFont="1" applyFill="1" applyBorder="1" applyAlignment="1">
      <alignment horizontal="center" vertical="center"/>
    </xf>
    <xf numFmtId="0" fontId="11" fillId="3" borderId="22" xfId="3" applyFont="1" applyFill="1" applyBorder="1" applyAlignment="1">
      <alignment horizontal="center" vertical="center"/>
    </xf>
    <xf numFmtId="0" fontId="17" fillId="3" borderId="21" xfId="3" applyFont="1" applyFill="1" applyBorder="1" applyAlignment="1">
      <alignment horizontal="center" vertical="center" wrapText="1"/>
    </xf>
    <xf numFmtId="0" fontId="17" fillId="3" borderId="22" xfId="3" applyFont="1" applyFill="1" applyBorder="1" applyAlignment="1">
      <alignment horizontal="center" vertical="center" wrapText="1"/>
    </xf>
    <xf numFmtId="0" fontId="4" fillId="6" borderId="21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6" fillId="3" borderId="0" xfId="0" applyFont="1" applyFill="1" applyAlignment="1">
      <alignment horizontal="left" vertical="center"/>
    </xf>
    <xf numFmtId="0" fontId="17" fillId="3" borderId="26" xfId="0" applyFont="1" applyFill="1" applyBorder="1" applyAlignment="1">
      <alignment horizontal="left"/>
    </xf>
    <xf numFmtId="0" fontId="17" fillId="3" borderId="15" xfId="0" applyFont="1" applyFill="1" applyBorder="1" applyAlignment="1">
      <alignment horizontal="left"/>
    </xf>
    <xf numFmtId="0" fontId="17" fillId="3" borderId="27" xfId="0" applyFont="1" applyFill="1" applyBorder="1" applyAlignment="1">
      <alignment horizontal="left"/>
    </xf>
    <xf numFmtId="0" fontId="46" fillId="3" borderId="23" xfId="3" applyFont="1" applyFill="1" applyBorder="1" applyAlignment="1">
      <alignment horizontal="center" vertical="center" wrapText="1"/>
    </xf>
    <xf numFmtId="0" fontId="46" fillId="3" borderId="24" xfId="3" applyFont="1" applyFill="1" applyBorder="1" applyAlignment="1">
      <alignment horizontal="center" vertical="center" wrapText="1"/>
    </xf>
    <xf numFmtId="0" fontId="45" fillId="0" borderId="23" xfId="3" applyFont="1" applyBorder="1" applyAlignment="1">
      <alignment horizontal="center" vertical="center"/>
    </xf>
    <xf numFmtId="0" fontId="45" fillId="0" borderId="17" xfId="3" applyFont="1" applyBorder="1" applyAlignment="1">
      <alignment horizontal="center" vertical="center"/>
    </xf>
    <xf numFmtId="0" fontId="45" fillId="0" borderId="24" xfId="3" applyFont="1" applyBorder="1" applyAlignment="1">
      <alignment horizontal="center" vertical="center"/>
    </xf>
    <xf numFmtId="0" fontId="17" fillId="3" borderId="0" xfId="0" applyFont="1" applyFill="1" applyAlignment="1">
      <alignment horizontal="left"/>
    </xf>
    <xf numFmtId="0" fontId="17" fillId="3" borderId="25" xfId="8" applyFont="1" applyFill="1" applyBorder="1" applyAlignment="1">
      <alignment horizontal="left" vertical="top" wrapText="1"/>
    </xf>
    <xf numFmtId="0" fontId="17" fillId="3" borderId="0" xfId="8" applyFont="1" applyFill="1" applyAlignment="1">
      <alignment horizontal="left" vertical="top" wrapText="1"/>
    </xf>
    <xf numFmtId="173" fontId="17" fillId="3" borderId="15" xfId="0" applyNumberFormat="1" applyFont="1" applyFill="1" applyBorder="1" applyAlignment="1">
      <alignment horizontal="left"/>
    </xf>
    <xf numFmtId="0" fontId="17" fillId="3" borderId="25" xfId="3" applyFont="1" applyFill="1" applyBorder="1" applyAlignment="1">
      <alignment horizontal="left" vertical="top" wrapText="1"/>
    </xf>
    <xf numFmtId="0" fontId="17" fillId="3" borderId="0" xfId="3" applyFont="1" applyFill="1" applyAlignment="1">
      <alignment horizontal="left" vertical="top" wrapText="1"/>
    </xf>
    <xf numFmtId="0" fontId="17" fillId="3" borderId="28" xfId="3" applyFont="1" applyFill="1" applyBorder="1" applyAlignment="1">
      <alignment horizontal="left" vertical="top" wrapText="1"/>
    </xf>
    <xf numFmtId="0" fontId="17" fillId="3" borderId="26" xfId="3" applyFont="1" applyFill="1" applyBorder="1" applyAlignment="1">
      <alignment horizontal="left" vertical="top" wrapText="1"/>
    </xf>
    <xf numFmtId="0" fontId="17" fillId="3" borderId="15" xfId="3" applyFont="1" applyFill="1" applyBorder="1" applyAlignment="1">
      <alignment horizontal="left" vertical="top" wrapText="1"/>
    </xf>
    <xf numFmtId="0" fontId="17" fillId="3" borderId="27" xfId="3" applyFont="1" applyFill="1" applyBorder="1" applyAlignment="1">
      <alignment horizontal="left" vertical="top" wrapText="1"/>
    </xf>
    <xf numFmtId="165" fontId="43" fillId="0" borderId="9" xfId="5" applyNumberFormat="1" applyFont="1" applyBorder="1" applyAlignment="1">
      <alignment horizontal="center" vertical="center"/>
    </xf>
    <xf numFmtId="167" fontId="40" fillId="4" borderId="9" xfId="5" applyNumberFormat="1" applyFont="1" applyFill="1" applyBorder="1" applyAlignment="1">
      <alignment horizontal="center" vertical="center"/>
    </xf>
    <xf numFmtId="0" fontId="32" fillId="0" borderId="23" xfId="5" applyFont="1" applyBorder="1" applyAlignment="1">
      <alignment horizontal="left" vertical="top" wrapText="1"/>
    </xf>
    <xf numFmtId="0" fontId="32" fillId="0" borderId="17" xfId="5" applyFont="1" applyBorder="1" applyAlignment="1">
      <alignment horizontal="left" vertical="top" wrapText="1"/>
    </xf>
    <xf numFmtId="0" fontId="32" fillId="0" borderId="24" xfId="5" applyFont="1" applyBorder="1" applyAlignment="1">
      <alignment horizontal="left" vertical="top" wrapText="1"/>
    </xf>
    <xf numFmtId="0" fontId="32" fillId="0" borderId="25" xfId="5" applyFont="1" applyBorder="1" applyAlignment="1">
      <alignment horizontal="left" vertical="top" wrapText="1"/>
    </xf>
    <xf numFmtId="0" fontId="32" fillId="0" borderId="0" xfId="5" applyFont="1" applyAlignment="1">
      <alignment horizontal="left" vertical="top" wrapText="1"/>
    </xf>
    <xf numFmtId="0" fontId="32" fillId="0" borderId="28" xfId="5" applyFont="1" applyBorder="1" applyAlignment="1">
      <alignment horizontal="left" vertical="top" wrapText="1"/>
    </xf>
    <xf numFmtId="0" fontId="32" fillId="0" borderId="9" xfId="5" applyFont="1" applyBorder="1" applyAlignment="1">
      <alignment horizontal="center" vertical="center"/>
    </xf>
    <xf numFmtId="0" fontId="32" fillId="0" borderId="9" xfId="5" applyFont="1" applyBorder="1" applyAlignment="1">
      <alignment horizontal="center" vertical="top"/>
    </xf>
    <xf numFmtId="0" fontId="40" fillId="0" borderId="23" xfId="5" applyFont="1" applyBorder="1" applyAlignment="1">
      <alignment horizontal="center" vertical="center"/>
    </xf>
    <xf numFmtId="0" fontId="40" fillId="0" borderId="17" xfId="5" applyFont="1" applyBorder="1" applyAlignment="1">
      <alignment horizontal="center" vertical="center"/>
    </xf>
    <xf numFmtId="0" fontId="40" fillId="0" borderId="24" xfId="5" applyFont="1" applyBorder="1" applyAlignment="1">
      <alignment horizontal="center" vertical="center"/>
    </xf>
    <xf numFmtId="0" fontId="40" fillId="0" borderId="26" xfId="5" applyFont="1" applyBorder="1" applyAlignment="1">
      <alignment horizontal="center" vertical="center"/>
    </xf>
    <xf numFmtId="0" fontId="40" fillId="0" borderId="15" xfId="5" applyFont="1" applyBorder="1" applyAlignment="1">
      <alignment horizontal="center" vertical="center"/>
    </xf>
    <xf numFmtId="0" fontId="40" fillId="0" borderId="27" xfId="5" applyFont="1" applyBorder="1" applyAlignment="1">
      <alignment horizontal="center" vertical="center"/>
    </xf>
    <xf numFmtId="3" fontId="38" fillId="0" borderId="23" xfId="0" applyNumberFormat="1" applyFont="1" applyBorder="1" applyAlignment="1">
      <alignment horizontal="center" vertical="center"/>
    </xf>
    <xf numFmtId="3" fontId="38" fillId="0" borderId="17" xfId="0" applyNumberFormat="1" applyFont="1" applyBorder="1" applyAlignment="1">
      <alignment horizontal="center" vertical="center"/>
    </xf>
    <xf numFmtId="3" fontId="38" fillId="0" borderId="24" xfId="0" applyNumberFormat="1" applyFont="1" applyBorder="1" applyAlignment="1">
      <alignment horizontal="center" vertical="center"/>
    </xf>
    <xf numFmtId="3" fontId="38" fillId="0" borderId="26" xfId="0" applyNumberFormat="1" applyFont="1" applyBorder="1" applyAlignment="1">
      <alignment horizontal="center" vertical="center"/>
    </xf>
    <xf numFmtId="3" fontId="38" fillId="0" borderId="15" xfId="0" applyNumberFormat="1" applyFont="1" applyBorder="1" applyAlignment="1">
      <alignment horizontal="center" vertical="center"/>
    </xf>
    <xf numFmtId="3" fontId="38" fillId="0" borderId="27" xfId="0" applyNumberFormat="1" applyFont="1" applyBorder="1" applyAlignment="1">
      <alignment horizontal="center" vertical="center"/>
    </xf>
    <xf numFmtId="0" fontId="41" fillId="0" borderId="9" xfId="5" applyFont="1" applyBorder="1" applyAlignment="1">
      <alignment horizontal="center" vertical="center"/>
    </xf>
    <xf numFmtId="0" fontId="39" fillId="0" borderId="0" xfId="5" applyFont="1" applyAlignment="1">
      <alignment horizontal="center" vertical="center"/>
    </xf>
    <xf numFmtId="0" fontId="32" fillId="0" borderId="32" xfId="5" applyFont="1" applyBorder="1" applyAlignment="1">
      <alignment horizontal="left" vertical="center"/>
    </xf>
    <xf numFmtId="0" fontId="32" fillId="0" borderId="17" xfId="5" applyFont="1" applyBorder="1" applyAlignment="1">
      <alignment horizontal="left" vertical="center"/>
    </xf>
    <xf numFmtId="0" fontId="32" fillId="0" borderId="24" xfId="5" applyFont="1" applyBorder="1" applyAlignment="1">
      <alignment horizontal="left" vertical="center"/>
    </xf>
    <xf numFmtId="0" fontId="32" fillId="0" borderId="0" xfId="5" applyFont="1" applyAlignment="1">
      <alignment horizontal="center" vertical="center"/>
    </xf>
    <xf numFmtId="0" fontId="32" fillId="0" borderId="28" xfId="5" applyFont="1" applyBorder="1" applyAlignment="1">
      <alignment horizontal="center" vertical="center"/>
    </xf>
    <xf numFmtId="0" fontId="32" fillId="0" borderId="15" xfId="5" applyFont="1" applyBorder="1" applyAlignment="1">
      <alignment horizontal="center" vertical="center"/>
    </xf>
    <xf numFmtId="0" fontId="32" fillId="0" borderId="27" xfId="5" applyFont="1" applyBorder="1" applyAlignment="1">
      <alignment horizontal="center" vertical="center"/>
    </xf>
    <xf numFmtId="0" fontId="32" fillId="0" borderId="35" xfId="5" applyFont="1" applyBorder="1" applyAlignment="1">
      <alignment horizontal="left" vertical="center"/>
    </xf>
    <xf numFmtId="0" fontId="32" fillId="0" borderId="36" xfId="5" applyFont="1" applyBorder="1" applyAlignment="1">
      <alignment horizontal="left" vertical="center"/>
    </xf>
    <xf numFmtId="0" fontId="32" fillId="0" borderId="37" xfId="5" applyFont="1" applyBorder="1" applyAlignment="1">
      <alignment horizontal="left" vertical="center"/>
    </xf>
    <xf numFmtId="0" fontId="32" fillId="0" borderId="38" xfId="5" applyFont="1" applyBorder="1" applyAlignment="1">
      <alignment horizontal="left" vertical="center"/>
    </xf>
    <xf numFmtId="0" fontId="3" fillId="4" borderId="9" xfId="5" applyFont="1" applyFill="1" applyBorder="1" applyAlignment="1">
      <alignment horizontal="center"/>
    </xf>
    <xf numFmtId="0" fontId="32" fillId="0" borderId="34" xfId="5" applyFont="1" applyBorder="1" applyAlignment="1">
      <alignment horizontal="left" vertical="center"/>
    </xf>
    <xf numFmtId="0" fontId="32" fillId="0" borderId="33" xfId="5" applyFont="1" applyBorder="1" applyAlignment="1">
      <alignment horizontal="left" vertical="center"/>
    </xf>
    <xf numFmtId="0" fontId="40" fillId="0" borderId="9" xfId="5" applyFont="1" applyBorder="1" applyAlignment="1">
      <alignment horizontal="center" vertical="center"/>
    </xf>
    <xf numFmtId="0" fontId="40" fillId="2" borderId="9" xfId="5" applyFont="1" applyFill="1" applyBorder="1" applyAlignment="1">
      <alignment horizontal="center" vertical="center"/>
    </xf>
    <xf numFmtId="0" fontId="40" fillId="0" borderId="0" xfId="5" applyFont="1" applyAlignment="1">
      <alignment horizontal="center" vertical="center"/>
    </xf>
    <xf numFmtId="0" fontId="40" fillId="0" borderId="28" xfId="5" applyFont="1" applyBorder="1" applyAlignment="1">
      <alignment horizontal="center" vertical="center"/>
    </xf>
    <xf numFmtId="0" fontId="11" fillId="0" borderId="32" xfId="5" applyFont="1" applyBorder="1" applyAlignment="1">
      <alignment horizontal="left" vertical="center"/>
    </xf>
    <xf numFmtId="0" fontId="11" fillId="0" borderId="17" xfId="5" applyFont="1" applyBorder="1" applyAlignment="1">
      <alignment horizontal="left" vertical="center"/>
    </xf>
    <xf numFmtId="0" fontId="11" fillId="0" borderId="24" xfId="5" applyFont="1" applyBorder="1" applyAlignment="1">
      <alignment horizontal="left" vertical="center"/>
    </xf>
    <xf numFmtId="0" fontId="11" fillId="0" borderId="34" xfId="5" applyFont="1" applyBorder="1" applyAlignment="1">
      <alignment horizontal="left" vertical="center"/>
    </xf>
    <xf numFmtId="0" fontId="11" fillId="0" borderId="0" xfId="5" applyFont="1" applyAlignment="1">
      <alignment horizontal="left" vertical="center"/>
    </xf>
    <xf numFmtId="0" fontId="11" fillId="0" borderId="28" xfId="5" applyFont="1" applyBorder="1" applyAlignment="1">
      <alignment horizontal="left" vertical="center"/>
    </xf>
    <xf numFmtId="0" fontId="11" fillId="0" borderId="29" xfId="5" applyFont="1" applyBorder="1" applyAlignment="1">
      <alignment horizontal="left" vertical="center"/>
    </xf>
    <xf numFmtId="0" fontId="11" fillId="0" borderId="30" xfId="5" applyFont="1" applyBorder="1" applyAlignment="1">
      <alignment horizontal="left" vertical="center"/>
    </xf>
    <xf numFmtId="0" fontId="11" fillId="0" borderId="39" xfId="5" applyFont="1" applyBorder="1" applyAlignment="1">
      <alignment horizontal="left" vertical="center"/>
    </xf>
    <xf numFmtId="0" fontId="38" fillId="0" borderId="0" xfId="5" applyFont="1" applyAlignment="1">
      <alignment horizontal="center"/>
    </xf>
    <xf numFmtId="167" fontId="24" fillId="0" borderId="0" xfId="5" applyNumberFormat="1" applyFont="1" applyAlignment="1">
      <alignment horizontal="left"/>
    </xf>
    <xf numFmtId="0" fontId="11" fillId="0" borderId="0" xfId="5" applyFont="1" applyAlignment="1">
      <alignment horizontal="center"/>
    </xf>
    <xf numFmtId="0" fontId="11" fillId="0" borderId="23" xfId="5" applyFont="1" applyBorder="1" applyAlignment="1">
      <alignment horizontal="left" vertical="center"/>
    </xf>
    <xf numFmtId="0" fontId="11" fillId="0" borderId="26" xfId="5" applyFont="1" applyBorder="1" applyAlignment="1">
      <alignment horizontal="left" vertical="center"/>
    </xf>
    <xf numFmtId="0" fontId="11" fillId="0" borderId="15" xfId="5" applyFont="1" applyBorder="1" applyAlignment="1">
      <alignment horizontal="left" vertical="center"/>
    </xf>
    <xf numFmtId="0" fontId="11" fillId="0" borderId="27" xfId="5" applyFont="1" applyBorder="1" applyAlignment="1">
      <alignment horizontal="left" vertical="center"/>
    </xf>
    <xf numFmtId="0" fontId="11" fillId="0" borderId="9" xfId="5" applyFont="1" applyBorder="1" applyAlignment="1">
      <alignment horizontal="center" vertical="center"/>
    </xf>
    <xf numFmtId="0" fontId="10" fillId="0" borderId="26" xfId="5" applyFont="1" applyBorder="1" applyAlignment="1">
      <alignment horizontal="center"/>
    </xf>
    <xf numFmtId="0" fontId="10" fillId="0" borderId="15" xfId="5" applyFont="1" applyBorder="1" applyAlignment="1">
      <alignment horizontal="center"/>
    </xf>
    <xf numFmtId="0" fontId="10" fillId="0" borderId="27" xfId="5" applyFont="1" applyBorder="1" applyAlignment="1">
      <alignment horizontal="center"/>
    </xf>
    <xf numFmtId="0" fontId="36" fillId="4" borderId="25" xfId="5" applyFont="1" applyFill="1" applyBorder="1" applyAlignment="1">
      <alignment horizontal="center" vertical="center"/>
    </xf>
    <xf numFmtId="0" fontId="36" fillId="4" borderId="0" xfId="5" applyFont="1" applyFill="1" applyAlignment="1">
      <alignment horizontal="center" vertical="center"/>
    </xf>
    <xf numFmtId="0" fontId="36" fillId="4" borderId="28" xfId="5" applyFont="1" applyFill="1" applyBorder="1" applyAlignment="1">
      <alignment horizontal="center" vertical="center"/>
    </xf>
    <xf numFmtId="167" fontId="11" fillId="4" borderId="25" xfId="5" applyNumberFormat="1" applyFont="1" applyFill="1" applyBorder="1" applyAlignment="1">
      <alignment horizontal="center" vertical="center"/>
    </xf>
    <xf numFmtId="167" fontId="11" fillId="4" borderId="28" xfId="5" applyNumberFormat="1" applyFont="1" applyFill="1" applyBorder="1" applyAlignment="1">
      <alignment horizontal="center" vertical="center"/>
    </xf>
    <xf numFmtId="167" fontId="42" fillId="4" borderId="9" xfId="5" applyNumberFormat="1" applyFont="1" applyFill="1" applyBorder="1" applyAlignment="1">
      <alignment horizontal="center" vertical="center"/>
    </xf>
    <xf numFmtId="0" fontId="11" fillId="0" borderId="33" xfId="5" applyFont="1" applyBorder="1" applyAlignment="1">
      <alignment horizontal="left" vertical="center"/>
    </xf>
    <xf numFmtId="0" fontId="11" fillId="0" borderId="26" xfId="5" applyFont="1" applyBorder="1" applyAlignment="1">
      <alignment horizontal="center" vertical="center"/>
    </xf>
    <xf numFmtId="0" fontId="11" fillId="0" borderId="15" xfId="5" applyFont="1" applyBorder="1" applyAlignment="1">
      <alignment horizontal="center" vertical="center"/>
    </xf>
    <xf numFmtId="0" fontId="11" fillId="0" borderId="27" xfId="5" applyFont="1" applyBorder="1" applyAlignment="1">
      <alignment horizontal="center" vertical="center"/>
    </xf>
    <xf numFmtId="0" fontId="11" fillId="4" borderId="26" xfId="5" applyFont="1" applyFill="1" applyBorder="1" applyAlignment="1">
      <alignment horizontal="center" vertical="center"/>
    </xf>
    <xf numFmtId="0" fontId="11" fillId="4" borderId="27" xfId="5" applyFont="1" applyFill="1" applyBorder="1" applyAlignment="1">
      <alignment horizontal="center" vertical="center"/>
    </xf>
    <xf numFmtId="0" fontId="11" fillId="0" borderId="9" xfId="5" applyFont="1" applyBorder="1" applyAlignment="1">
      <alignment horizontal="left" vertical="center"/>
    </xf>
    <xf numFmtId="0" fontId="11" fillId="0" borderId="21" xfId="5" applyFont="1" applyBorder="1" applyAlignment="1">
      <alignment horizontal="center" vertical="top"/>
    </xf>
    <xf numFmtId="0" fontId="11" fillId="0" borderId="16" xfId="5" applyFont="1" applyBorder="1" applyAlignment="1">
      <alignment horizontal="center" vertical="top"/>
    </xf>
    <xf numFmtId="0" fontId="11" fillId="0" borderId="22" xfId="5" applyFont="1" applyBorder="1" applyAlignment="1">
      <alignment horizontal="center" vertical="top"/>
    </xf>
    <xf numFmtId="0" fontId="11" fillId="4" borderId="9" xfId="5" applyFont="1" applyFill="1" applyBorder="1" applyAlignment="1">
      <alignment horizontal="center" vertical="center"/>
    </xf>
    <xf numFmtId="0" fontId="36" fillId="4" borderId="33" xfId="5" applyFont="1" applyFill="1" applyBorder="1" applyAlignment="1">
      <alignment horizontal="left" vertical="center"/>
    </xf>
    <xf numFmtId="0" fontId="36" fillId="4" borderId="15" xfId="5" applyFont="1" applyFill="1" applyBorder="1" applyAlignment="1">
      <alignment horizontal="left" vertical="center"/>
    </xf>
    <xf numFmtId="0" fontId="36" fillId="4" borderId="27" xfId="5" applyFont="1" applyFill="1" applyBorder="1" applyAlignment="1">
      <alignment horizontal="left" vertical="center"/>
    </xf>
    <xf numFmtId="0" fontId="38" fillId="0" borderId="26" xfId="5" applyFont="1" applyBorder="1" applyAlignment="1">
      <alignment horizontal="left"/>
    </xf>
    <xf numFmtId="0" fontId="38" fillId="0" borderId="15" xfId="5" applyFont="1" applyBorder="1" applyAlignment="1">
      <alignment horizontal="left"/>
    </xf>
    <xf numFmtId="0" fontId="38" fillId="0" borderId="27" xfId="5" applyFont="1" applyBorder="1" applyAlignment="1">
      <alignment horizontal="left"/>
    </xf>
    <xf numFmtId="0" fontId="36" fillId="4" borderId="9" xfId="5" applyFont="1" applyFill="1" applyBorder="1" applyAlignment="1">
      <alignment horizontal="center" vertical="center"/>
    </xf>
    <xf numFmtId="0" fontId="12" fillId="0" borderId="26" xfId="5" applyFont="1" applyBorder="1" applyAlignment="1">
      <alignment horizontal="center"/>
    </xf>
    <xf numFmtId="0" fontId="12" fillId="0" borderId="15" xfId="5" applyFont="1" applyBorder="1" applyAlignment="1">
      <alignment horizontal="center"/>
    </xf>
    <xf numFmtId="0" fontId="12" fillId="0" borderId="27" xfId="5" applyFont="1" applyBorder="1" applyAlignment="1">
      <alignment horizontal="center"/>
    </xf>
    <xf numFmtId="0" fontId="36" fillId="4" borderId="9" xfId="5" applyFont="1" applyFill="1" applyBorder="1" applyAlignment="1">
      <alignment horizontal="left" vertical="center"/>
    </xf>
    <xf numFmtId="0" fontId="11" fillId="4" borderId="9" xfId="5" applyFont="1" applyFill="1" applyBorder="1" applyAlignment="1">
      <alignment horizontal="left" vertical="center"/>
    </xf>
    <xf numFmtId="0" fontId="36" fillId="4" borderId="32" xfId="5" applyFont="1" applyFill="1" applyBorder="1" applyAlignment="1">
      <alignment horizontal="left" vertical="center"/>
    </xf>
    <xf numFmtId="0" fontId="36" fillId="4" borderId="17" xfId="5" applyFont="1" applyFill="1" applyBorder="1" applyAlignment="1">
      <alignment horizontal="left" vertical="center"/>
    </xf>
    <xf numFmtId="0" fontId="36" fillId="4" borderId="24" xfId="5" applyFont="1" applyFill="1" applyBorder="1" applyAlignment="1">
      <alignment horizontal="left" vertical="center"/>
    </xf>
    <xf numFmtId="0" fontId="11" fillId="4" borderId="23" xfId="5" applyFont="1" applyFill="1" applyBorder="1" applyAlignment="1">
      <alignment horizontal="left" vertical="center"/>
    </xf>
    <xf numFmtId="0" fontId="11" fillId="4" borderId="0" xfId="5" applyFont="1" applyFill="1" applyAlignment="1">
      <alignment horizontal="left" vertical="center"/>
    </xf>
    <xf numFmtId="0" fontId="11" fillId="4" borderId="28" xfId="5" applyFont="1" applyFill="1" applyBorder="1" applyAlignment="1">
      <alignment horizontal="left" vertical="center"/>
    </xf>
    <xf numFmtId="0" fontId="11" fillId="4" borderId="25" xfId="5" applyFont="1" applyFill="1" applyBorder="1" applyAlignment="1">
      <alignment horizontal="left" vertical="center"/>
    </xf>
    <xf numFmtId="0" fontId="11" fillId="0" borderId="9" xfId="5" applyFont="1" applyBorder="1" applyAlignment="1">
      <alignment horizontal="center" vertical="top"/>
    </xf>
    <xf numFmtId="49" fontId="38" fillId="0" borderId="9" xfId="5" applyNumberFormat="1" applyFont="1" applyBorder="1" applyAlignment="1">
      <alignment horizontal="left"/>
    </xf>
    <xf numFmtId="0" fontId="36" fillId="0" borderId="9" xfId="5" applyFont="1" applyBorder="1" applyAlignment="1">
      <alignment horizontal="center" vertical="top"/>
    </xf>
    <xf numFmtId="14" fontId="11" fillId="4" borderId="9" xfId="5" applyNumberFormat="1" applyFont="1" applyFill="1" applyBorder="1" applyAlignment="1">
      <alignment horizontal="left" vertical="center"/>
    </xf>
    <xf numFmtId="0" fontId="36" fillId="0" borderId="32" xfId="5" applyFont="1" applyBorder="1" applyAlignment="1">
      <alignment horizontal="left" vertical="center"/>
    </xf>
    <xf numFmtId="0" fontId="36" fillId="0" borderId="17" xfId="5" applyFont="1" applyBorder="1" applyAlignment="1">
      <alignment horizontal="left" vertical="center"/>
    </xf>
    <xf numFmtId="0" fontId="36" fillId="0" borderId="24" xfId="5" applyFont="1" applyBorder="1" applyAlignment="1">
      <alignment horizontal="left" vertical="center"/>
    </xf>
    <xf numFmtId="0" fontId="11" fillId="2" borderId="9" xfId="5" applyFont="1" applyFill="1" applyBorder="1" applyAlignment="1">
      <alignment horizontal="left" vertical="center"/>
    </xf>
    <xf numFmtId="0" fontId="34" fillId="0" borderId="0" xfId="5" applyFont="1" applyAlignment="1">
      <alignment horizontal="center" vertical="center"/>
    </xf>
    <xf numFmtId="49" fontId="32" fillId="0" borderId="0" xfId="5" applyNumberFormat="1" applyFont="1" applyAlignment="1">
      <alignment horizontal="center" vertical="center"/>
    </xf>
    <xf numFmtId="0" fontId="35" fillId="5" borderId="0" xfId="5" applyFont="1" applyFill="1" applyAlignment="1">
      <alignment horizontal="center" vertical="center" wrapText="1"/>
    </xf>
    <xf numFmtId="0" fontId="36" fillId="0" borderId="29" xfId="5" applyFont="1" applyBorder="1" applyAlignment="1">
      <alignment horizontal="left" vertical="center"/>
    </xf>
    <xf numFmtId="0" fontId="36" fillId="0" borderId="30" xfId="5" applyFont="1" applyBorder="1" applyAlignment="1">
      <alignment horizontal="left" vertical="center"/>
    </xf>
    <xf numFmtId="0" fontId="36" fillId="0" borderId="31" xfId="5" applyFont="1" applyBorder="1" applyAlignment="1">
      <alignment horizontal="left" vertical="center"/>
    </xf>
    <xf numFmtId="0" fontId="29" fillId="0" borderId="26" xfId="2" applyFont="1" applyBorder="1" applyAlignment="1">
      <alignment vertical="center"/>
    </xf>
    <xf numFmtId="0" fontId="29" fillId="0" borderId="27" xfId="2" applyFont="1" applyBorder="1" applyAlignment="1">
      <alignment vertical="center"/>
    </xf>
    <xf numFmtId="0" fontId="28" fillId="0" borderId="25" xfId="2" applyFont="1" applyBorder="1" applyAlignment="1">
      <alignment horizontal="center" vertical="center"/>
    </xf>
    <xf numFmtId="0" fontId="28" fillId="0" borderId="28" xfId="2" applyFont="1" applyBorder="1" applyAlignment="1">
      <alignment horizontal="center" vertical="center"/>
    </xf>
    <xf numFmtId="0" fontId="3" fillId="0" borderId="21" xfId="2" applyFont="1" applyBorder="1" applyAlignment="1">
      <alignment horizontal="center" vertical="center"/>
    </xf>
    <xf numFmtId="0" fontId="3" fillId="0" borderId="22" xfId="2" applyFont="1" applyBorder="1" applyAlignment="1">
      <alignment horizontal="center" vertical="center"/>
    </xf>
    <xf numFmtId="0" fontId="3" fillId="0" borderId="9" xfId="2" applyFont="1" applyBorder="1" applyAlignment="1">
      <alignment horizontal="center" vertical="center"/>
    </xf>
    <xf numFmtId="0" fontId="23" fillId="0" borderId="0" xfId="2" applyFont="1" applyAlignment="1">
      <alignment horizontal="center" vertical="center"/>
    </xf>
    <xf numFmtId="0" fontId="24" fillId="0" borderId="0" xfId="2" applyFont="1" applyAlignment="1">
      <alignment horizontal="center" vertical="center"/>
    </xf>
    <xf numFmtId="0" fontId="11" fillId="0" borderId="0" xfId="2" applyFont="1" applyAlignment="1">
      <alignment horizontal="left" vertical="center" wrapText="1"/>
    </xf>
    <xf numFmtId="0" fontId="3" fillId="0" borderId="0" xfId="2" applyFont="1" applyAlignment="1">
      <alignment horizontal="left" vertical="center"/>
    </xf>
    <xf numFmtId="0" fontId="11" fillId="0" borderId="17" xfId="2" applyFont="1" applyBorder="1" applyAlignment="1">
      <alignment vertical="center"/>
    </xf>
    <xf numFmtId="0" fontId="3" fillId="0" borderId="23" xfId="2" applyFont="1" applyBorder="1" applyAlignment="1">
      <alignment horizontal="center" vertical="center"/>
    </xf>
    <xf numFmtId="0" fontId="3" fillId="0" borderId="24" xfId="2" applyFont="1" applyBorder="1" applyAlignment="1">
      <alignment horizontal="center" vertical="center"/>
    </xf>
    <xf numFmtId="0" fontId="17" fillId="3" borderId="21" xfId="5" applyFont="1" applyFill="1" applyBorder="1" applyAlignment="1">
      <alignment horizontal="center" vertical="center"/>
    </xf>
    <xf numFmtId="0" fontId="17" fillId="3" borderId="16" xfId="5" applyFont="1" applyFill="1" applyBorder="1" applyAlignment="1">
      <alignment horizontal="center" vertical="center"/>
    </xf>
    <xf numFmtId="0" fontId="17" fillId="3" borderId="22" xfId="5" applyFont="1" applyFill="1" applyBorder="1" applyAlignment="1">
      <alignment horizontal="center" vertical="center"/>
    </xf>
    <xf numFmtId="0" fontId="17" fillId="3" borderId="18" xfId="0" applyFont="1" applyFill="1" applyBorder="1" applyAlignment="1">
      <alignment horizontal="center" vertical="center"/>
    </xf>
    <xf numFmtId="0" fontId="17" fillId="3" borderId="19" xfId="0" applyFont="1" applyFill="1" applyBorder="1" applyAlignment="1">
      <alignment horizontal="center" vertical="center"/>
    </xf>
    <xf numFmtId="49" fontId="17" fillId="3" borderId="18" xfId="0" applyNumberFormat="1" applyFont="1" applyFill="1" applyBorder="1" applyAlignment="1">
      <alignment horizontal="center" vertical="center"/>
    </xf>
    <xf numFmtId="49" fontId="17" fillId="3" borderId="20" xfId="0" applyNumberFormat="1" applyFont="1" applyFill="1" applyBorder="1" applyAlignment="1">
      <alignment horizontal="center" vertical="center"/>
    </xf>
    <xf numFmtId="49" fontId="17" fillId="3" borderId="19" xfId="0" applyNumberFormat="1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/>
    </xf>
    <xf numFmtId="168" fontId="21" fillId="3" borderId="15" xfId="1" applyNumberFormat="1" applyFill="1" applyBorder="1" applyAlignment="1">
      <alignment horizontal="center" vertical="center"/>
    </xf>
    <xf numFmtId="167" fontId="11" fillId="3" borderId="17" xfId="1" applyNumberFormat="1" applyFont="1" applyFill="1" applyBorder="1" applyAlignment="1">
      <alignment horizontal="right" vertical="center"/>
    </xf>
    <xf numFmtId="167" fontId="11" fillId="3" borderId="16" xfId="1" applyNumberFormat="1" applyFont="1" applyFill="1" applyBorder="1" applyAlignment="1">
      <alignment horizontal="center" vertical="center"/>
    </xf>
    <xf numFmtId="0" fontId="11" fillId="3" borderId="15" xfId="5" applyFont="1" applyFill="1" applyBorder="1" applyAlignment="1">
      <alignment horizontal="left" vertical="center"/>
    </xf>
    <xf numFmtId="0" fontId="17" fillId="3" borderId="21" xfId="5" applyFont="1" applyFill="1" applyBorder="1" applyAlignment="1">
      <alignment horizontal="center" vertical="center" shrinkToFit="1"/>
    </xf>
    <xf numFmtId="0" fontId="17" fillId="3" borderId="16" xfId="5" applyFont="1" applyFill="1" applyBorder="1" applyAlignment="1">
      <alignment horizontal="center" vertical="center" shrinkToFit="1"/>
    </xf>
    <xf numFmtId="0" fontId="17" fillId="3" borderId="22" xfId="5" applyFont="1" applyFill="1" applyBorder="1" applyAlignment="1">
      <alignment horizontal="center" vertical="center" shrinkToFit="1"/>
    </xf>
    <xf numFmtId="167" fontId="17" fillId="3" borderId="18" xfId="0" applyNumberFormat="1" applyFont="1" applyFill="1" applyBorder="1" applyAlignment="1">
      <alignment horizontal="center" vertical="center"/>
    </xf>
    <xf numFmtId="167" fontId="17" fillId="3" borderId="20" xfId="0" applyNumberFormat="1" applyFont="1" applyFill="1" applyBorder="1" applyAlignment="1">
      <alignment horizontal="center" vertical="center"/>
    </xf>
    <xf numFmtId="167" fontId="17" fillId="3" borderId="19" xfId="0" applyNumberFormat="1" applyFont="1" applyFill="1" applyBorder="1" applyAlignment="1">
      <alignment horizontal="center" vertical="center"/>
    </xf>
    <xf numFmtId="168" fontId="17" fillId="3" borderId="18" xfId="0" applyNumberFormat="1" applyFont="1" applyFill="1" applyBorder="1" applyAlignment="1">
      <alignment horizontal="center" vertical="center"/>
    </xf>
    <xf numFmtId="168" fontId="17" fillId="3" borderId="20" xfId="0" applyNumberFormat="1" applyFont="1" applyFill="1" applyBorder="1" applyAlignment="1">
      <alignment horizontal="center" vertical="center"/>
    </xf>
    <xf numFmtId="168" fontId="17" fillId="3" borderId="19" xfId="0" applyNumberFormat="1" applyFont="1" applyFill="1" applyBorder="1" applyAlignment="1">
      <alignment horizontal="center" vertical="center"/>
    </xf>
    <xf numFmtId="0" fontId="11" fillId="3" borderId="16" xfId="1" applyFont="1" applyFill="1" applyBorder="1" applyAlignment="1">
      <alignment horizontal="left" vertical="center"/>
    </xf>
    <xf numFmtId="0" fontId="11" fillId="3" borderId="16" xfId="1" applyFont="1" applyFill="1" applyBorder="1" applyAlignment="1">
      <alignment horizontal="center" vertical="center"/>
    </xf>
    <xf numFmtId="0" fontId="11" fillId="3" borderId="16" xfId="1" applyFont="1" applyFill="1" applyBorder="1" applyAlignment="1">
      <alignment vertical="center"/>
    </xf>
    <xf numFmtId="0" fontId="18" fillId="3" borderId="0" xfId="1" applyFont="1" applyFill="1" applyAlignment="1">
      <alignment horizontal="center"/>
    </xf>
    <xf numFmtId="0" fontId="20" fillId="3" borderId="0" xfId="1" applyFont="1" applyFill="1" applyAlignment="1">
      <alignment horizontal="left" vertical="center"/>
    </xf>
    <xf numFmtId="0" fontId="21" fillId="3" borderId="15" xfId="1" applyFill="1" applyBorder="1" applyAlignment="1">
      <alignment horizontal="left" vertical="center"/>
    </xf>
    <xf numFmtId="0" fontId="11" fillId="3" borderId="0" xfId="1" applyFont="1" applyFill="1" applyAlignment="1">
      <alignment horizontal="left" vertical="center"/>
    </xf>
    <xf numFmtId="0" fontId="21" fillId="3" borderId="16" xfId="1" applyFill="1" applyBorder="1" applyAlignment="1">
      <alignment horizontal="left" vertical="center"/>
    </xf>
    <xf numFmtId="0" fontId="16" fillId="0" borderId="13" xfId="7" applyFont="1" applyBorder="1" applyAlignment="1">
      <alignment horizontal="center" vertical="center" wrapText="1"/>
    </xf>
    <xf numFmtId="0" fontId="8" fillId="0" borderId="0" xfId="7" applyFont="1" applyAlignment="1">
      <alignment horizontal="center"/>
    </xf>
    <xf numFmtId="14" fontId="8" fillId="0" borderId="0" xfId="7" applyNumberFormat="1" applyFont="1" applyAlignment="1">
      <alignment horizontal="center"/>
    </xf>
    <xf numFmtId="0" fontId="7" fillId="0" borderId="0" xfId="7" applyFont="1" applyAlignment="1">
      <alignment horizontal="center"/>
    </xf>
    <xf numFmtId="0" fontId="10" fillId="0" borderId="0" xfId="7" applyFont="1" applyAlignment="1">
      <alignment vertical="center" wrapText="1"/>
    </xf>
    <xf numFmtId="0" fontId="8" fillId="0" borderId="0" xfId="7" applyFont="1" applyAlignment="1">
      <alignment vertical="center" wrapText="1"/>
    </xf>
    <xf numFmtId="0" fontId="12" fillId="0" borderId="3" xfId="7" applyFont="1" applyBorder="1" applyAlignment="1">
      <alignment horizontal="center" vertical="center" wrapText="1"/>
    </xf>
    <xf numFmtId="0" fontId="3" fillId="0" borderId="6" xfId="7" applyFont="1" applyBorder="1" applyAlignment="1">
      <alignment horizontal="center" vertical="center" wrapText="1"/>
    </xf>
    <xf numFmtId="0" fontId="14" fillId="0" borderId="6" xfId="7" applyFont="1" applyBorder="1" applyAlignment="1">
      <alignment horizontal="center" vertical="center" wrapText="1"/>
    </xf>
    <xf numFmtId="0" fontId="1" fillId="0" borderId="0" xfId="7" applyFont="1" applyAlignment="1">
      <alignment horizontal="center"/>
    </xf>
    <xf numFmtId="0" fontId="2" fillId="0" borderId="0" xfId="7" applyFont="1" applyAlignment="1">
      <alignment horizontal="center" vertical="center"/>
    </xf>
    <xf numFmtId="0" fontId="3" fillId="0" borderId="0" xfId="7" applyFont="1" applyAlignment="1">
      <alignment horizontal="center"/>
    </xf>
    <xf numFmtId="0" fontId="4" fillId="0" borderId="0" xfId="7" applyFont="1" applyAlignment="1">
      <alignment horizontal="center"/>
    </xf>
    <xf numFmtId="0" fontId="5" fillId="0" borderId="1" xfId="7" applyFont="1" applyBorder="1" applyAlignment="1">
      <alignment horizontal="center"/>
    </xf>
    <xf numFmtId="0" fontId="6" fillId="0" borderId="0" xfId="7" applyFont="1" applyAlignment="1">
      <alignment horizontal="center"/>
    </xf>
    <xf numFmtId="0" fontId="60" fillId="3" borderId="9" xfId="0" applyFont="1" applyFill="1" applyBorder="1" applyAlignment="1">
      <alignment vertical="center"/>
    </xf>
  </cellXfs>
  <cellStyles count="9">
    <cellStyle name="一般" xfId="0" builtinId="0"/>
    <cellStyle name="一般_OMRON" xfId="8" xr:uid="{00000000-0005-0000-0000-000038000000}"/>
    <cellStyle name="一般_OMRON海運出口" xfId="3" xr:uid="{00000000-0005-0000-0000-000021000000}"/>
    <cellStyle name="一般_Sheet2" xfId="1" xr:uid="{00000000-0005-0000-0000-000006000000}"/>
    <cellStyle name="常规 2" xfId="4" xr:uid="{00000000-0005-0000-0000-000034000000}"/>
    <cellStyle name="常规_Sheet1" xfId="5" xr:uid="{00000000-0005-0000-0000-000035000000}"/>
    <cellStyle name="常规_Sheet1_1" xfId="6" xr:uid="{00000000-0005-0000-0000-000036000000}"/>
    <cellStyle name="常规_Sheet2" xfId="2" xr:uid="{00000000-0005-0000-0000-00001F000000}"/>
    <cellStyle name="常规_Sheet4" xfId="7" xr:uid="{00000000-0005-0000-0000-000037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280736</xdr:colOff>
      <xdr:row>38</xdr:row>
      <xdr:rowOff>220579</xdr:rowOff>
    </xdr:from>
    <xdr:to>
      <xdr:col>13</xdr:col>
      <xdr:colOff>882592</xdr:colOff>
      <xdr:row>43</xdr:row>
      <xdr:rowOff>10026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48195" y="9286875"/>
          <a:ext cx="295402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100263</xdr:colOff>
      <xdr:row>42</xdr:row>
      <xdr:rowOff>40106</xdr:rowOff>
    </xdr:from>
    <xdr:to>
      <xdr:col>11</xdr:col>
      <xdr:colOff>702120</xdr:colOff>
      <xdr:row>47</xdr:row>
      <xdr:rowOff>169946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386070" y="10241280"/>
          <a:ext cx="2954655" cy="1148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409188</xdr:colOff>
      <xdr:row>34</xdr:row>
      <xdr:rowOff>57161</xdr:rowOff>
    </xdr:from>
    <xdr:to>
      <xdr:col>2</xdr:col>
      <xdr:colOff>667838</xdr:colOff>
      <xdr:row>38</xdr:row>
      <xdr:rowOff>152411</xdr:rowOff>
    </xdr:to>
    <xdr:pic>
      <xdr:nvPicPr>
        <xdr:cNvPr id="2" name="Picture 1" descr="C:\Users\RD\Documents\Tencent Files\157309518\Image\C2C\0D0AE2D5FEFF2DBD0D9733244383DC6F.jp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30000" contrast="30000"/>
        </a:blip>
        <a:srcRect l="18900" t="12801" r="20799" b="11600"/>
        <a:stretch>
          <a:fillRect/>
        </a:stretch>
      </xdr:blipFill>
      <xdr:spPr>
        <a:xfrm rot="-140063">
          <a:off x="408940" y="6286500"/>
          <a:ext cx="2058670" cy="800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637962</xdr:colOff>
      <xdr:row>21</xdr:row>
      <xdr:rowOff>37145</xdr:rowOff>
    </xdr:from>
    <xdr:to>
      <xdr:col>3</xdr:col>
      <xdr:colOff>609653</xdr:colOff>
      <xdr:row>25</xdr:row>
      <xdr:rowOff>94295</xdr:rowOff>
    </xdr:to>
    <xdr:pic>
      <xdr:nvPicPr>
        <xdr:cNvPr id="2" name="Picture 1" descr="C:\Users\RD\Documents\Tencent Files\157309518\Image\C2C\0D0AE2D5FEFF2DBD0D9733244383DC6F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30000" contrast="30000"/>
        </a:blip>
        <a:srcRect l="18900" t="12801" r="20799" b="11600"/>
        <a:stretch>
          <a:fillRect/>
        </a:stretch>
      </xdr:blipFill>
      <xdr:spPr>
        <a:xfrm rot="-140063">
          <a:off x="1323340" y="4094480"/>
          <a:ext cx="1648460" cy="781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325981</xdr:colOff>
      <xdr:row>24</xdr:row>
      <xdr:rowOff>60422</xdr:rowOff>
    </xdr:from>
    <xdr:to>
      <xdr:col>3</xdr:col>
      <xdr:colOff>530904</xdr:colOff>
      <xdr:row>29</xdr:row>
      <xdr:rowOff>21195</xdr:rowOff>
    </xdr:to>
    <xdr:pic>
      <xdr:nvPicPr>
        <xdr:cNvPr id="2" name="Picture 1" descr="C:\Users\RD\Documents\Tencent Files\157309518\Image\C2C\0D0AE2D5FEFF2DBD0D9733244383DC6F.jp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30000" contrast="30000"/>
        </a:blip>
        <a:srcRect l="18900" t="12801" r="20799" b="11600"/>
        <a:stretch>
          <a:fillRect/>
        </a:stretch>
      </xdr:blipFill>
      <xdr:spPr>
        <a:xfrm rot="-140063">
          <a:off x="325755" y="4232275"/>
          <a:ext cx="2100580" cy="72263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144631</xdr:colOff>
      <xdr:row>18</xdr:row>
      <xdr:rowOff>318085</xdr:rowOff>
    </xdr:from>
    <xdr:to>
      <xdr:col>1</xdr:col>
      <xdr:colOff>1256834</xdr:colOff>
      <xdr:row>20</xdr:row>
      <xdr:rowOff>286248</xdr:rowOff>
    </xdr:to>
    <xdr:pic>
      <xdr:nvPicPr>
        <xdr:cNvPr id="2" name="Picture 1" descr="C:\Users\RD\Documents\Tencent Files\157309518\Image\C2C\0D0AE2D5FEFF2DBD0D9733244383DC6F.jp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30000" contrast="30000"/>
        </a:blip>
        <a:srcRect l="18900" t="12801" r="20799" b="11600"/>
        <a:stretch>
          <a:fillRect/>
        </a:stretch>
      </xdr:blipFill>
      <xdr:spPr>
        <a:xfrm rot="-140063">
          <a:off x="144145" y="6946900"/>
          <a:ext cx="1798320" cy="635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44"/>
  <sheetViews>
    <sheetView view="pageBreakPreview" topLeftCell="A11" zoomScale="95" zoomScaleNormal="100" workbookViewId="0">
      <selection activeCell="O23" sqref="O23"/>
    </sheetView>
  </sheetViews>
  <sheetFormatPr defaultColWidth="9" defaultRowHeight="23.25"/>
  <cols>
    <col min="1" max="1" width="5.5703125" style="209" customWidth="1"/>
    <col min="2" max="2" width="12.42578125" style="209" customWidth="1"/>
    <col min="3" max="3" width="12" style="209" customWidth="1"/>
    <col min="4" max="4" width="14.42578125" style="209" customWidth="1"/>
    <col min="5" max="5" width="8.7109375" style="209" customWidth="1"/>
    <col min="6" max="6" width="6.7109375" style="209" customWidth="1"/>
    <col min="7" max="7" width="12.7109375" style="209" customWidth="1"/>
    <col min="8" max="8" width="8.42578125" style="209" customWidth="1"/>
    <col min="9" max="9" width="9" style="209"/>
    <col min="10" max="10" width="5.28515625" style="209" customWidth="1"/>
    <col min="11" max="11" width="5.140625" style="209" customWidth="1"/>
    <col min="12" max="12" width="8.42578125" style="209" customWidth="1"/>
    <col min="13" max="13" width="12.140625" style="209" customWidth="1"/>
    <col min="14" max="14" width="14.42578125" style="209" customWidth="1"/>
    <col min="15" max="15" width="8" style="209" customWidth="1"/>
    <col min="16" max="16384" width="9" style="209"/>
  </cols>
  <sheetData>
    <row r="1" spans="1:15">
      <c r="A1" s="277" t="s">
        <v>0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9"/>
    </row>
    <row r="2" spans="1:15">
      <c r="A2" s="154" t="s">
        <v>1</v>
      </c>
      <c r="B2" s="155"/>
      <c r="C2" s="210"/>
      <c r="D2" s="165"/>
      <c r="E2" s="154" t="s">
        <v>2</v>
      </c>
      <c r="F2" s="210"/>
      <c r="G2" s="210"/>
      <c r="H2" s="210"/>
      <c r="I2" s="210"/>
      <c r="J2" s="251"/>
      <c r="K2" s="251"/>
      <c r="L2" s="251"/>
      <c r="M2" s="251"/>
      <c r="N2" s="251"/>
      <c r="O2" s="192"/>
    </row>
    <row r="3" spans="1:15">
      <c r="A3" s="150" t="s">
        <v>3</v>
      </c>
      <c r="B3" s="152"/>
      <c r="C3" s="160"/>
      <c r="D3" s="211"/>
      <c r="E3" s="212" t="s">
        <v>4</v>
      </c>
      <c r="F3" s="160"/>
      <c r="G3" s="213"/>
      <c r="H3" s="213"/>
      <c r="I3" s="160"/>
      <c r="J3" s="36"/>
      <c r="K3" s="36"/>
      <c r="L3" s="36"/>
      <c r="M3" s="36"/>
      <c r="N3" s="36"/>
      <c r="O3" s="193"/>
    </row>
    <row r="4" spans="1:15">
      <c r="A4" s="271" t="s">
        <v>5</v>
      </c>
      <c r="B4" s="272"/>
      <c r="C4" s="272"/>
      <c r="D4" s="273"/>
      <c r="E4" s="214">
        <v>45883</v>
      </c>
      <c r="F4" s="215"/>
      <c r="G4" s="215"/>
      <c r="H4" s="216"/>
      <c r="I4" s="160"/>
      <c r="J4" s="36"/>
      <c r="K4" s="36"/>
      <c r="L4" s="36"/>
      <c r="M4" s="36"/>
      <c r="N4" s="36"/>
      <c r="O4" s="193"/>
    </row>
    <row r="5" spans="1:15">
      <c r="A5" s="271"/>
      <c r="B5" s="272"/>
      <c r="C5" s="272"/>
      <c r="D5" s="273"/>
      <c r="E5" s="217"/>
      <c r="F5" s="160"/>
      <c r="G5" s="160"/>
      <c r="H5" s="160"/>
      <c r="I5" s="160"/>
      <c r="J5" s="36"/>
      <c r="K5" s="36"/>
      <c r="L5" s="36"/>
      <c r="M5" s="36"/>
      <c r="N5" s="36"/>
      <c r="O5" s="193"/>
    </row>
    <row r="6" spans="1:15">
      <c r="A6" s="218"/>
      <c r="B6" s="219"/>
      <c r="C6" s="220"/>
      <c r="D6" s="221"/>
      <c r="E6" s="222"/>
      <c r="F6" s="220"/>
      <c r="G6" s="220"/>
      <c r="H6" s="220"/>
      <c r="I6" s="220"/>
      <c r="J6" s="252"/>
      <c r="K6" s="252"/>
      <c r="L6" s="252"/>
      <c r="M6" s="252"/>
      <c r="N6" s="252"/>
      <c r="O6" s="253"/>
    </row>
    <row r="7" spans="1:15">
      <c r="A7" s="154" t="s">
        <v>6</v>
      </c>
      <c r="B7" s="155"/>
      <c r="C7" s="210"/>
      <c r="D7" s="223"/>
      <c r="E7" s="154" t="s">
        <v>7</v>
      </c>
      <c r="F7" s="210"/>
      <c r="G7" s="210"/>
      <c r="H7" s="210"/>
      <c r="I7" s="210"/>
      <c r="J7" s="254"/>
      <c r="K7" s="34"/>
      <c r="L7" s="34"/>
      <c r="M7" s="34"/>
      <c r="N7" s="34"/>
      <c r="O7" s="255"/>
    </row>
    <row r="8" spans="1:15">
      <c r="A8" s="224" t="s">
        <v>8</v>
      </c>
      <c r="B8" s="152"/>
      <c r="C8" s="225"/>
      <c r="D8" s="226"/>
      <c r="E8" s="217"/>
      <c r="F8" s="160"/>
      <c r="G8" s="160"/>
      <c r="H8" s="160"/>
      <c r="I8" s="160"/>
      <c r="J8" s="34"/>
      <c r="K8" s="34"/>
      <c r="L8" s="34"/>
      <c r="M8" s="34"/>
      <c r="N8" s="34"/>
      <c r="O8" s="255"/>
    </row>
    <row r="9" spans="1:15">
      <c r="A9" s="157" t="s">
        <v>9</v>
      </c>
      <c r="B9" s="152"/>
      <c r="C9" s="225"/>
      <c r="D9" s="226"/>
      <c r="E9" s="217"/>
      <c r="F9" s="160"/>
      <c r="G9" s="160"/>
      <c r="H9" s="160"/>
      <c r="I9" s="160"/>
      <c r="J9" s="34"/>
      <c r="K9" s="34"/>
      <c r="L9" s="34"/>
      <c r="M9" s="34"/>
      <c r="N9" s="34"/>
      <c r="O9" s="255"/>
    </row>
    <row r="10" spans="1:15">
      <c r="A10" s="271" t="s">
        <v>10</v>
      </c>
      <c r="B10" s="272"/>
      <c r="C10" s="272"/>
      <c r="D10" s="273"/>
      <c r="E10" s="280"/>
      <c r="F10" s="281"/>
      <c r="G10" s="281"/>
      <c r="H10" s="281"/>
      <c r="I10" s="281"/>
      <c r="J10" s="256"/>
      <c r="K10" s="256"/>
      <c r="L10" s="256"/>
      <c r="M10" s="256"/>
      <c r="N10" s="256"/>
      <c r="O10" s="257"/>
    </row>
    <row r="11" spans="1:15">
      <c r="A11" s="271"/>
      <c r="B11" s="272"/>
      <c r="C11" s="272"/>
      <c r="D11" s="273"/>
      <c r="E11" s="227"/>
      <c r="F11" s="228"/>
      <c r="G11" s="228"/>
      <c r="H11" s="228"/>
      <c r="I11" s="228"/>
      <c r="J11" s="256"/>
      <c r="K11" s="256"/>
      <c r="L11" s="256"/>
      <c r="M11" s="256"/>
      <c r="N11" s="256"/>
      <c r="O11" s="257"/>
    </row>
    <row r="12" spans="1:15">
      <c r="A12" s="154" t="s">
        <v>11</v>
      </c>
      <c r="B12" s="210"/>
      <c r="C12" s="210"/>
      <c r="D12" s="223"/>
      <c r="E12" s="154" t="s">
        <v>12</v>
      </c>
      <c r="F12" s="210"/>
      <c r="G12" s="210"/>
      <c r="H12" s="210"/>
      <c r="I12" s="210"/>
      <c r="J12" s="210"/>
      <c r="K12" s="210"/>
      <c r="L12" s="210"/>
      <c r="M12" s="210"/>
      <c r="N12" s="210"/>
      <c r="O12" s="223"/>
    </row>
    <row r="13" spans="1:15">
      <c r="A13" s="224" t="s">
        <v>8</v>
      </c>
      <c r="B13" s="152"/>
      <c r="C13" s="225"/>
      <c r="D13" s="226"/>
      <c r="E13" s="212" t="s">
        <v>13</v>
      </c>
      <c r="F13" s="163"/>
      <c r="G13" s="163"/>
      <c r="H13" s="163"/>
      <c r="I13" s="163"/>
      <c r="J13" s="36"/>
      <c r="K13" s="36"/>
      <c r="L13" s="36"/>
      <c r="M13" s="36"/>
      <c r="N13" s="36"/>
      <c r="O13" s="193"/>
    </row>
    <row r="14" spans="1:15">
      <c r="A14" s="157" t="s">
        <v>9</v>
      </c>
      <c r="B14" s="152"/>
      <c r="C14" s="225"/>
      <c r="D14" s="226"/>
      <c r="E14" s="212"/>
      <c r="F14" s="163"/>
      <c r="G14" s="163"/>
      <c r="H14" s="163"/>
      <c r="I14" s="163"/>
      <c r="J14" s="36"/>
      <c r="K14" s="36"/>
      <c r="L14" s="36"/>
      <c r="M14" s="36"/>
      <c r="N14" s="36"/>
      <c r="O14" s="193"/>
    </row>
    <row r="15" spans="1:15">
      <c r="A15" s="271" t="s">
        <v>10</v>
      </c>
      <c r="B15" s="272"/>
      <c r="C15" s="272"/>
      <c r="D15" s="273"/>
      <c r="E15" s="212"/>
      <c r="F15" s="163"/>
      <c r="G15" s="163"/>
      <c r="H15" s="163"/>
      <c r="I15" s="163"/>
      <c r="J15" s="36"/>
      <c r="K15" s="36"/>
      <c r="L15" s="36"/>
      <c r="M15" s="36"/>
      <c r="N15" s="36"/>
      <c r="O15" s="193"/>
    </row>
    <row r="16" spans="1:15">
      <c r="A16" s="271"/>
      <c r="B16" s="272"/>
      <c r="C16" s="272"/>
      <c r="D16" s="273"/>
      <c r="E16" s="222"/>
      <c r="F16" s="220"/>
      <c r="G16" s="220"/>
      <c r="H16" s="220"/>
      <c r="I16" s="258"/>
      <c r="J16" s="36"/>
      <c r="K16" s="36"/>
      <c r="L16" s="36"/>
      <c r="M16" s="36"/>
      <c r="N16" s="36"/>
      <c r="O16" s="253"/>
    </row>
    <row r="17" spans="1:15">
      <c r="A17" s="154" t="s">
        <v>14</v>
      </c>
      <c r="B17" s="210"/>
      <c r="C17" s="154" t="s">
        <v>15</v>
      </c>
      <c r="D17" s="223"/>
      <c r="E17" s="229" t="s">
        <v>16</v>
      </c>
      <c r="F17" s="153"/>
      <c r="G17" s="153"/>
      <c r="H17" s="153"/>
      <c r="I17" s="160"/>
      <c r="J17" s="251"/>
      <c r="K17" s="251"/>
      <c r="L17" s="251"/>
      <c r="M17" s="251"/>
      <c r="N17" s="251"/>
      <c r="O17" s="193"/>
    </row>
    <row r="18" spans="1:15">
      <c r="A18" s="282"/>
      <c r="B18" s="283"/>
      <c r="C18" s="282"/>
      <c r="D18" s="283"/>
      <c r="E18" s="230"/>
      <c r="F18" s="160"/>
      <c r="G18" s="160"/>
      <c r="H18" s="160"/>
      <c r="I18" s="160"/>
      <c r="J18" s="36"/>
      <c r="K18" s="36"/>
      <c r="L18" s="36"/>
      <c r="M18" s="36"/>
      <c r="N18" s="36"/>
      <c r="O18" s="193"/>
    </row>
    <row r="19" spans="1:15">
      <c r="A19" s="231"/>
      <c r="B19" s="232"/>
      <c r="C19" s="233"/>
      <c r="D19" s="221"/>
      <c r="E19" s="230"/>
      <c r="F19" s="163"/>
      <c r="G19" s="160"/>
      <c r="H19" s="160"/>
      <c r="I19" s="160"/>
      <c r="J19" s="36"/>
      <c r="K19" s="36"/>
      <c r="L19" s="36"/>
      <c r="M19" s="36"/>
      <c r="N19" s="36"/>
      <c r="O19" s="193"/>
    </row>
    <row r="20" spans="1:15">
      <c r="A20" s="154" t="s">
        <v>17</v>
      </c>
      <c r="B20" s="223"/>
      <c r="C20" s="234" t="s">
        <v>18</v>
      </c>
      <c r="D20" s="235"/>
      <c r="E20" s="230"/>
      <c r="F20" s="163"/>
      <c r="G20" s="160"/>
      <c r="H20" s="160"/>
      <c r="I20" s="160"/>
      <c r="J20" s="36"/>
      <c r="K20" s="36"/>
      <c r="L20" s="36"/>
      <c r="M20" s="36"/>
      <c r="N20" s="36"/>
      <c r="O20" s="193"/>
    </row>
    <row r="21" spans="1:15">
      <c r="A21" s="167"/>
      <c r="B21" s="236"/>
      <c r="C21" s="284"/>
      <c r="D21" s="285"/>
      <c r="E21" s="237" t="s">
        <v>19</v>
      </c>
      <c r="F21" s="220" t="s">
        <v>20</v>
      </c>
      <c r="G21" s="220"/>
      <c r="H21" s="220"/>
      <c r="I21" s="220"/>
      <c r="J21" s="259"/>
      <c r="K21" s="36"/>
      <c r="L21" s="36"/>
      <c r="M21" s="36"/>
      <c r="N21" s="259"/>
      <c r="O21" s="260"/>
    </row>
    <row r="22" spans="1:15" ht="36">
      <c r="A22" s="238" t="s">
        <v>21</v>
      </c>
      <c r="B22" s="239" t="s">
        <v>22</v>
      </c>
      <c r="C22" s="239" t="s">
        <v>23</v>
      </c>
      <c r="D22" s="240" t="s">
        <v>24</v>
      </c>
      <c r="E22" s="239" t="s">
        <v>25</v>
      </c>
      <c r="F22" s="239" t="s">
        <v>26</v>
      </c>
      <c r="G22" s="239" t="s">
        <v>27</v>
      </c>
      <c r="H22" s="239" t="s">
        <v>28</v>
      </c>
      <c r="I22" s="239" t="s">
        <v>29</v>
      </c>
      <c r="J22" s="261" t="s">
        <v>30</v>
      </c>
      <c r="K22" s="261" t="s">
        <v>31</v>
      </c>
      <c r="L22" s="262" t="s">
        <v>32</v>
      </c>
      <c r="M22" s="262" t="s">
        <v>33</v>
      </c>
      <c r="N22" s="262" t="s">
        <v>34</v>
      </c>
      <c r="O22" s="263" t="s">
        <v>35</v>
      </c>
    </row>
    <row r="23" spans="1:15" ht="26.25" customHeight="1">
      <c r="A23" s="171" t="s">
        <v>36</v>
      </c>
      <c r="B23" s="53" t="s">
        <v>37</v>
      </c>
      <c r="C23" s="53">
        <v>2250500261</v>
      </c>
      <c r="D23" s="53" t="s">
        <v>38</v>
      </c>
      <c r="E23" s="53">
        <v>67000</v>
      </c>
      <c r="F23" s="241" t="s">
        <v>39</v>
      </c>
      <c r="G23" s="242">
        <v>1.6E-2</v>
      </c>
      <c r="H23" s="171" t="s">
        <v>40</v>
      </c>
      <c r="I23" s="199">
        <f t="shared" ref="I23:I25" si="0">ROUND(E23*G23,2)</f>
        <v>1072</v>
      </c>
      <c r="J23" s="171" t="s">
        <v>41</v>
      </c>
      <c r="K23" s="171"/>
      <c r="L23" s="171" t="s">
        <v>42</v>
      </c>
      <c r="M23" s="171" t="s">
        <v>43</v>
      </c>
      <c r="N23" s="53" t="s">
        <v>44</v>
      </c>
      <c r="O23" s="171"/>
    </row>
    <row r="24" spans="1:15" ht="26.25" customHeight="1">
      <c r="A24" s="171" t="s">
        <v>45</v>
      </c>
      <c r="B24" s="53" t="s">
        <v>46</v>
      </c>
      <c r="C24" s="53">
        <v>2250503742</v>
      </c>
      <c r="D24" s="53" t="s">
        <v>47</v>
      </c>
      <c r="E24" s="53">
        <v>12000</v>
      </c>
      <c r="F24" s="241" t="s">
        <v>39</v>
      </c>
      <c r="G24" s="242">
        <v>1.6E-2</v>
      </c>
      <c r="H24" s="171" t="s">
        <v>40</v>
      </c>
      <c r="I24" s="199">
        <f t="shared" si="0"/>
        <v>192</v>
      </c>
      <c r="J24" s="171" t="s">
        <v>41</v>
      </c>
      <c r="K24" s="171"/>
      <c r="L24" s="171" t="s">
        <v>42</v>
      </c>
      <c r="M24" s="171" t="s">
        <v>43</v>
      </c>
      <c r="N24" s="53" t="s">
        <v>48</v>
      </c>
      <c r="O24" s="171"/>
    </row>
    <row r="25" spans="1:15" ht="26.25" customHeight="1">
      <c r="A25" s="171" t="s">
        <v>49</v>
      </c>
      <c r="B25" s="53" t="s">
        <v>50</v>
      </c>
      <c r="C25" s="53">
        <v>2250501410</v>
      </c>
      <c r="D25" s="53" t="s">
        <v>51</v>
      </c>
      <c r="E25" s="53">
        <v>8000</v>
      </c>
      <c r="F25" s="241" t="s">
        <v>39</v>
      </c>
      <c r="G25" s="242">
        <v>1.6E-2</v>
      </c>
      <c r="H25" s="171" t="s">
        <v>40</v>
      </c>
      <c r="I25" s="199">
        <f t="shared" si="0"/>
        <v>128</v>
      </c>
      <c r="J25" s="171" t="s">
        <v>41</v>
      </c>
      <c r="K25" s="171"/>
      <c r="L25" s="171" t="s">
        <v>42</v>
      </c>
      <c r="M25" s="171" t="s">
        <v>43</v>
      </c>
      <c r="N25" s="53" t="s">
        <v>52</v>
      </c>
      <c r="O25" s="171"/>
    </row>
    <row r="26" spans="1:15" ht="26.25" customHeight="1">
      <c r="A26" s="171" t="s">
        <v>53</v>
      </c>
      <c r="B26" s="53" t="s">
        <v>54</v>
      </c>
      <c r="C26" s="53">
        <v>2250603281</v>
      </c>
      <c r="D26" s="53" t="s">
        <v>55</v>
      </c>
      <c r="E26" s="53">
        <v>6000</v>
      </c>
      <c r="F26" s="241" t="s">
        <v>39</v>
      </c>
      <c r="G26" s="242">
        <v>1.18E-2</v>
      </c>
      <c r="H26" s="171" t="s">
        <v>40</v>
      </c>
      <c r="I26" s="199">
        <f t="shared" ref="I26" si="1">ROUND(E26*G26,2)</f>
        <v>70.8</v>
      </c>
      <c r="J26" s="171" t="s">
        <v>41</v>
      </c>
      <c r="K26" s="171"/>
      <c r="L26" s="171" t="s">
        <v>42</v>
      </c>
      <c r="M26" s="171" t="s">
        <v>43</v>
      </c>
      <c r="N26" s="53" t="s">
        <v>56</v>
      </c>
      <c r="O26" s="171"/>
    </row>
    <row r="27" spans="1:15" ht="26.25" customHeight="1">
      <c r="A27" s="175" t="s">
        <v>57</v>
      </c>
      <c r="B27" s="176" t="s">
        <v>58</v>
      </c>
      <c r="C27" s="176">
        <v>2250502425</v>
      </c>
      <c r="D27" s="176" t="s">
        <v>59</v>
      </c>
      <c r="E27" s="176">
        <v>1976</v>
      </c>
      <c r="F27" s="243" t="s">
        <v>39</v>
      </c>
      <c r="G27" s="244">
        <v>0.125</v>
      </c>
      <c r="H27" s="175" t="s">
        <v>40</v>
      </c>
      <c r="I27" s="202">
        <f t="shared" ref="I27:I32" si="2">ROUND(E27*G27,2)</f>
        <v>247</v>
      </c>
      <c r="J27" s="171" t="s">
        <v>41</v>
      </c>
      <c r="K27" s="264"/>
      <c r="L27" s="175" t="s">
        <v>42</v>
      </c>
      <c r="M27" s="175" t="s">
        <v>43</v>
      </c>
      <c r="N27" s="176" t="s">
        <v>60</v>
      </c>
      <c r="O27" s="175"/>
    </row>
    <row r="28" spans="1:15" ht="26.25" customHeight="1">
      <c r="A28" s="175" t="s">
        <v>61</v>
      </c>
      <c r="B28" s="176" t="s">
        <v>58</v>
      </c>
      <c r="C28" s="176">
        <v>2250701486</v>
      </c>
      <c r="D28" s="176" t="s">
        <v>59</v>
      </c>
      <c r="E28" s="176">
        <v>4936</v>
      </c>
      <c r="F28" s="243" t="s">
        <v>39</v>
      </c>
      <c r="G28" s="244">
        <v>0.125</v>
      </c>
      <c r="H28" s="175" t="s">
        <v>40</v>
      </c>
      <c r="I28" s="202">
        <f t="shared" si="2"/>
        <v>617</v>
      </c>
      <c r="J28" s="171" t="s">
        <v>41</v>
      </c>
      <c r="K28" s="264"/>
      <c r="L28" s="175" t="s">
        <v>42</v>
      </c>
      <c r="M28" s="175" t="s">
        <v>43</v>
      </c>
      <c r="N28" s="176" t="s">
        <v>60</v>
      </c>
      <c r="O28" s="175"/>
    </row>
    <row r="29" spans="1:15" ht="26.25" customHeight="1">
      <c r="A29" s="175" t="s">
        <v>62</v>
      </c>
      <c r="B29" s="176" t="s">
        <v>63</v>
      </c>
      <c r="C29" s="176">
        <v>2250300434</v>
      </c>
      <c r="D29" s="176" t="s">
        <v>64</v>
      </c>
      <c r="E29" s="176">
        <v>286</v>
      </c>
      <c r="F29" s="243" t="s">
        <v>39</v>
      </c>
      <c r="G29" s="244">
        <v>0.189</v>
      </c>
      <c r="H29" s="175" t="s">
        <v>40</v>
      </c>
      <c r="I29" s="202">
        <f t="shared" si="2"/>
        <v>54.05</v>
      </c>
      <c r="J29" s="171" t="s">
        <v>41</v>
      </c>
      <c r="K29" s="264"/>
      <c r="L29" s="175" t="s">
        <v>42</v>
      </c>
      <c r="M29" s="175" t="s">
        <v>43</v>
      </c>
      <c r="N29" s="176" t="s">
        <v>65</v>
      </c>
      <c r="O29" s="175"/>
    </row>
    <row r="30" spans="1:15" ht="26.25" customHeight="1">
      <c r="A30" s="175" t="s">
        <v>66</v>
      </c>
      <c r="B30" s="176" t="s">
        <v>63</v>
      </c>
      <c r="C30" s="176">
        <v>2250500218</v>
      </c>
      <c r="D30" s="176" t="s">
        <v>64</v>
      </c>
      <c r="E30" s="176">
        <v>3432</v>
      </c>
      <c r="F30" s="243" t="s">
        <v>39</v>
      </c>
      <c r="G30" s="244">
        <v>0.189</v>
      </c>
      <c r="H30" s="175" t="s">
        <v>40</v>
      </c>
      <c r="I30" s="202">
        <f t="shared" si="2"/>
        <v>648.65</v>
      </c>
      <c r="J30" s="171" t="s">
        <v>41</v>
      </c>
      <c r="K30" s="264"/>
      <c r="L30" s="175" t="s">
        <v>42</v>
      </c>
      <c r="M30" s="175" t="s">
        <v>43</v>
      </c>
      <c r="N30" s="176" t="s">
        <v>65</v>
      </c>
      <c r="O30" s="175"/>
    </row>
    <row r="31" spans="1:15" ht="26.25" customHeight="1">
      <c r="A31" s="175" t="s">
        <v>67</v>
      </c>
      <c r="B31" s="176" t="s">
        <v>63</v>
      </c>
      <c r="C31" s="176">
        <v>2250602366</v>
      </c>
      <c r="D31" s="176" t="s">
        <v>64</v>
      </c>
      <c r="E31" s="176">
        <v>4576</v>
      </c>
      <c r="F31" s="243" t="s">
        <v>39</v>
      </c>
      <c r="G31" s="244">
        <v>0.189</v>
      </c>
      <c r="H31" s="175" t="s">
        <v>40</v>
      </c>
      <c r="I31" s="202">
        <f t="shared" si="2"/>
        <v>864.86</v>
      </c>
      <c r="J31" s="171" t="s">
        <v>41</v>
      </c>
      <c r="K31" s="264"/>
      <c r="L31" s="175" t="s">
        <v>42</v>
      </c>
      <c r="M31" s="175" t="s">
        <v>43</v>
      </c>
      <c r="N31" s="176" t="s">
        <v>65</v>
      </c>
      <c r="O31" s="175"/>
    </row>
    <row r="32" spans="1:15" ht="26.25" customHeight="1">
      <c r="A32" s="175" t="s">
        <v>68</v>
      </c>
      <c r="B32" s="176" t="s">
        <v>63</v>
      </c>
      <c r="C32" s="176">
        <v>2250700674</v>
      </c>
      <c r="D32" s="176" t="s">
        <v>64</v>
      </c>
      <c r="E32" s="176">
        <v>7150</v>
      </c>
      <c r="F32" s="243" t="s">
        <v>39</v>
      </c>
      <c r="G32" s="244">
        <v>0.189</v>
      </c>
      <c r="H32" s="175" t="s">
        <v>40</v>
      </c>
      <c r="I32" s="202">
        <f t="shared" si="2"/>
        <v>1351.35</v>
      </c>
      <c r="J32" s="171" t="s">
        <v>41</v>
      </c>
      <c r="K32" s="264"/>
      <c r="L32" s="175" t="s">
        <v>42</v>
      </c>
      <c r="M32" s="175" t="s">
        <v>43</v>
      </c>
      <c r="N32" s="176" t="s">
        <v>65</v>
      </c>
      <c r="O32" s="175"/>
    </row>
    <row r="33" spans="1:15" ht="26.25" customHeight="1">
      <c r="A33" s="171"/>
      <c r="B33" s="172"/>
      <c r="C33" s="172"/>
      <c r="D33" s="172"/>
      <c r="E33" s="172"/>
      <c r="F33" s="241"/>
      <c r="G33" s="245"/>
      <c r="H33" s="171"/>
      <c r="I33" s="199"/>
      <c r="J33" s="265"/>
      <c r="K33" s="265"/>
      <c r="L33" s="171"/>
      <c r="M33" s="171"/>
      <c r="N33" s="172"/>
      <c r="O33" s="171"/>
    </row>
    <row r="34" spans="1:15" ht="26.25" customHeight="1">
      <c r="A34" s="246"/>
      <c r="B34" s="247"/>
      <c r="C34" s="274" t="s">
        <v>69</v>
      </c>
      <c r="D34" s="274"/>
      <c r="E34" s="248">
        <f>SUM(E23:E33)</f>
        <v>115356</v>
      </c>
      <c r="F34" s="249"/>
      <c r="G34" s="250"/>
      <c r="H34" s="250"/>
      <c r="I34" s="266">
        <f>SUM(I23:I33)</f>
        <v>5245.7100000000009</v>
      </c>
      <c r="J34" s="267"/>
      <c r="K34" s="267"/>
      <c r="L34" s="267"/>
      <c r="M34" s="267"/>
      <c r="N34" s="267"/>
      <c r="O34" s="268">
        <f>SUM(O23:O33)</f>
        <v>0</v>
      </c>
    </row>
    <row r="36" spans="1:15">
      <c r="A36" s="275" t="s">
        <v>70</v>
      </c>
      <c r="B36" s="275"/>
      <c r="C36" s="275"/>
      <c r="D36" s="275"/>
      <c r="E36" s="275"/>
      <c r="F36" s="275"/>
      <c r="G36" s="189" t="s">
        <v>71</v>
      </c>
      <c r="H36" s="190"/>
      <c r="I36" s="190"/>
      <c r="J36" s="190"/>
      <c r="K36" s="206"/>
    </row>
    <row r="37" spans="1:15">
      <c r="A37" s="270" t="s">
        <v>72</v>
      </c>
      <c r="B37" s="270"/>
      <c r="C37" s="270"/>
      <c r="D37" s="270"/>
      <c r="E37" s="270"/>
      <c r="F37" s="270"/>
      <c r="G37" s="189" t="s">
        <v>71</v>
      </c>
      <c r="H37" s="190"/>
      <c r="I37" s="189"/>
      <c r="J37" s="190"/>
      <c r="K37" s="206"/>
    </row>
    <row r="38" spans="1:15">
      <c r="A38" s="270" t="s">
        <v>73</v>
      </c>
      <c r="B38" s="270"/>
      <c r="C38" s="270"/>
      <c r="D38" s="270"/>
      <c r="E38" s="270"/>
      <c r="F38" s="270"/>
      <c r="G38" s="189" t="s">
        <v>74</v>
      </c>
      <c r="H38" s="190"/>
      <c r="I38" s="207"/>
      <c r="K38" s="276">
        <v>4420980168</v>
      </c>
      <c r="L38" s="276"/>
    </row>
    <row r="39" spans="1:15">
      <c r="A39" s="270" t="s">
        <v>75</v>
      </c>
      <c r="B39" s="270"/>
      <c r="C39" s="270"/>
      <c r="D39" s="270"/>
      <c r="E39" s="270"/>
      <c r="F39" s="270"/>
      <c r="G39" s="189" t="s">
        <v>76</v>
      </c>
      <c r="H39" s="190"/>
      <c r="I39" s="190"/>
      <c r="J39" s="190"/>
      <c r="K39" s="206"/>
    </row>
    <row r="40" spans="1:15">
      <c r="A40" s="270" t="s">
        <v>77</v>
      </c>
      <c r="B40" s="270"/>
      <c r="C40" s="270"/>
      <c r="D40" s="270"/>
      <c r="E40" s="270"/>
      <c r="F40" s="270"/>
      <c r="G40" s="189" t="s">
        <v>78</v>
      </c>
      <c r="H40" s="190"/>
      <c r="I40" s="190"/>
      <c r="J40" s="190"/>
      <c r="K40" s="208"/>
    </row>
    <row r="41" spans="1:15">
      <c r="A41" s="270" t="s">
        <v>79</v>
      </c>
      <c r="B41" s="270"/>
      <c r="C41" s="270"/>
      <c r="D41" s="270"/>
      <c r="E41" s="270"/>
      <c r="F41" s="270"/>
      <c r="G41" s="189" t="s">
        <v>80</v>
      </c>
      <c r="H41" s="190"/>
      <c r="I41" s="190"/>
      <c r="J41" s="190"/>
      <c r="K41" s="208"/>
    </row>
    <row r="42" spans="1:15">
      <c r="A42" s="270" t="s">
        <v>81</v>
      </c>
      <c r="B42" s="270"/>
      <c r="C42" s="270"/>
      <c r="D42" s="270"/>
      <c r="E42" s="270"/>
      <c r="F42" s="270"/>
      <c r="G42" s="188">
        <v>99</v>
      </c>
      <c r="H42" s="190"/>
      <c r="I42" s="190"/>
      <c r="J42" s="190"/>
      <c r="K42" s="208"/>
    </row>
    <row r="43" spans="1:15">
      <c r="A43" s="270" t="s">
        <v>82</v>
      </c>
      <c r="B43" s="270"/>
      <c r="C43" s="270"/>
      <c r="D43" s="270"/>
      <c r="E43" s="270"/>
      <c r="F43" s="270"/>
      <c r="G43" s="189" t="s">
        <v>83</v>
      </c>
      <c r="H43" s="190"/>
      <c r="I43" s="190"/>
      <c r="J43" s="190"/>
      <c r="K43" s="208"/>
    </row>
    <row r="44" spans="1:15">
      <c r="A44" s="269" t="s">
        <v>84</v>
      </c>
      <c r="B44" s="270"/>
      <c r="C44" s="270"/>
      <c r="D44" s="270"/>
      <c r="E44" s="270"/>
      <c r="F44" s="270"/>
      <c r="G44" s="191" t="s">
        <v>85</v>
      </c>
      <c r="H44" s="190"/>
      <c r="I44" s="190"/>
      <c r="J44" s="190"/>
      <c r="K44" s="208"/>
    </row>
  </sheetData>
  <mergeCells count="19">
    <mergeCell ref="K38:L38"/>
    <mergeCell ref="A1:O1"/>
    <mergeCell ref="E10:I10"/>
    <mergeCell ref="A18:B18"/>
    <mergeCell ref="C18:D18"/>
    <mergeCell ref="C21:D21"/>
    <mergeCell ref="A44:F44"/>
    <mergeCell ref="A4:D5"/>
    <mergeCell ref="A10:D11"/>
    <mergeCell ref="A15:D16"/>
    <mergeCell ref="A39:F39"/>
    <mergeCell ref="A40:F40"/>
    <mergeCell ref="A41:F41"/>
    <mergeCell ref="A42:F42"/>
    <mergeCell ref="A43:F43"/>
    <mergeCell ref="C34:D34"/>
    <mergeCell ref="A36:F36"/>
    <mergeCell ref="A37:F37"/>
    <mergeCell ref="A38:F38"/>
  </mergeCells>
  <printOptions horizontalCentered="1"/>
  <pageMargins left="0.55118110236220497" right="0.55118110236220497" top="0.98425196850393704" bottom="0.98425196850393704" header="0.511811023622047" footer="0.511811023622047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47"/>
  <sheetViews>
    <sheetView tabSelected="1" view="pageBreakPreview" topLeftCell="A13" zoomScale="95" zoomScaleNormal="100" workbookViewId="0">
      <selection activeCell="N32" sqref="N32"/>
    </sheetView>
  </sheetViews>
  <sheetFormatPr defaultColWidth="9" defaultRowHeight="15"/>
  <cols>
    <col min="1" max="1" width="7.28515625" customWidth="1"/>
    <col min="2" max="2" width="7.85546875" customWidth="1"/>
    <col min="3" max="3" width="12.28515625" customWidth="1"/>
    <col min="4" max="4" width="13" customWidth="1"/>
    <col min="5" max="5" width="13.5703125" customWidth="1"/>
    <col min="6" max="6" width="6.7109375" customWidth="1"/>
    <col min="7" max="7" width="8.5703125" customWidth="1"/>
    <col min="8" max="8" width="7.42578125" customWidth="1"/>
    <col min="9" max="9" width="7" customWidth="1"/>
    <col min="10" max="10" width="8" customWidth="1"/>
    <col min="11" max="11" width="8.42578125" customWidth="1"/>
    <col min="12" max="12" width="12.28515625" customWidth="1"/>
  </cols>
  <sheetData>
    <row r="1" spans="1:12" ht="23.25">
      <c r="A1" s="334" t="s">
        <v>86</v>
      </c>
      <c r="B1" s="335"/>
      <c r="C1" s="335"/>
      <c r="D1" s="335"/>
      <c r="E1" s="335"/>
      <c r="F1" s="335"/>
      <c r="G1" s="335"/>
      <c r="H1" s="335"/>
      <c r="I1" s="335"/>
      <c r="J1" s="335"/>
      <c r="K1" s="335"/>
      <c r="L1" s="336"/>
    </row>
    <row r="2" spans="1:12" ht="19.5" customHeight="1">
      <c r="A2" s="147" t="s">
        <v>1</v>
      </c>
      <c r="B2" s="148"/>
      <c r="C2" s="148"/>
      <c r="D2" s="149"/>
      <c r="E2" s="149"/>
      <c r="F2" s="149"/>
      <c r="G2" s="147" t="s">
        <v>87</v>
      </c>
      <c r="H2" s="149"/>
      <c r="I2" s="149"/>
      <c r="J2" s="149"/>
      <c r="K2" s="149"/>
      <c r="L2" s="192"/>
    </row>
    <row r="3" spans="1:12" ht="21.75" customHeight="1">
      <c r="A3" s="150" t="s">
        <v>3</v>
      </c>
      <c r="B3" s="151"/>
      <c r="C3" s="152"/>
      <c r="D3" s="153"/>
      <c r="E3" s="153"/>
      <c r="F3" s="153"/>
      <c r="G3" s="282" t="s">
        <v>4</v>
      </c>
      <c r="H3" s="337"/>
      <c r="I3" s="153"/>
      <c r="J3" s="153"/>
      <c r="K3" s="153"/>
      <c r="L3" s="193"/>
    </row>
    <row r="4" spans="1:12" ht="21.75" customHeight="1">
      <c r="A4" s="338" t="s">
        <v>5</v>
      </c>
      <c r="B4" s="339"/>
      <c r="C4" s="339"/>
      <c r="D4" s="339"/>
      <c r="E4" s="339"/>
      <c r="F4" s="339"/>
      <c r="G4" s="284">
        <v>45883</v>
      </c>
      <c r="H4" s="340"/>
      <c r="I4" s="153"/>
      <c r="J4" s="153"/>
      <c r="K4" s="153"/>
      <c r="L4" s="193"/>
    </row>
    <row r="5" spans="1:12" ht="24" customHeight="1">
      <c r="A5" s="154" t="s">
        <v>6</v>
      </c>
      <c r="B5" s="155"/>
      <c r="C5" s="148"/>
      <c r="D5" s="149"/>
      <c r="E5" s="149"/>
      <c r="F5" s="156"/>
      <c r="G5" s="147" t="s">
        <v>88</v>
      </c>
      <c r="H5" s="149"/>
      <c r="I5" s="149"/>
      <c r="J5" s="149"/>
      <c r="K5" s="149"/>
      <c r="L5" s="192"/>
    </row>
    <row r="6" spans="1:12" ht="24" customHeight="1">
      <c r="A6" s="157" t="s">
        <v>89</v>
      </c>
      <c r="B6" s="152"/>
      <c r="C6" s="152"/>
      <c r="D6" s="153"/>
      <c r="E6" s="153"/>
      <c r="F6" s="158"/>
      <c r="G6" s="159"/>
      <c r="H6" s="160"/>
      <c r="I6" s="160"/>
      <c r="J6" s="160"/>
      <c r="K6" s="160"/>
      <c r="L6" s="193"/>
    </row>
    <row r="7" spans="1:12" ht="24" customHeight="1">
      <c r="A7" s="341" t="s">
        <v>90</v>
      </c>
      <c r="B7" s="342"/>
      <c r="C7" s="342"/>
      <c r="D7" s="342"/>
      <c r="E7" s="342"/>
      <c r="F7" s="343"/>
      <c r="G7" s="161"/>
      <c r="H7" s="153"/>
      <c r="I7" s="153"/>
      <c r="J7" s="153"/>
      <c r="K7" s="160"/>
      <c r="L7" s="193"/>
    </row>
    <row r="8" spans="1:12" ht="24" customHeight="1">
      <c r="A8" s="341"/>
      <c r="B8" s="342"/>
      <c r="C8" s="342"/>
      <c r="D8" s="342"/>
      <c r="E8" s="342"/>
      <c r="F8" s="343"/>
      <c r="G8" s="161"/>
      <c r="H8" s="153"/>
      <c r="I8" s="153"/>
      <c r="J8" s="153"/>
      <c r="K8" s="160"/>
      <c r="L8" s="193"/>
    </row>
    <row r="9" spans="1:12" ht="18.75" customHeight="1">
      <c r="A9" s="154" t="s">
        <v>11</v>
      </c>
      <c r="B9" s="155"/>
      <c r="C9" s="148"/>
      <c r="D9" s="149"/>
      <c r="E9" s="149"/>
      <c r="F9" s="156"/>
      <c r="G9" s="162"/>
      <c r="H9" s="163"/>
      <c r="I9" s="163"/>
      <c r="J9" s="153"/>
      <c r="K9" s="153"/>
      <c r="L9" s="193"/>
    </row>
    <row r="10" spans="1:12" ht="18.75" customHeight="1">
      <c r="A10" s="157" t="s">
        <v>89</v>
      </c>
      <c r="B10" s="152"/>
      <c r="C10" s="152"/>
      <c r="D10" s="153"/>
      <c r="E10" s="153"/>
      <c r="F10" s="158"/>
      <c r="G10" s="162"/>
      <c r="H10" s="163"/>
      <c r="I10" s="163"/>
      <c r="J10" s="153"/>
      <c r="K10" s="153"/>
      <c r="L10" s="193"/>
    </row>
    <row r="11" spans="1:12" ht="18.75" customHeight="1">
      <c r="A11" s="341" t="s">
        <v>90</v>
      </c>
      <c r="B11" s="342"/>
      <c r="C11" s="342"/>
      <c r="D11" s="342"/>
      <c r="E11" s="342"/>
      <c r="F11" s="343"/>
      <c r="G11" s="153"/>
      <c r="H11" s="153"/>
      <c r="I11" s="153"/>
      <c r="J11" s="153"/>
      <c r="K11" s="153"/>
      <c r="L11" s="193"/>
    </row>
    <row r="12" spans="1:12" ht="18.75" customHeight="1">
      <c r="A12" s="341"/>
      <c r="B12" s="342"/>
      <c r="C12" s="342"/>
      <c r="D12" s="342"/>
      <c r="E12" s="342"/>
      <c r="F12" s="343"/>
      <c r="G12" s="328"/>
      <c r="H12" s="328"/>
      <c r="I12" s="164"/>
      <c r="J12" s="194"/>
      <c r="K12" s="195"/>
      <c r="L12" s="193"/>
    </row>
    <row r="13" spans="1:12" ht="18.75" customHeight="1">
      <c r="A13" s="344"/>
      <c r="B13" s="345"/>
      <c r="C13" s="345"/>
      <c r="D13" s="345"/>
      <c r="E13" s="345"/>
      <c r="F13" s="346"/>
      <c r="G13" s="164"/>
      <c r="H13" s="164"/>
      <c r="I13" s="164"/>
      <c r="J13" s="194"/>
      <c r="K13" s="195"/>
      <c r="L13" s="193"/>
    </row>
    <row r="14" spans="1:12">
      <c r="A14" s="147" t="s">
        <v>91</v>
      </c>
      <c r="B14" s="148"/>
      <c r="C14" s="148"/>
      <c r="D14" s="165"/>
      <c r="E14" s="147" t="s">
        <v>92</v>
      </c>
      <c r="F14" s="166"/>
      <c r="G14" s="328"/>
      <c r="H14" s="328"/>
      <c r="I14" s="164"/>
      <c r="J14" s="196"/>
      <c r="K14" s="153"/>
      <c r="L14" s="193"/>
    </row>
    <row r="15" spans="1:12">
      <c r="A15" s="329"/>
      <c r="B15" s="330"/>
      <c r="C15" s="330"/>
      <c r="D15" s="331"/>
      <c r="E15" s="329"/>
      <c r="F15" s="331"/>
      <c r="G15" s="328"/>
      <c r="H15" s="328"/>
      <c r="I15" s="164"/>
      <c r="J15" s="196"/>
      <c r="K15" s="153"/>
      <c r="L15" s="193"/>
    </row>
    <row r="16" spans="1:12" ht="21" customHeight="1">
      <c r="A16" s="147" t="s">
        <v>17</v>
      </c>
      <c r="B16" s="161"/>
      <c r="C16" s="161"/>
      <c r="D16" s="168"/>
      <c r="E16" s="332" t="s">
        <v>18</v>
      </c>
      <c r="F16" s="333"/>
      <c r="G16" s="153"/>
      <c r="H16" s="153"/>
      <c r="I16" s="153"/>
      <c r="J16" s="153"/>
      <c r="K16" s="153"/>
      <c r="L16" s="193"/>
    </row>
    <row r="17" spans="1:12" ht="18.75" customHeight="1">
      <c r="A17" s="314" t="s">
        <v>93</v>
      </c>
      <c r="B17" s="314" t="s">
        <v>94</v>
      </c>
      <c r="C17" s="314" t="s">
        <v>23</v>
      </c>
      <c r="D17" s="314" t="s">
        <v>22</v>
      </c>
      <c r="E17" s="318" t="s">
        <v>24</v>
      </c>
      <c r="F17" s="318"/>
      <c r="G17" s="307" t="s">
        <v>25</v>
      </c>
      <c r="H17" s="307" t="s">
        <v>26</v>
      </c>
      <c r="I17" s="303" t="s">
        <v>95</v>
      </c>
      <c r="J17" s="197" t="s">
        <v>96</v>
      </c>
      <c r="K17" s="197" t="s">
        <v>97</v>
      </c>
      <c r="L17" s="298" t="s">
        <v>98</v>
      </c>
    </row>
    <row r="18" spans="1:12" ht="18.75" customHeight="1">
      <c r="A18" s="314"/>
      <c r="B18" s="314"/>
      <c r="C18" s="314"/>
      <c r="D18" s="314"/>
      <c r="E18" s="318"/>
      <c r="F18" s="318"/>
      <c r="G18" s="307"/>
      <c r="H18" s="307"/>
      <c r="I18" s="303"/>
      <c r="J18" s="197" t="s">
        <v>99</v>
      </c>
      <c r="K18" s="197" t="s">
        <v>99</v>
      </c>
      <c r="L18" s="299"/>
    </row>
    <row r="19" spans="1:12" ht="19.5" customHeight="1">
      <c r="A19" s="170" t="s">
        <v>100</v>
      </c>
      <c r="B19" s="171">
        <v>6000</v>
      </c>
      <c r="C19" s="172">
        <v>2250500261</v>
      </c>
      <c r="D19" s="172" t="s">
        <v>37</v>
      </c>
      <c r="E19" s="326" t="s">
        <v>38</v>
      </c>
      <c r="F19" s="327"/>
      <c r="G19" s="53">
        <v>66000</v>
      </c>
      <c r="H19" s="173" t="s">
        <v>39</v>
      </c>
      <c r="I19" s="198">
        <f>G19/B19</f>
        <v>11</v>
      </c>
      <c r="J19" s="199">
        <f>ROUND(0.59*G19/1000,2)</f>
        <v>38.94</v>
      </c>
      <c r="K19" s="199">
        <f>ROUND(6.5*I19,2)</f>
        <v>71.5</v>
      </c>
      <c r="L19" s="200" t="s">
        <v>101</v>
      </c>
    </row>
    <row r="20" spans="1:12" ht="19.5" customHeight="1">
      <c r="A20" s="170" t="s">
        <v>102</v>
      </c>
      <c r="B20" s="171">
        <v>1000</v>
      </c>
      <c r="C20" s="172">
        <v>2250500261</v>
      </c>
      <c r="D20" s="172" t="s">
        <v>37</v>
      </c>
      <c r="E20" s="326" t="s">
        <v>38</v>
      </c>
      <c r="F20" s="327"/>
      <c r="G20" s="53">
        <v>1000</v>
      </c>
      <c r="H20" s="173" t="s">
        <v>39</v>
      </c>
      <c r="I20" s="198">
        <f t="shared" ref="I20:I32" si="0">G20/B20</f>
        <v>1</v>
      </c>
      <c r="J20" s="199">
        <f>ROUND(0.59*G20/1000,2)</f>
        <v>0.59</v>
      </c>
      <c r="K20" s="199">
        <f>ROUND(1.5*I20,2)</f>
        <v>1.5</v>
      </c>
      <c r="L20" s="200" t="s">
        <v>103</v>
      </c>
    </row>
    <row r="21" spans="1:12" ht="19.5" customHeight="1">
      <c r="A21" s="170" t="s">
        <v>104</v>
      </c>
      <c r="B21" s="171">
        <v>6000</v>
      </c>
      <c r="C21" s="172">
        <v>2250503742</v>
      </c>
      <c r="D21" s="172" t="s">
        <v>46</v>
      </c>
      <c r="E21" s="326" t="s">
        <v>47</v>
      </c>
      <c r="F21" s="327"/>
      <c r="G21" s="53">
        <v>12000</v>
      </c>
      <c r="H21" s="173" t="s">
        <v>39</v>
      </c>
      <c r="I21" s="198">
        <f t="shared" si="0"/>
        <v>2</v>
      </c>
      <c r="J21" s="199">
        <f>ROUND(0.62*G21/1000,2)</f>
        <v>7.44</v>
      </c>
      <c r="K21" s="199">
        <f>ROUND(6.3*I21,2)</f>
        <v>12.6</v>
      </c>
      <c r="L21" s="200" t="s">
        <v>101</v>
      </c>
    </row>
    <row r="22" spans="1:12" ht="19.5" customHeight="1">
      <c r="A22" s="170" t="s">
        <v>105</v>
      </c>
      <c r="B22" s="171">
        <v>6000</v>
      </c>
      <c r="C22" s="172">
        <v>2250501410</v>
      </c>
      <c r="D22" s="172" t="s">
        <v>50</v>
      </c>
      <c r="E22" s="326" t="s">
        <v>51</v>
      </c>
      <c r="F22" s="327"/>
      <c r="G22" s="53">
        <v>6000</v>
      </c>
      <c r="H22" s="173" t="s">
        <v>39</v>
      </c>
      <c r="I22" s="198">
        <f t="shared" si="0"/>
        <v>1</v>
      </c>
      <c r="J22" s="199">
        <f>ROUND(0.703*G22/1000,2)</f>
        <v>4.22</v>
      </c>
      <c r="K22" s="199">
        <f t="shared" ref="K22" si="1">ROUND(6.5*I22,2)</f>
        <v>6.5</v>
      </c>
      <c r="L22" s="200" t="s">
        <v>101</v>
      </c>
    </row>
    <row r="23" spans="1:12" ht="19.5" customHeight="1">
      <c r="A23" s="170" t="s">
        <v>106</v>
      </c>
      <c r="B23" s="171">
        <v>2000</v>
      </c>
      <c r="C23" s="172">
        <v>2250501410</v>
      </c>
      <c r="D23" s="172" t="s">
        <v>50</v>
      </c>
      <c r="E23" s="326" t="s">
        <v>51</v>
      </c>
      <c r="F23" s="327"/>
      <c r="G23" s="53">
        <v>2000</v>
      </c>
      <c r="H23" s="173" t="s">
        <v>39</v>
      </c>
      <c r="I23" s="198">
        <f t="shared" si="0"/>
        <v>1</v>
      </c>
      <c r="J23" s="199">
        <f>ROUND(0.703*G23/1000,2)</f>
        <v>1.41</v>
      </c>
      <c r="K23" s="199">
        <f>ROUND(2.5*I23,2)</f>
        <v>2.5</v>
      </c>
      <c r="L23" s="200" t="s">
        <v>103</v>
      </c>
    </row>
    <row r="24" spans="1:12" ht="19.5" customHeight="1">
      <c r="A24" s="170" t="s">
        <v>107</v>
      </c>
      <c r="B24" s="171">
        <v>6000</v>
      </c>
      <c r="C24" s="172">
        <v>2250603281</v>
      </c>
      <c r="D24" s="172" t="s">
        <v>54</v>
      </c>
      <c r="E24" s="326" t="s">
        <v>55</v>
      </c>
      <c r="F24" s="327"/>
      <c r="G24" s="53">
        <v>6000</v>
      </c>
      <c r="H24" s="173" t="s">
        <v>39</v>
      </c>
      <c r="I24" s="198">
        <f t="shared" si="0"/>
        <v>1</v>
      </c>
      <c r="J24" s="199">
        <f>ROUND(0.22*G24/1000,2)</f>
        <v>1.32</v>
      </c>
      <c r="K24" s="199">
        <f>ROUND(3*I24,2)</f>
        <v>3</v>
      </c>
      <c r="L24" s="200" t="s">
        <v>103</v>
      </c>
    </row>
    <row r="25" spans="1:12" ht="19.5" customHeight="1">
      <c r="A25" s="315" t="s">
        <v>108</v>
      </c>
      <c r="B25" s="315">
        <v>1280</v>
      </c>
      <c r="C25" s="174">
        <v>2250502425</v>
      </c>
      <c r="D25" s="174" t="s">
        <v>58</v>
      </c>
      <c r="E25" s="324" t="s">
        <v>59</v>
      </c>
      <c r="F25" s="325"/>
      <c r="G25" s="308">
        <v>6400</v>
      </c>
      <c r="H25" s="311" t="s">
        <v>39</v>
      </c>
      <c r="I25" s="304">
        <f t="shared" si="0"/>
        <v>5</v>
      </c>
      <c r="J25" s="295">
        <f>ROUND(2.23*G25/1000,2)</f>
        <v>14.27</v>
      </c>
      <c r="K25" s="295">
        <f>ROUND(3.5*I25,2)</f>
        <v>17.5</v>
      </c>
      <c r="L25" s="300" t="s">
        <v>101</v>
      </c>
    </row>
    <row r="26" spans="1:12" ht="19.5" customHeight="1">
      <c r="A26" s="316"/>
      <c r="B26" s="316"/>
      <c r="C26" s="174">
        <v>2250701486</v>
      </c>
      <c r="D26" s="174" t="s">
        <v>58</v>
      </c>
      <c r="E26" s="324" t="s">
        <v>59</v>
      </c>
      <c r="F26" s="325"/>
      <c r="G26" s="309"/>
      <c r="H26" s="312"/>
      <c r="I26" s="305"/>
      <c r="J26" s="296"/>
      <c r="K26" s="296"/>
      <c r="L26" s="301"/>
    </row>
    <row r="27" spans="1:12" ht="19.5" customHeight="1">
      <c r="A27" s="175">
        <v>23</v>
      </c>
      <c r="B27" s="175">
        <v>512</v>
      </c>
      <c r="C27" s="174">
        <v>2250701486</v>
      </c>
      <c r="D27" s="174" t="s">
        <v>58</v>
      </c>
      <c r="E27" s="324" t="s">
        <v>59</v>
      </c>
      <c r="F27" s="325"/>
      <c r="G27" s="176">
        <v>512</v>
      </c>
      <c r="H27" s="177" t="s">
        <v>39</v>
      </c>
      <c r="I27" s="201">
        <f t="shared" si="0"/>
        <v>1</v>
      </c>
      <c r="J27" s="202">
        <f>ROUND(2.23*G27/1000,2)</f>
        <v>1.1399999999999999</v>
      </c>
      <c r="K27" s="202">
        <f>ROUND(1.7*I27,2)</f>
        <v>1.7</v>
      </c>
      <c r="L27" s="203" t="s">
        <v>101</v>
      </c>
    </row>
    <row r="28" spans="1:12" ht="19.5" customHeight="1">
      <c r="A28" s="315" t="s">
        <v>109</v>
      </c>
      <c r="B28" s="315">
        <v>1430</v>
      </c>
      <c r="C28" s="174">
        <v>2250300434</v>
      </c>
      <c r="D28" s="174" t="s">
        <v>63</v>
      </c>
      <c r="E28" s="324" t="s">
        <v>64</v>
      </c>
      <c r="F28" s="325"/>
      <c r="G28" s="308">
        <v>14300</v>
      </c>
      <c r="H28" s="311" t="s">
        <v>39</v>
      </c>
      <c r="I28" s="304">
        <f t="shared" si="0"/>
        <v>10</v>
      </c>
      <c r="J28" s="295">
        <f>ROUND(2.36*G28/1000,2)</f>
        <v>33.75</v>
      </c>
      <c r="K28" s="295">
        <f>ROUND(4*I28,2)</f>
        <v>40</v>
      </c>
      <c r="L28" s="300" t="s">
        <v>103</v>
      </c>
    </row>
    <row r="29" spans="1:12" ht="19.5" customHeight="1">
      <c r="A29" s="317"/>
      <c r="B29" s="317"/>
      <c r="C29" s="174">
        <v>2250500218</v>
      </c>
      <c r="D29" s="174" t="s">
        <v>63</v>
      </c>
      <c r="E29" s="324" t="s">
        <v>64</v>
      </c>
      <c r="F29" s="325"/>
      <c r="G29" s="310"/>
      <c r="H29" s="313"/>
      <c r="I29" s="306"/>
      <c r="J29" s="297"/>
      <c r="K29" s="297"/>
      <c r="L29" s="302"/>
    </row>
    <row r="30" spans="1:12" ht="19.5" customHeight="1">
      <c r="A30" s="317"/>
      <c r="B30" s="317"/>
      <c r="C30" s="174">
        <v>2250602366</v>
      </c>
      <c r="D30" s="174" t="s">
        <v>63</v>
      </c>
      <c r="E30" s="324" t="s">
        <v>64</v>
      </c>
      <c r="F30" s="325"/>
      <c r="G30" s="310"/>
      <c r="H30" s="313"/>
      <c r="I30" s="306"/>
      <c r="J30" s="297"/>
      <c r="K30" s="297"/>
      <c r="L30" s="302"/>
    </row>
    <row r="31" spans="1:12" ht="19.5" customHeight="1">
      <c r="A31" s="316"/>
      <c r="B31" s="316"/>
      <c r="C31" s="174">
        <v>2250700674</v>
      </c>
      <c r="D31" s="174" t="s">
        <v>63</v>
      </c>
      <c r="E31" s="324" t="s">
        <v>64</v>
      </c>
      <c r="F31" s="325"/>
      <c r="G31" s="309"/>
      <c r="H31" s="312"/>
      <c r="I31" s="305"/>
      <c r="J31" s="296"/>
      <c r="K31" s="296"/>
      <c r="L31" s="301"/>
    </row>
    <row r="32" spans="1:12" ht="19.5" customHeight="1">
      <c r="A32" s="175">
        <v>34</v>
      </c>
      <c r="B32" s="175">
        <v>1144</v>
      </c>
      <c r="C32" s="174">
        <v>2250700674</v>
      </c>
      <c r="D32" s="174" t="s">
        <v>63</v>
      </c>
      <c r="E32" s="324" t="s">
        <v>64</v>
      </c>
      <c r="F32" s="325"/>
      <c r="G32" s="176">
        <v>1144</v>
      </c>
      <c r="H32" s="177" t="s">
        <v>39</v>
      </c>
      <c r="I32" s="201">
        <f t="shared" si="0"/>
        <v>1</v>
      </c>
      <c r="J32" s="202">
        <f>ROUND(2.36*G32/1000,2)</f>
        <v>2.7</v>
      </c>
      <c r="K32" s="202">
        <f>ROUND(3.4*I32,2)</f>
        <v>3.4</v>
      </c>
      <c r="L32" s="203"/>
    </row>
    <row r="33" spans="1:12" ht="19.5" customHeight="1">
      <c r="A33" s="178"/>
      <c r="B33" s="178"/>
      <c r="C33" s="178"/>
      <c r="D33" s="179"/>
      <c r="E33" s="518" t="s">
        <v>301</v>
      </c>
      <c r="F33" s="179"/>
      <c r="G33" s="180"/>
      <c r="H33" s="180"/>
      <c r="I33" s="179"/>
      <c r="J33" s="180"/>
      <c r="K33" s="179">
        <f>1*5.5</f>
        <v>5.5</v>
      </c>
      <c r="L33" s="204" t="s">
        <v>110</v>
      </c>
    </row>
    <row r="34" spans="1:12" ht="19.5" customHeight="1">
      <c r="A34" s="181">
        <v>34</v>
      </c>
      <c r="B34" s="182"/>
      <c r="C34" s="183"/>
      <c r="D34" s="184"/>
      <c r="E34" s="307" t="s">
        <v>111</v>
      </c>
      <c r="F34" s="307"/>
      <c r="G34" s="181">
        <f>SUM(G19:G33)</f>
        <v>115356</v>
      </c>
      <c r="H34" s="169"/>
      <c r="I34" s="169"/>
      <c r="J34" s="205">
        <f>SUM(J19:J33)</f>
        <v>105.78</v>
      </c>
      <c r="K34" s="205">
        <f>SUM(K19:K33)</f>
        <v>165.70000000000002</v>
      </c>
      <c r="L34" s="205" t="s">
        <v>112</v>
      </c>
    </row>
    <row r="35" spans="1:12" ht="18" customHeight="1">
      <c r="A35" s="286"/>
      <c r="B35" s="287"/>
      <c r="C35" s="287"/>
      <c r="D35" s="288"/>
      <c r="E35" s="319" t="s">
        <v>113</v>
      </c>
      <c r="F35" s="319"/>
      <c r="G35" s="322" t="s">
        <v>114</v>
      </c>
      <c r="H35" s="323"/>
      <c r="I35" s="286"/>
      <c r="J35" s="287"/>
      <c r="K35" s="287"/>
      <c r="L35" s="288"/>
    </row>
    <row r="36" spans="1:12" ht="18" customHeight="1">
      <c r="A36" s="289"/>
      <c r="B36" s="290"/>
      <c r="C36" s="290"/>
      <c r="D36" s="291"/>
      <c r="E36" s="319" t="s">
        <v>115</v>
      </c>
      <c r="F36" s="319"/>
      <c r="G36" s="320" t="s">
        <v>116</v>
      </c>
      <c r="H36" s="321"/>
      <c r="I36" s="289"/>
      <c r="J36" s="290"/>
      <c r="K36" s="290"/>
      <c r="L36" s="291"/>
    </row>
    <row r="37" spans="1:12" ht="18" customHeight="1">
      <c r="A37" s="292"/>
      <c r="B37" s="293"/>
      <c r="C37" s="293"/>
      <c r="D37" s="294"/>
      <c r="E37" s="319" t="s">
        <v>117</v>
      </c>
      <c r="F37" s="319"/>
      <c r="G37" s="320" t="s">
        <v>118</v>
      </c>
      <c r="H37" s="321"/>
      <c r="I37" s="292"/>
      <c r="J37" s="293"/>
      <c r="K37" s="293"/>
      <c r="L37" s="294"/>
    </row>
    <row r="38" spans="1:12" ht="12.75" customHeight="1">
      <c r="A38" s="185"/>
      <c r="B38" s="185"/>
      <c r="C38" s="185"/>
      <c r="D38" s="185"/>
      <c r="E38" s="186"/>
      <c r="F38" s="186"/>
      <c r="G38" s="187"/>
      <c r="H38" s="187"/>
      <c r="I38" s="185"/>
      <c r="J38" s="185"/>
      <c r="K38" s="185"/>
      <c r="L38" s="185"/>
    </row>
    <row r="39" spans="1:12" s="146" customFormat="1" ht="16.5">
      <c r="A39" s="275" t="s">
        <v>70</v>
      </c>
      <c r="B39" s="275"/>
      <c r="C39" s="275"/>
      <c r="D39" s="275"/>
      <c r="E39" s="275"/>
      <c r="F39" s="275"/>
      <c r="G39" s="189" t="s">
        <v>71</v>
      </c>
      <c r="H39" s="190"/>
      <c r="I39" s="190"/>
      <c r="J39" s="190"/>
      <c r="K39" s="206"/>
    </row>
    <row r="40" spans="1:12" s="146" customFormat="1" ht="16.5">
      <c r="A40" s="270" t="s">
        <v>72</v>
      </c>
      <c r="B40" s="270"/>
      <c r="C40" s="270"/>
      <c r="D40" s="270"/>
      <c r="E40" s="270"/>
      <c r="F40" s="270"/>
      <c r="G40" s="189" t="s">
        <v>71</v>
      </c>
      <c r="H40" s="190"/>
      <c r="I40" s="189"/>
      <c r="J40" s="190"/>
      <c r="K40" s="206"/>
    </row>
    <row r="41" spans="1:12" s="146" customFormat="1" ht="16.5">
      <c r="A41" s="270" t="s">
        <v>73</v>
      </c>
      <c r="B41" s="270"/>
      <c r="C41" s="270"/>
      <c r="D41" s="270"/>
      <c r="E41" s="270"/>
      <c r="F41" s="270"/>
      <c r="G41" s="189" t="s">
        <v>74</v>
      </c>
      <c r="H41" s="190"/>
      <c r="I41" s="207"/>
      <c r="K41" s="275">
        <v>4420980168</v>
      </c>
      <c r="L41" s="275"/>
    </row>
    <row r="42" spans="1:12" s="146" customFormat="1" ht="16.5">
      <c r="A42" s="270" t="s">
        <v>75</v>
      </c>
      <c r="B42" s="270"/>
      <c r="C42" s="270"/>
      <c r="D42" s="270"/>
      <c r="E42" s="270"/>
      <c r="F42" s="270"/>
      <c r="G42" s="189" t="s">
        <v>76</v>
      </c>
      <c r="H42" s="190"/>
      <c r="I42" s="190"/>
      <c r="J42" s="190"/>
      <c r="K42" s="206"/>
    </row>
    <row r="43" spans="1:12" s="146" customFormat="1" ht="15.75">
      <c r="A43" s="270" t="s">
        <v>77</v>
      </c>
      <c r="B43" s="270"/>
      <c r="C43" s="270"/>
      <c r="D43" s="270"/>
      <c r="E43" s="270"/>
      <c r="F43" s="270"/>
      <c r="G43" s="189" t="s">
        <v>78</v>
      </c>
      <c r="H43" s="190"/>
      <c r="I43" s="190"/>
      <c r="J43" s="190"/>
      <c r="K43" s="208"/>
    </row>
    <row r="44" spans="1:12" s="146" customFormat="1" ht="15.75">
      <c r="A44" s="270" t="s">
        <v>79</v>
      </c>
      <c r="B44" s="270"/>
      <c r="C44" s="270"/>
      <c r="D44" s="270"/>
      <c r="E44" s="270"/>
      <c r="F44" s="270"/>
      <c r="G44" s="189" t="s">
        <v>80</v>
      </c>
      <c r="H44" s="190"/>
      <c r="I44" s="190"/>
      <c r="J44" s="190"/>
      <c r="K44" s="208"/>
    </row>
    <row r="45" spans="1:12" s="146" customFormat="1" ht="15.75">
      <c r="A45" s="270" t="s">
        <v>81</v>
      </c>
      <c r="B45" s="270"/>
      <c r="C45" s="270"/>
      <c r="D45" s="270"/>
      <c r="E45" s="270"/>
      <c r="F45" s="270"/>
      <c r="G45" s="188">
        <v>99</v>
      </c>
      <c r="H45" s="190"/>
      <c r="I45" s="190"/>
      <c r="J45" s="190"/>
      <c r="K45" s="208"/>
    </row>
    <row r="46" spans="1:12" s="146" customFormat="1" ht="15.75">
      <c r="A46" s="270" t="s">
        <v>82</v>
      </c>
      <c r="B46" s="270"/>
      <c r="C46" s="270"/>
      <c r="D46" s="270"/>
      <c r="E46" s="270"/>
      <c r="F46" s="270"/>
      <c r="G46" s="189" t="s">
        <v>83</v>
      </c>
      <c r="H46" s="190"/>
      <c r="I46" s="190"/>
      <c r="J46" s="190"/>
      <c r="K46" s="208"/>
    </row>
    <row r="47" spans="1:12" s="146" customFormat="1" ht="17.25">
      <c r="A47" s="269" t="s">
        <v>84</v>
      </c>
      <c r="B47" s="270"/>
      <c r="C47" s="270"/>
      <c r="D47" s="270"/>
      <c r="E47" s="270"/>
      <c r="F47" s="270"/>
      <c r="G47" s="191" t="s">
        <v>85</v>
      </c>
      <c r="H47" s="190"/>
      <c r="I47" s="190"/>
      <c r="J47" s="190"/>
      <c r="K47" s="208"/>
    </row>
  </sheetData>
  <mergeCells count="70">
    <mergeCell ref="A1:L1"/>
    <mergeCell ref="G3:H3"/>
    <mergeCell ref="A4:F4"/>
    <mergeCell ref="G4:H4"/>
    <mergeCell ref="G12:H12"/>
    <mergeCell ref="A7:F8"/>
    <mergeCell ref="A11:F13"/>
    <mergeCell ref="G14:H14"/>
    <mergeCell ref="A15:D15"/>
    <mergeCell ref="E15:F15"/>
    <mergeCell ref="G15:H15"/>
    <mergeCell ref="E16:F16"/>
    <mergeCell ref="E19:F19"/>
    <mergeCell ref="E20:F20"/>
    <mergeCell ref="E21:F21"/>
    <mergeCell ref="E22:F22"/>
    <mergeCell ref="E23:F23"/>
    <mergeCell ref="E32:F32"/>
    <mergeCell ref="E24:F24"/>
    <mergeCell ref="E25:F25"/>
    <mergeCell ref="E26:F26"/>
    <mergeCell ref="E27:F27"/>
    <mergeCell ref="E28:F28"/>
    <mergeCell ref="G37:H37"/>
    <mergeCell ref="A39:F39"/>
    <mergeCell ref="A40:F40"/>
    <mergeCell ref="A41:F41"/>
    <mergeCell ref="E34:F34"/>
    <mergeCell ref="E35:F35"/>
    <mergeCell ref="G35:H35"/>
    <mergeCell ref="E36:F36"/>
    <mergeCell ref="G36:H36"/>
    <mergeCell ref="K41:L41"/>
    <mergeCell ref="A42:F42"/>
    <mergeCell ref="A43:F43"/>
    <mergeCell ref="A44:F44"/>
    <mergeCell ref="A45:F45"/>
    <mergeCell ref="A46:F46"/>
    <mergeCell ref="A47:F47"/>
    <mergeCell ref="A17:A18"/>
    <mergeCell ref="A25:A26"/>
    <mergeCell ref="A28:A31"/>
    <mergeCell ref="B17:B18"/>
    <mergeCell ref="B25:B26"/>
    <mergeCell ref="B28:B31"/>
    <mergeCell ref="C17:C18"/>
    <mergeCell ref="D17:D18"/>
    <mergeCell ref="E17:F18"/>
    <mergeCell ref="A35:D37"/>
    <mergeCell ref="E37:F37"/>
    <mergeCell ref="E29:F29"/>
    <mergeCell ref="E30:F30"/>
    <mergeCell ref="E31:F31"/>
    <mergeCell ref="G17:G18"/>
    <mergeCell ref="G25:G26"/>
    <mergeCell ref="G28:G31"/>
    <mergeCell ref="H17:H18"/>
    <mergeCell ref="H25:H26"/>
    <mergeCell ref="H28:H31"/>
    <mergeCell ref="I35:L37"/>
    <mergeCell ref="K25:K26"/>
    <mergeCell ref="K28:K31"/>
    <mergeCell ref="L17:L18"/>
    <mergeCell ref="L25:L26"/>
    <mergeCell ref="L28:L31"/>
    <mergeCell ref="I17:I18"/>
    <mergeCell ref="I25:I26"/>
    <mergeCell ref="I28:I31"/>
    <mergeCell ref="J25:J26"/>
    <mergeCell ref="J28:J31"/>
  </mergeCells>
  <printOptions horizontalCentered="1"/>
  <pageMargins left="0.15748031496063" right="0.15748031496063" top="0.39370078740157499" bottom="0.39370078740157499" header="0.511811023622047" footer="0.511811023622047"/>
  <pageSetup paperSize="9" scale="9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5"/>
  <sheetViews>
    <sheetView workbookViewId="0">
      <selection activeCell="I36" sqref="I36:I37"/>
    </sheetView>
  </sheetViews>
  <sheetFormatPr defaultColWidth="9" defaultRowHeight="15"/>
  <cols>
    <col min="2" max="2" width="14.5703125" customWidth="1"/>
    <col min="5" max="5" width="9.5703125" customWidth="1"/>
    <col min="10" max="10" width="13.28515625" customWidth="1"/>
  </cols>
  <sheetData>
    <row r="1" spans="1:13" ht="21">
      <c r="A1" s="453" t="s">
        <v>119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</row>
    <row r="2" spans="1:13">
      <c r="A2" s="101"/>
      <c r="B2" s="101" t="s">
        <v>120</v>
      </c>
      <c r="C2" s="374"/>
      <c r="D2" s="374"/>
      <c r="E2" s="101"/>
      <c r="F2" s="101"/>
      <c r="G2" s="101" t="s">
        <v>121</v>
      </c>
      <c r="H2" s="454"/>
      <c r="I2" s="454"/>
      <c r="J2" s="132"/>
      <c r="K2" s="132"/>
      <c r="L2" s="101"/>
    </row>
    <row r="3" spans="1:13" ht="21">
      <c r="A3" s="101"/>
      <c r="B3" s="101"/>
      <c r="C3" s="455" t="s">
        <v>122</v>
      </c>
      <c r="D3" s="455"/>
      <c r="E3" s="455"/>
      <c r="F3" s="455"/>
      <c r="G3" s="455"/>
      <c r="H3" s="455"/>
      <c r="I3" s="455"/>
      <c r="J3" s="455"/>
      <c r="K3" s="455"/>
      <c r="L3" s="455"/>
      <c r="M3" s="455"/>
    </row>
    <row r="4" spans="1:13">
      <c r="A4" s="456" t="s">
        <v>123</v>
      </c>
      <c r="B4" s="457"/>
      <c r="C4" s="457"/>
      <c r="D4" s="458"/>
      <c r="E4" s="103" t="s">
        <v>124</v>
      </c>
      <c r="F4" s="104"/>
      <c r="G4" s="105"/>
      <c r="H4" s="104" t="s">
        <v>125</v>
      </c>
      <c r="I4" s="104"/>
      <c r="J4" s="445" t="s">
        <v>126</v>
      </c>
      <c r="K4" s="445"/>
      <c r="L4" s="445"/>
      <c r="M4" s="445"/>
    </row>
    <row r="5" spans="1:13">
      <c r="A5" s="433" t="s">
        <v>127</v>
      </c>
      <c r="B5" s="434"/>
      <c r="C5" s="434"/>
      <c r="D5" s="435"/>
      <c r="E5" s="437" t="s">
        <v>128</v>
      </c>
      <c r="F5" s="437"/>
      <c r="G5" s="437"/>
      <c r="H5" s="448">
        <v>45884</v>
      </c>
      <c r="I5" s="437"/>
      <c r="J5" s="445"/>
      <c r="K5" s="445"/>
      <c r="L5" s="445"/>
      <c r="M5" s="445"/>
    </row>
    <row r="6" spans="1:13">
      <c r="A6" s="449" t="s">
        <v>129</v>
      </c>
      <c r="B6" s="450"/>
      <c r="C6" s="450"/>
      <c r="D6" s="451"/>
      <c r="E6" s="452" t="s">
        <v>130</v>
      </c>
      <c r="F6" s="452"/>
      <c r="G6" s="421" t="s">
        <v>131</v>
      </c>
      <c r="H6" s="421"/>
      <c r="I6" s="104"/>
      <c r="J6" s="445" t="s">
        <v>132</v>
      </c>
      <c r="K6" s="445"/>
      <c r="L6" s="445"/>
      <c r="M6" s="445"/>
    </row>
    <row r="7" spans="1:13">
      <c r="A7" s="433" t="s">
        <v>127</v>
      </c>
      <c r="B7" s="434"/>
      <c r="C7" s="434"/>
      <c r="D7" s="435"/>
      <c r="E7" s="437" t="s">
        <v>133</v>
      </c>
      <c r="F7" s="437"/>
      <c r="G7" s="446" t="s">
        <v>134</v>
      </c>
      <c r="H7" s="446"/>
      <c r="I7" s="446"/>
      <c r="J7" s="446"/>
      <c r="K7" s="446"/>
      <c r="L7" s="446"/>
      <c r="M7" s="446"/>
    </row>
    <row r="8" spans="1:13">
      <c r="A8" s="389" t="s">
        <v>135</v>
      </c>
      <c r="B8" s="390"/>
      <c r="C8" s="390"/>
      <c r="D8" s="391"/>
      <c r="E8" s="104" t="s">
        <v>136</v>
      </c>
      <c r="F8" s="103"/>
      <c r="G8" s="105"/>
      <c r="H8" s="104" t="s">
        <v>137</v>
      </c>
      <c r="I8" s="104"/>
      <c r="J8" s="447" t="s">
        <v>138</v>
      </c>
      <c r="K8" s="447"/>
      <c r="L8" s="447"/>
      <c r="M8" s="447"/>
    </row>
    <row r="9" spans="1:13">
      <c r="A9" s="433"/>
      <c r="B9" s="434"/>
      <c r="C9" s="434"/>
      <c r="D9" s="435"/>
      <c r="E9" s="436" t="s">
        <v>139</v>
      </c>
      <c r="F9" s="436"/>
      <c r="G9" s="436"/>
      <c r="H9" s="437"/>
      <c r="I9" s="437"/>
      <c r="J9" s="447"/>
      <c r="K9" s="447"/>
      <c r="L9" s="447"/>
      <c r="M9" s="447"/>
    </row>
    <row r="10" spans="1:13">
      <c r="A10" s="438" t="s">
        <v>140</v>
      </c>
      <c r="B10" s="439"/>
      <c r="C10" s="440"/>
      <c r="D10" s="441" t="s">
        <v>141</v>
      </c>
      <c r="E10" s="442"/>
      <c r="F10" s="443"/>
      <c r="G10" s="444" t="s">
        <v>142</v>
      </c>
      <c r="H10" s="442"/>
      <c r="I10" s="443"/>
      <c r="J10" s="425" t="s">
        <v>143</v>
      </c>
      <c r="K10" s="425"/>
      <c r="L10" s="425"/>
      <c r="M10" s="425"/>
    </row>
    <row r="11" spans="1:13">
      <c r="A11" s="426" t="s">
        <v>144</v>
      </c>
      <c r="B11" s="427"/>
      <c r="C11" s="428"/>
      <c r="D11" s="429" t="s">
        <v>144</v>
      </c>
      <c r="E11" s="430"/>
      <c r="F11" s="430"/>
      <c r="G11" s="431"/>
      <c r="H11" s="106"/>
      <c r="I11" s="133"/>
      <c r="J11" s="432" t="s">
        <v>145</v>
      </c>
      <c r="K11" s="432"/>
      <c r="L11" s="432"/>
      <c r="M11" s="432"/>
    </row>
    <row r="12" spans="1:13">
      <c r="A12" s="389" t="s">
        <v>146</v>
      </c>
      <c r="B12" s="390"/>
      <c r="C12" s="391"/>
      <c r="D12" s="107" t="s">
        <v>147</v>
      </c>
      <c r="E12" s="401" t="s">
        <v>148</v>
      </c>
      <c r="F12" s="390"/>
      <c r="G12" s="391"/>
      <c r="H12" s="401" t="s">
        <v>149</v>
      </c>
      <c r="I12" s="391"/>
      <c r="J12" s="405" t="s">
        <v>150</v>
      </c>
      <c r="K12" s="405"/>
      <c r="L12" s="405"/>
      <c r="M12" s="405"/>
    </row>
    <row r="13" spans="1:13">
      <c r="A13" s="415"/>
      <c r="B13" s="403"/>
      <c r="C13" s="404"/>
      <c r="D13" s="108"/>
      <c r="E13" s="416"/>
      <c r="F13" s="417"/>
      <c r="G13" s="418"/>
      <c r="H13" s="419"/>
      <c r="I13" s="420"/>
      <c r="J13" s="405"/>
      <c r="K13" s="405"/>
      <c r="L13" s="405"/>
      <c r="M13" s="405"/>
    </row>
    <row r="14" spans="1:13">
      <c r="A14" s="421" t="s">
        <v>151</v>
      </c>
      <c r="B14" s="421"/>
      <c r="C14" s="421"/>
      <c r="D14" s="104" t="s">
        <v>113</v>
      </c>
      <c r="E14" s="422" t="s">
        <v>115</v>
      </c>
      <c r="F14" s="423"/>
      <c r="G14" s="424"/>
      <c r="H14" s="421" t="s">
        <v>152</v>
      </c>
      <c r="I14" s="421"/>
      <c r="J14" s="405" t="s">
        <v>153</v>
      </c>
      <c r="K14" s="405"/>
      <c r="L14" s="405"/>
      <c r="M14" s="405"/>
    </row>
    <row r="15" spans="1:13">
      <c r="A15" s="406" t="s">
        <v>4</v>
      </c>
      <c r="B15" s="407"/>
      <c r="C15" s="408"/>
      <c r="D15" s="109">
        <v>1</v>
      </c>
      <c r="E15" s="409" t="s">
        <v>154</v>
      </c>
      <c r="F15" s="410"/>
      <c r="G15" s="411"/>
      <c r="H15" s="412">
        <v>165.7</v>
      </c>
      <c r="I15" s="413"/>
      <c r="J15" s="414">
        <v>105.78</v>
      </c>
      <c r="K15" s="414"/>
      <c r="L15" s="414"/>
      <c r="M15" s="414"/>
    </row>
    <row r="16" spans="1:13">
      <c r="A16" s="389" t="s">
        <v>155</v>
      </c>
      <c r="B16" s="390"/>
      <c r="C16" s="391"/>
      <c r="D16" s="401" t="s">
        <v>156</v>
      </c>
      <c r="E16" s="390"/>
      <c r="F16" s="390"/>
      <c r="G16" s="390"/>
      <c r="H16" s="390"/>
      <c r="I16" s="390"/>
      <c r="J16" s="390"/>
      <c r="K16" s="390"/>
      <c r="L16" s="390"/>
      <c r="M16" s="391"/>
    </row>
    <row r="17" spans="1:14">
      <c r="A17" s="392"/>
      <c r="B17" s="393"/>
      <c r="C17" s="394"/>
      <c r="D17" s="402"/>
      <c r="E17" s="403"/>
      <c r="F17" s="403"/>
      <c r="G17" s="403"/>
      <c r="H17" s="403"/>
      <c r="I17" s="403"/>
      <c r="J17" s="403"/>
      <c r="K17" s="403"/>
      <c r="L17" s="403"/>
      <c r="M17" s="404"/>
    </row>
    <row r="18" spans="1:14">
      <c r="A18" s="395" t="s">
        <v>157</v>
      </c>
      <c r="B18" s="396"/>
      <c r="C18" s="396"/>
      <c r="D18" s="393"/>
      <c r="E18" s="393"/>
      <c r="F18" s="393"/>
      <c r="G18" s="393"/>
      <c r="H18" s="393"/>
      <c r="I18" s="393"/>
      <c r="J18" s="393"/>
      <c r="K18" s="393"/>
      <c r="L18" s="397"/>
      <c r="M18" s="134"/>
    </row>
    <row r="19" spans="1:14" ht="18.75">
      <c r="A19" s="398" t="s">
        <v>158</v>
      </c>
      <c r="B19" s="398"/>
      <c r="C19" s="399" t="s">
        <v>159</v>
      </c>
      <c r="D19" s="399"/>
      <c r="E19" s="400" t="s">
        <v>160</v>
      </c>
      <c r="F19" s="400"/>
      <c r="G19" s="400"/>
      <c r="H19" s="400"/>
      <c r="I19" s="400"/>
      <c r="J19" s="400"/>
      <c r="K19" s="135"/>
      <c r="L19" s="136"/>
      <c r="M19" s="137"/>
    </row>
    <row r="20" spans="1:14">
      <c r="A20" s="110" t="s">
        <v>161</v>
      </c>
      <c r="B20" s="102" t="s">
        <v>162</v>
      </c>
      <c r="C20" s="111" t="s">
        <v>163</v>
      </c>
      <c r="D20" s="111"/>
      <c r="E20" s="112" t="s">
        <v>164</v>
      </c>
      <c r="F20" s="113"/>
      <c r="G20" s="370" t="s">
        <v>165</v>
      </c>
      <c r="H20" s="370"/>
      <c r="I20" s="102" t="s">
        <v>166</v>
      </c>
      <c r="J20" s="138" t="s">
        <v>167</v>
      </c>
      <c r="K20" s="138"/>
      <c r="L20" s="102" t="s">
        <v>168</v>
      </c>
      <c r="M20" s="139"/>
    </row>
    <row r="21" spans="1:14">
      <c r="A21" s="101"/>
      <c r="B21" s="387" t="s">
        <v>169</v>
      </c>
      <c r="C21" s="387"/>
      <c r="D21" s="387"/>
      <c r="E21" s="387"/>
      <c r="F21" s="387"/>
      <c r="G21" s="387"/>
      <c r="H21" s="387"/>
      <c r="I21" s="387"/>
      <c r="J21" s="388"/>
      <c r="K21" s="138"/>
      <c r="L21" s="102"/>
      <c r="M21" s="137"/>
    </row>
    <row r="22" spans="1:14">
      <c r="A22" s="101"/>
      <c r="B22" s="361"/>
      <c r="C22" s="361"/>
      <c r="D22" s="361"/>
      <c r="E22" s="361"/>
      <c r="F22" s="361"/>
      <c r="G22" s="361"/>
      <c r="H22" s="361"/>
      <c r="I22" s="361"/>
      <c r="J22" s="362"/>
      <c r="K22" s="138"/>
      <c r="L22" s="102"/>
      <c r="M22" s="137"/>
    </row>
    <row r="23" spans="1:14">
      <c r="A23" s="382">
        <v>1</v>
      </c>
      <c r="B23" s="385">
        <v>85045000</v>
      </c>
      <c r="C23" s="357" t="s">
        <v>170</v>
      </c>
      <c r="D23" s="359"/>
      <c r="E23" s="117">
        <v>53.92</v>
      </c>
      <c r="F23" s="118"/>
      <c r="G23" s="369" t="s">
        <v>144</v>
      </c>
      <c r="H23" s="369"/>
      <c r="I23" s="347">
        <f>J23/E24</f>
        <v>1.5729032258064515E-2</v>
      </c>
      <c r="J23" s="348">
        <f>發票!G16</f>
        <v>1462.8</v>
      </c>
      <c r="K23" s="357" t="s">
        <v>171</v>
      </c>
      <c r="L23" s="358"/>
      <c r="M23" s="359"/>
    </row>
    <row r="24" spans="1:14">
      <c r="A24" s="382"/>
      <c r="B24" s="385"/>
      <c r="C24" s="360"/>
      <c r="D24" s="362"/>
      <c r="E24" s="122">
        <f>發票!E16</f>
        <v>93000</v>
      </c>
      <c r="F24" s="122" t="s">
        <v>85</v>
      </c>
      <c r="G24" s="369"/>
      <c r="H24" s="369"/>
      <c r="I24" s="347"/>
      <c r="J24" s="348"/>
      <c r="K24" s="360"/>
      <c r="L24" s="361"/>
      <c r="M24" s="362"/>
    </row>
    <row r="25" spans="1:14">
      <c r="A25" s="116"/>
      <c r="B25" s="363" t="s">
        <v>172</v>
      </c>
      <c r="C25" s="364"/>
      <c r="D25" s="364"/>
      <c r="E25" s="364"/>
      <c r="F25" s="364"/>
      <c r="G25" s="364"/>
      <c r="H25" s="364"/>
      <c r="I25" s="364"/>
      <c r="J25" s="365"/>
      <c r="K25" s="143"/>
      <c r="L25" s="114"/>
      <c r="M25" s="140"/>
    </row>
    <row r="26" spans="1:14">
      <c r="A26" s="116"/>
      <c r="B26" s="366"/>
      <c r="C26" s="367"/>
      <c r="D26" s="367"/>
      <c r="E26" s="367"/>
      <c r="F26" s="367"/>
      <c r="G26" s="367"/>
      <c r="H26" s="367"/>
      <c r="I26" s="367"/>
      <c r="J26" s="368"/>
      <c r="K26" s="143"/>
      <c r="L26" s="114"/>
      <c r="M26" s="140"/>
    </row>
    <row r="27" spans="1:14">
      <c r="A27" s="382">
        <v>2</v>
      </c>
      <c r="B27" s="386">
        <v>8548000001</v>
      </c>
      <c r="C27" s="357" t="s">
        <v>173</v>
      </c>
      <c r="D27" s="359"/>
      <c r="E27" s="124">
        <v>51.86</v>
      </c>
      <c r="F27" s="118"/>
      <c r="G27" s="369" t="s">
        <v>144</v>
      </c>
      <c r="H27" s="369"/>
      <c r="I27" s="347">
        <f>J27/E28</f>
        <v>0.16921229200214707</v>
      </c>
      <c r="J27" s="348">
        <f>發票!G17</f>
        <v>3782.91</v>
      </c>
      <c r="K27" s="357" t="s">
        <v>171</v>
      </c>
      <c r="L27" s="358"/>
      <c r="M27" s="359"/>
      <c r="N27" s="144"/>
    </row>
    <row r="28" spans="1:14">
      <c r="A28" s="382"/>
      <c r="B28" s="386"/>
      <c r="C28" s="360"/>
      <c r="D28" s="362"/>
      <c r="E28" s="122">
        <f>發票!E17</f>
        <v>22356</v>
      </c>
      <c r="F28" s="122" t="s">
        <v>85</v>
      </c>
      <c r="G28" s="369"/>
      <c r="H28" s="369"/>
      <c r="I28" s="347"/>
      <c r="J28" s="348"/>
      <c r="K28" s="360"/>
      <c r="L28" s="361"/>
      <c r="M28" s="362"/>
    </row>
    <row r="29" spans="1:14">
      <c r="A29" s="125"/>
      <c r="B29" s="126"/>
      <c r="C29" s="114"/>
      <c r="D29" s="114"/>
      <c r="E29" s="123"/>
      <c r="F29" s="123"/>
      <c r="G29" s="127"/>
      <c r="H29" s="119"/>
      <c r="I29" s="141"/>
      <c r="J29" s="142"/>
      <c r="K29" s="120"/>
      <c r="L29" s="115"/>
      <c r="M29" s="121"/>
    </row>
    <row r="30" spans="1:14" ht="12.75" customHeight="1">
      <c r="A30" s="125"/>
      <c r="B30" s="126"/>
      <c r="C30" s="114"/>
      <c r="D30" s="114"/>
      <c r="E30" s="123"/>
      <c r="F30" s="123"/>
      <c r="G30" s="127"/>
      <c r="H30" s="119"/>
      <c r="I30" s="141"/>
      <c r="J30" s="142"/>
      <c r="K30" s="120"/>
      <c r="L30" s="115"/>
      <c r="M30" s="121"/>
    </row>
    <row r="31" spans="1:14">
      <c r="A31" s="371" t="s">
        <v>174</v>
      </c>
      <c r="B31" s="372"/>
      <c r="C31" s="373"/>
      <c r="D31" s="349" t="s">
        <v>175</v>
      </c>
      <c r="E31" s="350"/>
      <c r="F31" s="350"/>
      <c r="G31" s="351"/>
      <c r="H31" s="355" t="s">
        <v>176</v>
      </c>
      <c r="I31" s="355"/>
      <c r="J31" s="355"/>
      <c r="K31" s="355"/>
      <c r="L31" s="355"/>
      <c r="M31" s="355"/>
    </row>
    <row r="32" spans="1:14">
      <c r="A32" s="383"/>
      <c r="B32" s="374"/>
      <c r="C32" s="375"/>
      <c r="D32" s="352"/>
      <c r="E32" s="353"/>
      <c r="F32" s="353"/>
      <c r="G32" s="354"/>
      <c r="H32" s="355"/>
      <c r="I32" s="355"/>
      <c r="J32" s="355"/>
      <c r="K32" s="355"/>
      <c r="L32" s="355"/>
      <c r="M32" s="355"/>
    </row>
    <row r="33" spans="1:13">
      <c r="A33" s="384"/>
      <c r="B33" s="376"/>
      <c r="C33" s="377"/>
      <c r="D33" s="352"/>
      <c r="E33" s="353"/>
      <c r="F33" s="353"/>
      <c r="G33" s="354"/>
      <c r="H33" s="356"/>
      <c r="I33" s="356"/>
      <c r="J33" s="356"/>
      <c r="K33" s="356"/>
      <c r="L33" s="356"/>
      <c r="M33" s="356"/>
    </row>
    <row r="34" spans="1:13">
      <c r="A34" s="378" t="s">
        <v>177</v>
      </c>
      <c r="B34" s="379"/>
      <c r="C34" s="379"/>
      <c r="D34" s="380" t="s">
        <v>178</v>
      </c>
      <c r="E34" s="380"/>
      <c r="F34" s="380"/>
      <c r="G34" s="381"/>
      <c r="H34" s="356"/>
      <c r="I34" s="356"/>
      <c r="J34" s="356"/>
      <c r="K34" s="356"/>
      <c r="L34" s="356"/>
      <c r="M34" s="356"/>
    </row>
    <row r="35" spans="1:13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</row>
    <row r="36" spans="1:13">
      <c r="A36" s="128"/>
      <c r="B36" s="128"/>
      <c r="C36" s="128"/>
      <c r="D36" s="129"/>
      <c r="E36" s="128"/>
      <c r="F36" s="128"/>
      <c r="G36" s="128"/>
      <c r="H36" s="128"/>
      <c r="I36" s="145"/>
      <c r="J36" s="128"/>
      <c r="K36" s="128"/>
      <c r="L36" s="128"/>
    </row>
    <row r="37" spans="1:13">
      <c r="A37" s="130"/>
      <c r="B37" s="130"/>
      <c r="C37" s="130"/>
      <c r="D37" s="129"/>
      <c r="E37" s="131"/>
      <c r="F37" s="130"/>
      <c r="G37" s="130"/>
      <c r="H37" s="130"/>
      <c r="I37" s="130"/>
      <c r="J37" s="130"/>
      <c r="K37" s="130"/>
      <c r="L37" s="130"/>
    </row>
    <row r="38" spans="1:13">
      <c r="A38" s="130"/>
      <c r="B38" s="130"/>
      <c r="C38" s="130"/>
      <c r="D38" s="129"/>
      <c r="E38" s="131"/>
      <c r="F38" s="130"/>
      <c r="G38" s="130"/>
      <c r="H38" s="130"/>
      <c r="I38" s="130"/>
      <c r="J38" s="130"/>
      <c r="K38" s="130"/>
      <c r="L38" s="130"/>
    </row>
    <row r="39" spans="1:13">
      <c r="A39" s="130"/>
      <c r="B39" s="130"/>
      <c r="C39" s="130"/>
      <c r="D39" s="128"/>
      <c r="E39" s="128"/>
      <c r="F39" s="130"/>
      <c r="G39" s="130"/>
      <c r="H39" s="130"/>
      <c r="I39" s="130"/>
      <c r="J39" s="130"/>
      <c r="K39" s="130"/>
      <c r="L39" s="130"/>
    </row>
    <row r="40" spans="1:13">
      <c r="A40" s="130"/>
      <c r="B40" s="130"/>
      <c r="C40" s="130"/>
      <c r="D40" s="128"/>
      <c r="E40" s="128"/>
      <c r="F40" s="130"/>
      <c r="G40" s="130"/>
      <c r="H40" s="130"/>
      <c r="I40" s="130"/>
      <c r="J40" s="130"/>
      <c r="K40" s="130"/>
      <c r="L40" s="130"/>
    </row>
    <row r="41" spans="1:13">
      <c r="A41" s="130"/>
      <c r="B41" s="130"/>
      <c r="C41" s="130"/>
      <c r="D41" s="128"/>
      <c r="E41" s="128"/>
      <c r="F41" s="130"/>
      <c r="G41" s="130"/>
      <c r="H41" s="130"/>
      <c r="I41" s="130"/>
      <c r="J41" s="130"/>
      <c r="K41" s="130"/>
      <c r="L41" s="130"/>
    </row>
    <row r="42" spans="1:13">
      <c r="A42" s="130"/>
      <c r="B42" s="130"/>
      <c r="C42" s="130"/>
      <c r="D42" s="128"/>
      <c r="E42" s="128"/>
      <c r="F42" s="130"/>
      <c r="G42" s="130"/>
      <c r="H42" s="130"/>
      <c r="I42" s="130"/>
      <c r="J42" s="130"/>
      <c r="K42" s="130"/>
      <c r="L42" s="130"/>
    </row>
    <row r="43" spans="1:13">
      <c r="A43" s="130"/>
      <c r="B43" s="130"/>
      <c r="C43" s="130"/>
      <c r="D43" s="128"/>
      <c r="E43" s="128"/>
      <c r="F43" s="130"/>
      <c r="G43" s="130"/>
      <c r="H43" s="130"/>
      <c r="I43" s="130"/>
      <c r="J43" s="130"/>
      <c r="K43" s="130"/>
      <c r="L43" s="130"/>
    </row>
    <row r="44" spans="1:13">
      <c r="A44" s="130"/>
      <c r="B44" s="130"/>
      <c r="C44" s="130"/>
      <c r="D44" s="128"/>
      <c r="E44" s="128"/>
      <c r="F44" s="130"/>
      <c r="G44" s="130"/>
      <c r="H44" s="130"/>
      <c r="I44" s="130"/>
      <c r="J44" s="130"/>
      <c r="K44" s="130"/>
      <c r="L44" s="130"/>
    </row>
    <row r="45" spans="1:13">
      <c r="A45" s="130"/>
      <c r="B45" s="130"/>
      <c r="C45" s="130"/>
      <c r="D45" s="128"/>
      <c r="E45" s="128"/>
      <c r="F45" s="130"/>
      <c r="G45" s="130"/>
      <c r="H45" s="130"/>
      <c r="I45" s="130"/>
      <c r="J45" s="130"/>
      <c r="K45" s="130"/>
      <c r="L45" s="130"/>
    </row>
    <row r="46" spans="1:13">
      <c r="A46" s="130"/>
      <c r="B46" s="130"/>
      <c r="C46" s="130"/>
      <c r="D46" s="128"/>
      <c r="E46" s="128"/>
      <c r="F46" s="130"/>
      <c r="G46" s="130"/>
      <c r="H46" s="130"/>
      <c r="I46" s="130"/>
      <c r="J46" s="130"/>
      <c r="K46" s="130"/>
      <c r="L46" s="130"/>
    </row>
    <row r="47" spans="1:13">
      <c r="A47" s="130"/>
      <c r="B47" s="130"/>
      <c r="C47" s="130"/>
      <c r="D47" s="128"/>
      <c r="E47" s="128"/>
      <c r="F47" s="130"/>
      <c r="G47" s="130"/>
      <c r="H47" s="130"/>
      <c r="I47" s="130"/>
      <c r="J47" s="130"/>
      <c r="K47" s="130"/>
      <c r="L47" s="130"/>
    </row>
    <row r="48" spans="1:13">
      <c r="A48" s="130"/>
      <c r="B48" s="130"/>
      <c r="C48" s="130"/>
      <c r="D48" s="128"/>
      <c r="E48" s="128"/>
      <c r="F48" s="130"/>
      <c r="G48" s="130"/>
      <c r="H48" s="130"/>
      <c r="I48" s="130"/>
      <c r="J48" s="130"/>
      <c r="K48" s="130"/>
      <c r="L48" s="130"/>
    </row>
    <row r="49" spans="1:12">
      <c r="A49" s="130"/>
      <c r="B49" s="130"/>
      <c r="C49" s="130"/>
      <c r="D49" s="128"/>
      <c r="E49" s="128"/>
      <c r="F49" s="130"/>
      <c r="G49" s="130"/>
      <c r="H49" s="130"/>
      <c r="I49" s="130"/>
      <c r="J49" s="130"/>
      <c r="K49" s="130"/>
      <c r="L49" s="130"/>
    </row>
    <row r="50" spans="1:12">
      <c r="A50" s="130"/>
      <c r="B50" s="130"/>
      <c r="C50" s="130"/>
      <c r="D50" s="128"/>
      <c r="E50" s="128"/>
      <c r="F50" s="130"/>
      <c r="G50" s="130"/>
      <c r="H50" s="130"/>
      <c r="I50" s="130"/>
      <c r="J50" s="130"/>
      <c r="K50" s="130"/>
      <c r="L50" s="130"/>
    </row>
    <row r="51" spans="1:12">
      <c r="A51" s="130"/>
      <c r="B51" s="130"/>
      <c r="C51" s="130"/>
      <c r="D51" s="128"/>
      <c r="E51" s="128"/>
      <c r="F51" s="130"/>
      <c r="G51" s="130"/>
      <c r="H51" s="130"/>
      <c r="I51" s="130"/>
      <c r="J51" s="130"/>
      <c r="K51" s="130"/>
      <c r="L51" s="130"/>
    </row>
    <row r="52" spans="1:12">
      <c r="A52" s="130"/>
      <c r="B52" s="130"/>
      <c r="C52" s="130"/>
      <c r="D52" s="128"/>
      <c r="E52" s="128"/>
      <c r="F52" s="130"/>
      <c r="G52" s="130"/>
      <c r="H52" s="130"/>
      <c r="I52" s="130"/>
      <c r="J52" s="130"/>
      <c r="K52" s="130"/>
      <c r="L52" s="130"/>
    </row>
    <row r="53" spans="1:12">
      <c r="A53" s="130"/>
      <c r="B53" s="130"/>
      <c r="C53" s="130"/>
      <c r="D53" s="130"/>
      <c r="E53" s="130"/>
      <c r="F53" s="130"/>
      <c r="G53" s="130"/>
      <c r="H53" s="130"/>
      <c r="I53" s="130"/>
      <c r="J53" s="130"/>
      <c r="K53" s="130"/>
      <c r="L53" s="130"/>
    </row>
    <row r="54" spans="1:12">
      <c r="A54" s="130"/>
      <c r="B54" s="130"/>
      <c r="C54" s="130"/>
      <c r="D54" s="130"/>
      <c r="E54" s="130"/>
      <c r="F54" s="130"/>
      <c r="G54" s="130"/>
      <c r="H54" s="130"/>
      <c r="I54" s="130"/>
      <c r="J54" s="130"/>
      <c r="K54" s="130"/>
      <c r="L54" s="130"/>
    </row>
    <row r="55" spans="1:12">
      <c r="A55" s="130"/>
      <c r="B55" s="130"/>
      <c r="C55" s="130"/>
      <c r="D55" s="130"/>
      <c r="E55" s="130"/>
      <c r="F55" s="130"/>
      <c r="G55" s="130"/>
      <c r="H55" s="130"/>
      <c r="I55" s="130"/>
      <c r="J55" s="130"/>
      <c r="K55" s="130"/>
      <c r="L55" s="130"/>
    </row>
    <row r="56" spans="1:12">
      <c r="A56" s="130"/>
      <c r="B56" s="130"/>
      <c r="C56" s="130"/>
      <c r="D56" s="130"/>
      <c r="E56" s="130"/>
      <c r="F56" s="130"/>
      <c r="G56" s="130"/>
      <c r="H56" s="130"/>
      <c r="I56" s="130"/>
      <c r="J56" s="130"/>
      <c r="K56" s="130"/>
      <c r="L56" s="130"/>
    </row>
    <row r="57" spans="1:12">
      <c r="A57" s="130"/>
      <c r="B57" s="130"/>
      <c r="C57" s="130"/>
      <c r="D57" s="130"/>
      <c r="E57" s="130"/>
      <c r="F57" s="130"/>
      <c r="G57" s="130"/>
      <c r="H57" s="130"/>
      <c r="I57" s="130"/>
      <c r="J57" s="130"/>
      <c r="K57" s="130"/>
      <c r="L57" s="130"/>
    </row>
    <row r="58" spans="1:12">
      <c r="A58" s="130"/>
      <c r="B58" s="130"/>
      <c r="C58" s="130"/>
      <c r="D58" s="130"/>
      <c r="E58" s="130"/>
      <c r="F58" s="130"/>
      <c r="G58" s="130"/>
      <c r="H58" s="130"/>
      <c r="I58" s="130"/>
      <c r="J58" s="130"/>
      <c r="K58" s="130"/>
      <c r="L58" s="130"/>
    </row>
    <row r="59" spans="1:12">
      <c r="A59" s="130"/>
      <c r="B59" s="130"/>
      <c r="C59" s="130"/>
      <c r="D59" s="130"/>
      <c r="E59" s="130"/>
      <c r="F59" s="130"/>
      <c r="G59" s="130"/>
      <c r="H59" s="130"/>
      <c r="I59" s="130"/>
      <c r="J59" s="130"/>
      <c r="K59" s="130"/>
      <c r="L59" s="130"/>
    </row>
    <row r="60" spans="1:12">
      <c r="A60" s="130"/>
      <c r="B60" s="130"/>
      <c r="C60" s="130"/>
      <c r="D60" s="130"/>
      <c r="E60" s="130"/>
      <c r="F60" s="130"/>
      <c r="G60" s="130"/>
      <c r="H60" s="130"/>
      <c r="I60" s="130"/>
      <c r="J60" s="130"/>
      <c r="K60" s="130"/>
      <c r="L60" s="130"/>
    </row>
    <row r="61" spans="1:12">
      <c r="A61" s="130"/>
      <c r="B61" s="130"/>
      <c r="C61" s="130"/>
      <c r="D61" s="130"/>
      <c r="E61" s="130"/>
      <c r="F61" s="130"/>
      <c r="G61" s="130"/>
      <c r="H61" s="130"/>
      <c r="I61" s="130"/>
      <c r="J61" s="130"/>
      <c r="K61" s="130"/>
      <c r="L61" s="130"/>
    </row>
    <row r="62" spans="1:12">
      <c r="A62" s="130"/>
      <c r="B62" s="130"/>
      <c r="C62" s="130"/>
      <c r="D62" s="130"/>
      <c r="E62" s="130"/>
      <c r="F62" s="130"/>
      <c r="G62" s="130"/>
      <c r="H62" s="130"/>
      <c r="I62" s="130"/>
      <c r="J62" s="130"/>
      <c r="K62" s="130"/>
      <c r="L62" s="130"/>
    </row>
    <row r="63" spans="1:12">
      <c r="A63" s="130"/>
      <c r="B63" s="130"/>
      <c r="C63" s="130"/>
      <c r="D63" s="130"/>
      <c r="E63" s="130"/>
      <c r="F63" s="130"/>
      <c r="G63" s="130"/>
      <c r="H63" s="130"/>
      <c r="I63" s="130"/>
      <c r="J63" s="130"/>
      <c r="K63" s="130"/>
      <c r="L63" s="130"/>
    </row>
    <row r="64" spans="1:12">
      <c r="A64" s="130"/>
      <c r="B64" s="130"/>
      <c r="C64" s="130"/>
      <c r="D64" s="130"/>
      <c r="E64" s="130"/>
      <c r="F64" s="130"/>
      <c r="G64" s="130"/>
      <c r="H64" s="130"/>
      <c r="I64" s="130"/>
      <c r="J64" s="130"/>
      <c r="K64" s="130"/>
      <c r="L64" s="130"/>
    </row>
    <row r="65" spans="1:12">
      <c r="A65" s="130"/>
      <c r="B65" s="130"/>
      <c r="C65" s="130"/>
      <c r="D65" s="130"/>
      <c r="E65" s="130"/>
      <c r="F65" s="130"/>
      <c r="G65" s="130"/>
      <c r="H65" s="130"/>
      <c r="I65" s="130"/>
      <c r="J65" s="130"/>
      <c r="K65" s="130"/>
      <c r="L65" s="130"/>
    </row>
    <row r="66" spans="1:12">
      <c r="A66" s="130"/>
      <c r="B66" s="130"/>
      <c r="C66" s="130"/>
      <c r="D66" s="130"/>
      <c r="E66" s="130"/>
      <c r="F66" s="130"/>
      <c r="G66" s="130"/>
      <c r="H66" s="130"/>
      <c r="I66" s="130"/>
      <c r="J66" s="130"/>
      <c r="K66" s="130"/>
      <c r="L66" s="130"/>
    </row>
    <row r="67" spans="1:12">
      <c r="A67" s="130"/>
      <c r="B67" s="130"/>
      <c r="C67" s="130"/>
      <c r="D67" s="130"/>
      <c r="E67" s="130"/>
      <c r="F67" s="130"/>
      <c r="G67" s="130"/>
      <c r="H67" s="130"/>
      <c r="I67" s="130"/>
      <c r="J67" s="130"/>
      <c r="K67" s="130"/>
      <c r="L67" s="130"/>
    </row>
    <row r="68" spans="1:12">
      <c r="A68" s="130"/>
      <c r="B68" s="130"/>
      <c r="C68" s="130"/>
      <c r="D68" s="130"/>
      <c r="E68" s="130"/>
      <c r="F68" s="130"/>
      <c r="G68" s="130"/>
      <c r="H68" s="130"/>
      <c r="I68" s="130"/>
      <c r="J68" s="130"/>
      <c r="K68" s="130"/>
      <c r="L68" s="130"/>
    </row>
    <row r="69" spans="1:12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</row>
    <row r="70" spans="1:12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</row>
    <row r="71" spans="1:12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</row>
    <row r="72" spans="1:12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</row>
    <row r="73" spans="1:12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</row>
    <row r="74" spans="1:12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</row>
    <row r="75" spans="1:12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</row>
    <row r="76" spans="1:12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</row>
    <row r="77" spans="1:12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</row>
    <row r="78" spans="1:12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</row>
    <row r="79" spans="1:12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</row>
    <row r="80" spans="1:12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</row>
    <row r="81" spans="1:12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</row>
    <row r="82" spans="1:12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</row>
    <row r="83" spans="1:12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</row>
    <row r="84" spans="1:12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</row>
    <row r="85" spans="1:12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</row>
  </sheetData>
  <mergeCells count="76">
    <mergeCell ref="A1:L1"/>
    <mergeCell ref="C2:D2"/>
    <mergeCell ref="H2:I2"/>
    <mergeCell ref="C3:M3"/>
    <mergeCell ref="A4:D4"/>
    <mergeCell ref="J4:M5"/>
    <mergeCell ref="A5:D5"/>
    <mergeCell ref="E5:G5"/>
    <mergeCell ref="H5:I5"/>
    <mergeCell ref="A6:D6"/>
    <mergeCell ref="E6:F6"/>
    <mergeCell ref="G6:H6"/>
    <mergeCell ref="J6:M6"/>
    <mergeCell ref="A7:D7"/>
    <mergeCell ref="E7:F7"/>
    <mergeCell ref="G7:M7"/>
    <mergeCell ref="A8:D8"/>
    <mergeCell ref="J8:M9"/>
    <mergeCell ref="A9:D9"/>
    <mergeCell ref="E9:G9"/>
    <mergeCell ref="H9:I9"/>
    <mergeCell ref="A10:C10"/>
    <mergeCell ref="D10:F10"/>
    <mergeCell ref="G10:I10"/>
    <mergeCell ref="J10:M10"/>
    <mergeCell ref="A11:C11"/>
    <mergeCell ref="D11:G11"/>
    <mergeCell ref="J11:M11"/>
    <mergeCell ref="A12:C12"/>
    <mergeCell ref="E12:G12"/>
    <mergeCell ref="H12:I12"/>
    <mergeCell ref="J12:M13"/>
    <mergeCell ref="A13:C13"/>
    <mergeCell ref="E13:G13"/>
    <mergeCell ref="H13:I13"/>
    <mergeCell ref="A14:C14"/>
    <mergeCell ref="E14:G14"/>
    <mergeCell ref="H14:I14"/>
    <mergeCell ref="J14:M14"/>
    <mergeCell ref="A15:C15"/>
    <mergeCell ref="E15:G15"/>
    <mergeCell ref="H15:I15"/>
    <mergeCell ref="J15:M15"/>
    <mergeCell ref="A16:C16"/>
    <mergeCell ref="A17:C17"/>
    <mergeCell ref="A18:L18"/>
    <mergeCell ref="A19:B19"/>
    <mergeCell ref="C19:D19"/>
    <mergeCell ref="E19:J19"/>
    <mergeCell ref="D16:M17"/>
    <mergeCell ref="G20:H20"/>
    <mergeCell ref="A31:C31"/>
    <mergeCell ref="B32:C32"/>
    <mergeCell ref="B33:C33"/>
    <mergeCell ref="A34:C34"/>
    <mergeCell ref="D34:G34"/>
    <mergeCell ref="A23:A24"/>
    <mergeCell ref="A27:A28"/>
    <mergeCell ref="A32:A33"/>
    <mergeCell ref="B23:B24"/>
    <mergeCell ref="B27:B28"/>
    <mergeCell ref="B21:J22"/>
    <mergeCell ref="I23:I24"/>
    <mergeCell ref="I27:I28"/>
    <mergeCell ref="J23:J24"/>
    <mergeCell ref="J27:J28"/>
    <mergeCell ref="D31:G33"/>
    <mergeCell ref="H31:M32"/>
    <mergeCell ref="H33:M34"/>
    <mergeCell ref="K23:M24"/>
    <mergeCell ref="B25:J26"/>
    <mergeCell ref="C27:D28"/>
    <mergeCell ref="G27:H28"/>
    <mergeCell ref="K27:M28"/>
    <mergeCell ref="C23:D24"/>
    <mergeCell ref="G23:H2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6"/>
  <sheetViews>
    <sheetView workbookViewId="0">
      <selection activeCell="J29" sqref="J29"/>
    </sheetView>
  </sheetViews>
  <sheetFormatPr defaultColWidth="9" defaultRowHeight="15"/>
  <cols>
    <col min="2" max="2" width="13" customWidth="1"/>
    <col min="7" max="7" width="12.7109375" customWidth="1"/>
    <col min="8" max="8" width="9.42578125" customWidth="1"/>
  </cols>
  <sheetData>
    <row r="1" spans="1:15" ht="25.5">
      <c r="A1" s="466" t="s">
        <v>179</v>
      </c>
      <c r="B1" s="466"/>
      <c r="C1" s="466"/>
      <c r="D1" s="466"/>
      <c r="E1" s="466"/>
      <c r="F1" s="466"/>
      <c r="G1" s="466"/>
      <c r="H1" s="466"/>
      <c r="I1" s="60"/>
      <c r="J1" s="60"/>
      <c r="K1" s="60"/>
      <c r="L1" s="60"/>
      <c r="M1" s="60"/>
      <c r="N1" s="60"/>
      <c r="O1" s="60"/>
    </row>
    <row r="2" spans="1:15" ht="18.75">
      <c r="A2" s="467" t="s">
        <v>180</v>
      </c>
      <c r="B2" s="467"/>
      <c r="C2" s="467"/>
      <c r="D2" s="467"/>
      <c r="E2" s="467"/>
      <c r="F2" s="467"/>
      <c r="G2" s="467"/>
      <c r="H2" s="467"/>
      <c r="I2" s="60"/>
      <c r="J2" s="60"/>
      <c r="K2" s="60"/>
      <c r="L2" s="60"/>
      <c r="M2" s="60"/>
      <c r="N2" s="60"/>
      <c r="O2" s="60"/>
    </row>
    <row r="3" spans="1:15">
      <c r="A3" s="60" t="s">
        <v>181</v>
      </c>
      <c r="B3" s="61"/>
      <c r="C3" s="62"/>
      <c r="D3" s="60"/>
      <c r="E3" s="60"/>
      <c r="F3" s="63"/>
      <c r="G3" s="64"/>
      <c r="H3" s="63"/>
      <c r="I3" s="60"/>
      <c r="J3" s="60"/>
      <c r="K3" s="60"/>
      <c r="L3" s="60"/>
      <c r="M3" s="60"/>
      <c r="N3" s="60"/>
      <c r="O3" s="60"/>
    </row>
    <row r="4" spans="1:15">
      <c r="A4" s="63" t="s">
        <v>182</v>
      </c>
      <c r="B4" s="60"/>
      <c r="C4" s="60"/>
      <c r="D4" s="60"/>
      <c r="E4" s="60"/>
      <c r="F4" s="63" t="s">
        <v>183</v>
      </c>
      <c r="G4" s="65">
        <v>45876</v>
      </c>
      <c r="H4" s="63"/>
      <c r="I4" s="60"/>
      <c r="J4" s="60"/>
      <c r="K4" s="60"/>
      <c r="L4" s="60"/>
      <c r="M4" s="60"/>
      <c r="N4" s="60"/>
      <c r="O4" s="60"/>
    </row>
    <row r="5" spans="1:15">
      <c r="A5" s="60" t="s">
        <v>184</v>
      </c>
      <c r="B5" s="60" t="s">
        <v>185</v>
      </c>
      <c r="C5" s="60"/>
      <c r="D5" s="60"/>
      <c r="E5" s="60" t="s">
        <v>186</v>
      </c>
      <c r="F5" s="66" t="s">
        <v>187</v>
      </c>
      <c r="G5" s="60" t="s">
        <v>188</v>
      </c>
      <c r="H5" s="60"/>
      <c r="I5" s="60"/>
      <c r="J5" s="60"/>
      <c r="K5" s="60"/>
      <c r="L5" s="60"/>
      <c r="M5" s="60"/>
      <c r="N5" s="60"/>
      <c r="O5" s="60"/>
    </row>
    <row r="6" spans="1:15">
      <c r="A6" s="63" t="s">
        <v>189</v>
      </c>
      <c r="B6" s="60"/>
      <c r="C6" s="60"/>
      <c r="D6" s="63"/>
      <c r="E6" s="63" t="s">
        <v>190</v>
      </c>
      <c r="F6" s="60"/>
      <c r="G6" s="60"/>
      <c r="H6" s="60"/>
      <c r="I6" s="60"/>
      <c r="J6" s="60"/>
      <c r="K6" s="60"/>
      <c r="L6" s="60"/>
      <c r="M6" s="60"/>
      <c r="N6" s="60"/>
      <c r="O6" s="60"/>
    </row>
    <row r="7" spans="1:15">
      <c r="A7" s="60" t="s">
        <v>191</v>
      </c>
      <c r="B7" s="66" t="s">
        <v>192</v>
      </c>
      <c r="C7" s="60"/>
      <c r="D7" s="60"/>
      <c r="E7" s="67" t="s">
        <v>191</v>
      </c>
      <c r="F7" s="60"/>
      <c r="G7" s="60"/>
      <c r="H7" s="60"/>
      <c r="I7" s="99"/>
      <c r="J7" s="99"/>
      <c r="K7" s="99"/>
      <c r="L7" s="99"/>
      <c r="M7" s="99"/>
      <c r="N7" s="99"/>
      <c r="O7" s="99"/>
    </row>
    <row r="8" spans="1:15">
      <c r="A8" s="63" t="s">
        <v>193</v>
      </c>
      <c r="B8" s="60"/>
      <c r="C8" s="60"/>
      <c r="D8" s="63"/>
      <c r="E8" s="63" t="s">
        <v>193</v>
      </c>
      <c r="F8" s="468" t="s">
        <v>194</v>
      </c>
      <c r="G8" s="468"/>
      <c r="H8" s="468"/>
      <c r="I8" s="60"/>
      <c r="J8" s="60"/>
      <c r="K8" s="60"/>
      <c r="L8" s="60"/>
      <c r="M8" s="60"/>
      <c r="N8" s="60"/>
      <c r="O8" s="60"/>
    </row>
    <row r="9" spans="1:15">
      <c r="A9" s="60" t="s">
        <v>195</v>
      </c>
      <c r="B9" s="60" t="s">
        <v>196</v>
      </c>
      <c r="C9" s="60"/>
      <c r="D9" s="60"/>
      <c r="E9" s="60" t="s">
        <v>195</v>
      </c>
      <c r="F9" s="469" t="s">
        <v>197</v>
      </c>
      <c r="G9" s="469"/>
      <c r="H9" s="469"/>
      <c r="I9" s="60"/>
      <c r="J9" s="60"/>
      <c r="K9" s="60"/>
      <c r="L9" s="60"/>
      <c r="M9" s="60"/>
      <c r="N9" s="60"/>
      <c r="O9" s="60"/>
    </row>
    <row r="10" spans="1:15">
      <c r="A10" s="63" t="s">
        <v>198</v>
      </c>
      <c r="B10" s="60"/>
      <c r="C10" s="60"/>
      <c r="D10" s="63"/>
      <c r="E10" s="63" t="s">
        <v>198</v>
      </c>
      <c r="F10" s="60"/>
      <c r="G10" s="60"/>
      <c r="H10" s="60"/>
      <c r="I10" s="60"/>
      <c r="J10" s="60"/>
      <c r="K10" s="60"/>
      <c r="L10" s="60"/>
      <c r="M10" s="60"/>
      <c r="N10" s="60"/>
      <c r="O10" s="60"/>
    </row>
    <row r="11" spans="1:15">
      <c r="A11" s="60" t="s">
        <v>199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</row>
    <row r="12" spans="1:15" ht="15.75">
      <c r="A12" s="68" t="s">
        <v>200</v>
      </c>
      <c r="B12" s="69"/>
      <c r="C12" s="69"/>
      <c r="D12" s="69"/>
      <c r="E12" s="69"/>
      <c r="F12" s="69"/>
      <c r="G12" s="69"/>
      <c r="H12" s="69"/>
      <c r="I12" s="60"/>
      <c r="J12" s="60"/>
      <c r="K12" s="60"/>
      <c r="L12" s="60"/>
      <c r="M12" s="60"/>
      <c r="N12" s="60"/>
      <c r="O12" s="60"/>
    </row>
    <row r="13" spans="1:15" ht="15.75">
      <c r="A13" s="70" t="s">
        <v>201</v>
      </c>
      <c r="B13" s="69"/>
      <c r="C13" s="69"/>
      <c r="D13" s="69"/>
      <c r="E13" s="69"/>
      <c r="F13" s="69"/>
      <c r="G13" s="69"/>
      <c r="H13" s="69"/>
      <c r="I13" s="60"/>
      <c r="J13" s="60"/>
      <c r="K13" s="60"/>
      <c r="L13" s="60"/>
      <c r="M13" s="60"/>
      <c r="N13" s="60"/>
      <c r="O13" s="60"/>
    </row>
    <row r="14" spans="1:15">
      <c r="A14" s="71" t="s">
        <v>202</v>
      </c>
      <c r="B14" s="72" t="s">
        <v>203</v>
      </c>
      <c r="C14" s="470" t="s">
        <v>204</v>
      </c>
      <c r="D14" s="470"/>
      <c r="E14" s="471" t="s">
        <v>205</v>
      </c>
      <c r="F14" s="472"/>
      <c r="G14" s="73" t="s">
        <v>206</v>
      </c>
      <c r="H14" s="72" t="s">
        <v>207</v>
      </c>
      <c r="I14" s="60"/>
      <c r="J14" s="60"/>
      <c r="K14" s="60"/>
      <c r="L14" s="60"/>
      <c r="M14" s="60"/>
      <c r="N14" s="60"/>
      <c r="O14" s="60"/>
    </row>
    <row r="15" spans="1:15" ht="15.75">
      <c r="A15" s="74" t="s">
        <v>208</v>
      </c>
      <c r="B15" s="75" t="s">
        <v>209</v>
      </c>
      <c r="C15" s="459" t="s">
        <v>210</v>
      </c>
      <c r="D15" s="460"/>
      <c r="E15" s="461" t="s">
        <v>25</v>
      </c>
      <c r="F15" s="462"/>
      <c r="G15" s="76" t="s">
        <v>27</v>
      </c>
      <c r="H15" s="77" t="s">
        <v>29</v>
      </c>
      <c r="I15" s="60"/>
      <c r="J15" s="60"/>
      <c r="K15" s="60"/>
      <c r="L15" s="60"/>
      <c r="M15" s="60"/>
      <c r="N15" s="60"/>
      <c r="O15" s="60"/>
    </row>
    <row r="16" spans="1:15">
      <c r="A16" s="26">
        <v>1</v>
      </c>
      <c r="B16" s="26">
        <v>85045000</v>
      </c>
      <c r="C16" s="463" t="s">
        <v>170</v>
      </c>
      <c r="D16" s="464"/>
      <c r="E16" s="78">
        <f>發票!E16</f>
        <v>93000</v>
      </c>
      <c r="F16" s="79" t="s">
        <v>39</v>
      </c>
      <c r="G16" s="80">
        <f>H16/E16</f>
        <v>1.5729032258064515E-2</v>
      </c>
      <c r="H16" s="81">
        <f>發票!G16</f>
        <v>1462.8</v>
      </c>
      <c r="I16" s="60"/>
      <c r="J16" s="100"/>
      <c r="K16" s="60"/>
      <c r="L16" s="60"/>
      <c r="M16" s="60"/>
      <c r="N16" s="60"/>
      <c r="O16" s="60"/>
    </row>
    <row r="17" spans="1:15">
      <c r="A17" s="26">
        <v>2</v>
      </c>
      <c r="B17" s="25">
        <v>8548000001</v>
      </c>
      <c r="C17" s="465" t="s">
        <v>173</v>
      </c>
      <c r="D17" s="465"/>
      <c r="E17" s="82">
        <f>發票!E17</f>
        <v>22356</v>
      </c>
      <c r="F17" s="79" t="s">
        <v>39</v>
      </c>
      <c r="G17" s="80">
        <f>H17/E17</f>
        <v>0.16921229200214707</v>
      </c>
      <c r="H17" s="83">
        <f>發票!G17</f>
        <v>3782.91</v>
      </c>
      <c r="I17" s="60"/>
      <c r="J17" s="100"/>
      <c r="K17" s="60"/>
      <c r="L17" s="60"/>
      <c r="M17" s="60"/>
      <c r="N17" s="60"/>
      <c r="O17" s="60"/>
    </row>
    <row r="18" spans="1:15" ht="15.75">
      <c r="A18" s="84" t="s">
        <v>211</v>
      </c>
      <c r="B18" s="85"/>
      <c r="C18" s="85"/>
      <c r="D18" s="85"/>
      <c r="E18" s="86">
        <f>發票!E18</f>
        <v>115356</v>
      </c>
      <c r="F18" s="87"/>
      <c r="G18" s="88" t="s">
        <v>212</v>
      </c>
      <c r="H18" s="89">
        <f>發票!G18</f>
        <v>5245.71</v>
      </c>
      <c r="I18" s="60"/>
      <c r="J18" s="60"/>
      <c r="K18" s="60"/>
      <c r="L18" s="60"/>
      <c r="M18" s="60"/>
      <c r="N18" s="60"/>
      <c r="O18" s="60"/>
    </row>
    <row r="19" spans="1:15" ht="15.75">
      <c r="A19" s="90" t="s">
        <v>213</v>
      </c>
      <c r="B19" s="70"/>
      <c r="C19" s="70"/>
      <c r="D19" s="70"/>
      <c r="E19" s="70"/>
      <c r="F19" s="70"/>
      <c r="G19" s="70"/>
      <c r="H19" s="70"/>
      <c r="I19" s="60"/>
      <c r="J19" s="60"/>
      <c r="K19" s="60"/>
      <c r="L19" s="60"/>
      <c r="M19" s="60"/>
      <c r="N19" s="60"/>
      <c r="O19" s="60"/>
    </row>
    <row r="20" spans="1:15">
      <c r="A20" s="60" t="s">
        <v>214</v>
      </c>
      <c r="B20" s="60"/>
      <c r="C20" s="60"/>
      <c r="D20" s="60"/>
      <c r="E20" s="60" t="s">
        <v>215</v>
      </c>
      <c r="F20" s="60"/>
      <c r="G20" s="60"/>
      <c r="H20" s="60"/>
      <c r="I20" s="60"/>
      <c r="J20" s="60"/>
      <c r="K20" s="60"/>
      <c r="L20" s="60"/>
      <c r="M20" s="60"/>
      <c r="N20" s="60"/>
      <c r="O20" s="60"/>
    </row>
    <row r="21" spans="1:15" ht="16.5">
      <c r="A21" s="91" t="s">
        <v>216</v>
      </c>
      <c r="B21" s="91"/>
      <c r="C21" s="91"/>
      <c r="D21" s="91"/>
      <c r="E21" s="91" t="s">
        <v>217</v>
      </c>
      <c r="F21" s="91"/>
      <c r="G21" s="91"/>
      <c r="H21" s="91"/>
      <c r="I21" s="60"/>
      <c r="J21" s="60"/>
      <c r="K21" s="60"/>
      <c r="L21" s="60"/>
      <c r="M21" s="60"/>
      <c r="N21" s="60"/>
      <c r="O21" s="60"/>
    </row>
    <row r="22" spans="1:15">
      <c r="A22" s="60" t="s">
        <v>218</v>
      </c>
      <c r="B22" s="60"/>
      <c r="C22" s="60"/>
      <c r="D22" s="60"/>
      <c r="E22" s="60" t="s">
        <v>219</v>
      </c>
      <c r="F22" s="60" t="s">
        <v>220</v>
      </c>
      <c r="G22" s="60"/>
      <c r="H22" s="60" t="s">
        <v>221</v>
      </c>
      <c r="I22" s="60"/>
      <c r="J22" s="60"/>
      <c r="K22" s="60"/>
      <c r="L22" s="60"/>
      <c r="M22" s="60"/>
      <c r="N22" s="60"/>
      <c r="O22" s="60"/>
    </row>
    <row r="23" spans="1:15" ht="16.5">
      <c r="A23" s="91" t="s">
        <v>222</v>
      </c>
      <c r="B23" s="91"/>
      <c r="C23" s="91"/>
      <c r="D23" s="91"/>
      <c r="E23" s="91" t="s">
        <v>223</v>
      </c>
      <c r="F23" s="91"/>
      <c r="G23" s="91"/>
      <c r="H23" s="91"/>
      <c r="I23" s="60"/>
      <c r="J23" s="60"/>
      <c r="K23" s="60"/>
      <c r="L23" s="60"/>
      <c r="M23" s="60"/>
      <c r="N23" s="60"/>
      <c r="O23" s="60"/>
    </row>
    <row r="24" spans="1:15">
      <c r="A24" s="60" t="s">
        <v>224</v>
      </c>
      <c r="B24" s="60"/>
      <c r="C24" s="60"/>
      <c r="D24" s="60"/>
      <c r="E24" s="92" t="s">
        <v>225</v>
      </c>
      <c r="F24" s="92"/>
      <c r="G24" s="92" t="s">
        <v>133</v>
      </c>
      <c r="H24" s="60"/>
      <c r="I24" s="60"/>
      <c r="J24" s="60"/>
      <c r="K24" s="60"/>
      <c r="L24" s="60"/>
      <c r="M24" s="60"/>
      <c r="N24" s="60"/>
      <c r="O24" s="60"/>
    </row>
    <row r="25" spans="1:15" ht="16.5">
      <c r="A25" s="91" t="s">
        <v>226</v>
      </c>
      <c r="B25" s="91"/>
      <c r="C25" s="91"/>
      <c r="D25" s="91"/>
      <c r="E25" s="91" t="s">
        <v>227</v>
      </c>
      <c r="F25" s="91"/>
      <c r="G25" s="91"/>
      <c r="H25" s="91"/>
      <c r="I25" s="60"/>
      <c r="J25" s="60"/>
      <c r="K25" s="60"/>
      <c r="L25" s="60"/>
      <c r="M25" s="60"/>
      <c r="N25" s="60"/>
      <c r="O25" s="60"/>
    </row>
    <row r="26" spans="1:15">
      <c r="A26" s="60" t="s">
        <v>228</v>
      </c>
      <c r="B26" s="60"/>
      <c r="C26" s="60"/>
      <c r="D26" s="60"/>
      <c r="E26" s="60" t="s">
        <v>229</v>
      </c>
      <c r="F26" s="60"/>
      <c r="G26" s="60" t="s">
        <v>230</v>
      </c>
      <c r="H26" s="60"/>
      <c r="I26" s="60"/>
      <c r="J26" s="60"/>
      <c r="K26" s="60"/>
      <c r="L26" s="60"/>
      <c r="M26" s="60"/>
      <c r="N26" s="60"/>
      <c r="O26" s="60"/>
    </row>
    <row r="27" spans="1:15" ht="16.5">
      <c r="A27" s="91" t="s">
        <v>231</v>
      </c>
      <c r="B27" s="91"/>
      <c r="C27" s="91"/>
      <c r="D27" s="91"/>
      <c r="E27" s="91" t="s">
        <v>232</v>
      </c>
      <c r="F27" s="91"/>
      <c r="G27" s="91"/>
      <c r="H27" s="91"/>
      <c r="I27" s="60"/>
      <c r="J27" s="60"/>
      <c r="K27" s="60"/>
      <c r="L27" s="60"/>
      <c r="M27" s="60"/>
      <c r="N27" s="60"/>
      <c r="O27" s="60"/>
    </row>
    <row r="28" spans="1:15">
      <c r="A28" s="60" t="s">
        <v>233</v>
      </c>
      <c r="B28" s="60"/>
      <c r="C28" s="60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</row>
    <row r="29" spans="1:15">
      <c r="A29" s="93" t="s">
        <v>234</v>
      </c>
      <c r="B29" s="60"/>
      <c r="C29" s="60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</row>
    <row r="30" spans="1:15">
      <c r="A30" s="93" t="s">
        <v>235</v>
      </c>
      <c r="B30" s="60"/>
      <c r="C30" s="60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60"/>
    </row>
    <row r="31" spans="1:15">
      <c r="A31" s="93" t="s">
        <v>236</v>
      </c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</row>
    <row r="32" spans="1:15">
      <c r="A32" s="93" t="s">
        <v>237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</row>
    <row r="33" spans="1:15">
      <c r="A33" s="93" t="s">
        <v>238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</row>
    <row r="34" spans="1:15">
      <c r="A34" s="93" t="s">
        <v>239</v>
      </c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</row>
    <row r="35" spans="1:15">
      <c r="A35" s="70" t="s">
        <v>240</v>
      </c>
      <c r="B35" s="70"/>
      <c r="C35" s="70"/>
      <c r="D35" s="70"/>
      <c r="E35" s="70"/>
      <c r="F35" s="70"/>
      <c r="G35" s="70"/>
      <c r="H35" s="70"/>
      <c r="I35" s="60"/>
      <c r="J35" s="60"/>
      <c r="K35" s="60"/>
      <c r="L35" s="60"/>
      <c r="M35" s="60"/>
      <c r="N35" s="60"/>
      <c r="O35" s="60"/>
    </row>
    <row r="36" spans="1:15" ht="15.75">
      <c r="A36" s="94" t="s">
        <v>241</v>
      </c>
      <c r="B36" s="70"/>
      <c r="C36" s="70"/>
      <c r="D36" s="70"/>
      <c r="E36" s="70"/>
      <c r="F36" s="70"/>
      <c r="G36" s="70"/>
      <c r="H36" s="70"/>
      <c r="I36" s="60"/>
      <c r="J36" s="60"/>
      <c r="K36" s="60"/>
      <c r="L36" s="60"/>
      <c r="M36" s="60"/>
      <c r="N36" s="60"/>
      <c r="O36" s="60"/>
    </row>
    <row r="37" spans="1:15" ht="15.75">
      <c r="A37" s="94" t="s">
        <v>242</v>
      </c>
      <c r="B37" s="70"/>
      <c r="C37" s="70"/>
      <c r="D37" s="70"/>
      <c r="E37" s="70"/>
      <c r="F37" s="70"/>
      <c r="G37" s="70"/>
      <c r="H37" s="70"/>
      <c r="I37" s="60"/>
      <c r="J37" s="60"/>
      <c r="K37" s="60"/>
      <c r="L37" s="60"/>
      <c r="M37" s="60"/>
      <c r="N37" s="60"/>
      <c r="O37" s="60"/>
    </row>
    <row r="38" spans="1:15">
      <c r="A38" s="95" t="s">
        <v>243</v>
      </c>
      <c r="B38" s="70"/>
      <c r="C38" s="70"/>
      <c r="D38" s="70"/>
      <c r="E38" s="70"/>
      <c r="F38" s="70"/>
      <c r="G38" s="70"/>
      <c r="H38" s="70"/>
      <c r="I38" s="60"/>
      <c r="J38" s="60"/>
      <c r="K38" s="60"/>
      <c r="L38" s="60"/>
      <c r="M38" s="60"/>
      <c r="N38" s="60"/>
      <c r="O38" s="60"/>
    </row>
    <row r="39" spans="1:15" ht="15.75">
      <c r="A39" s="96" t="s">
        <v>244</v>
      </c>
      <c r="B39" s="70"/>
      <c r="C39" s="70"/>
      <c r="D39" s="70"/>
      <c r="E39" s="70"/>
      <c r="F39" s="70"/>
      <c r="G39" s="70"/>
      <c r="H39" s="70"/>
      <c r="I39" s="60"/>
      <c r="J39" s="60"/>
      <c r="K39" s="60"/>
      <c r="L39" s="60"/>
      <c r="M39" s="60"/>
      <c r="N39" s="60"/>
      <c r="O39" s="60"/>
    </row>
    <row r="40" spans="1:15" ht="15.75">
      <c r="A40" s="94" t="s">
        <v>245</v>
      </c>
      <c r="B40" s="70"/>
      <c r="C40" s="70"/>
      <c r="D40" s="70"/>
      <c r="E40" s="70"/>
      <c r="F40" s="70"/>
      <c r="G40" s="70"/>
      <c r="H40" s="70"/>
      <c r="I40" s="60"/>
      <c r="J40" s="60"/>
      <c r="K40" s="60"/>
      <c r="L40" s="60"/>
      <c r="M40" s="60"/>
      <c r="N40" s="60"/>
      <c r="O40" s="60"/>
    </row>
    <row r="41" spans="1:15" ht="15.75">
      <c r="A41" s="94" t="s">
        <v>246</v>
      </c>
      <c r="B41" s="70"/>
      <c r="C41" s="70"/>
      <c r="D41" s="70"/>
      <c r="E41" s="70"/>
      <c r="F41" s="70"/>
      <c r="G41" s="70"/>
      <c r="H41" s="70"/>
      <c r="I41" s="60"/>
      <c r="J41" s="60"/>
      <c r="K41" s="60"/>
      <c r="L41" s="60"/>
      <c r="M41" s="60"/>
      <c r="N41" s="60"/>
      <c r="O41" s="60"/>
    </row>
    <row r="42" spans="1:15" ht="15.75">
      <c r="A42" s="94" t="s">
        <v>247</v>
      </c>
      <c r="B42" s="70"/>
      <c r="C42" s="70"/>
      <c r="D42" s="70"/>
      <c r="E42" s="70"/>
      <c r="F42" s="70"/>
      <c r="G42" s="70"/>
      <c r="H42" s="70"/>
      <c r="I42" s="60"/>
      <c r="J42" s="60"/>
      <c r="K42" s="60"/>
      <c r="L42" s="60"/>
      <c r="M42" s="60"/>
      <c r="N42" s="60"/>
      <c r="O42" s="60"/>
    </row>
    <row r="43" spans="1:15" ht="15.75">
      <c r="A43" s="94" t="s">
        <v>248</v>
      </c>
      <c r="B43" s="70"/>
      <c r="C43" s="70"/>
      <c r="D43" s="70"/>
      <c r="E43" s="70"/>
      <c r="F43" s="70"/>
      <c r="G43" s="70"/>
      <c r="H43" s="70"/>
      <c r="I43" s="60"/>
      <c r="J43" s="60"/>
      <c r="K43" s="60"/>
      <c r="L43" s="60"/>
      <c r="M43" s="60"/>
      <c r="N43" s="60"/>
      <c r="O43" s="60"/>
    </row>
    <row r="44" spans="1:15" ht="16.5">
      <c r="A44" s="63"/>
      <c r="B44" s="60" t="s">
        <v>249</v>
      </c>
      <c r="C44" s="97"/>
      <c r="D44" s="60"/>
      <c r="E44" s="60"/>
      <c r="F44" s="60" t="s">
        <v>250</v>
      </c>
      <c r="G44" s="60"/>
      <c r="H44" s="63"/>
      <c r="I44" s="60"/>
      <c r="J44" s="60"/>
      <c r="K44" s="60"/>
      <c r="L44" s="60"/>
      <c r="M44" s="60"/>
      <c r="N44" s="60"/>
      <c r="O44" s="60"/>
    </row>
    <row r="45" spans="1:15" ht="15.75">
      <c r="A45" s="70"/>
      <c r="B45" s="60" t="s">
        <v>251</v>
      </c>
      <c r="C45" s="60"/>
      <c r="D45" s="98"/>
      <c r="E45" s="98"/>
      <c r="F45" s="66" t="s">
        <v>187</v>
      </c>
      <c r="G45" s="98"/>
      <c r="H45" s="70"/>
      <c r="I45" s="60"/>
      <c r="J45" s="60"/>
      <c r="K45" s="60"/>
      <c r="L45" s="60"/>
      <c r="M45" s="60"/>
      <c r="N45" s="60"/>
      <c r="O45" s="60"/>
    </row>
    <row r="46" spans="1:15" ht="16.5">
      <c r="A46" s="60"/>
      <c r="B46" s="98"/>
      <c r="C46" s="98"/>
      <c r="D46" s="97"/>
      <c r="E46" s="97"/>
      <c r="F46" s="60"/>
      <c r="G46" s="97"/>
      <c r="H46" s="60"/>
      <c r="I46" s="60"/>
      <c r="J46" s="60"/>
      <c r="K46" s="60"/>
      <c r="L46" s="60"/>
      <c r="M46" s="60"/>
      <c r="N46" s="60"/>
      <c r="O46" s="60"/>
    </row>
  </sheetData>
  <mergeCells count="10">
    <mergeCell ref="C15:D15"/>
    <mergeCell ref="E15:F15"/>
    <mergeCell ref="C16:D16"/>
    <mergeCell ref="C17:D17"/>
    <mergeCell ref="A1:H1"/>
    <mergeCell ref="A2:H2"/>
    <mergeCell ref="F8:H8"/>
    <mergeCell ref="F9:H9"/>
    <mergeCell ref="C14:D14"/>
    <mergeCell ref="E14:F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4"/>
  <sheetViews>
    <sheetView topLeftCell="A8" workbookViewId="0">
      <selection activeCell="E28" sqref="E28"/>
    </sheetView>
  </sheetViews>
  <sheetFormatPr defaultColWidth="9" defaultRowHeight="14.25"/>
  <cols>
    <col min="1" max="1" width="4.85546875" style="36" customWidth="1"/>
    <col min="2" max="2" width="9" style="36"/>
    <col min="3" max="3" width="11" style="36" customWidth="1"/>
    <col min="4" max="4" width="14" style="36" customWidth="1"/>
    <col min="5" max="7" width="9" style="36"/>
    <col min="8" max="9" width="9" style="36" hidden="1" customWidth="1"/>
    <col min="10" max="10" width="9" style="36"/>
    <col min="11" max="11" width="14.28515625" style="36" customWidth="1"/>
    <col min="12" max="16384" width="9" style="36"/>
  </cols>
  <sheetData>
    <row r="1" spans="1:11">
      <c r="A1" s="498" t="s">
        <v>252</v>
      </c>
      <c r="B1" s="498"/>
      <c r="C1" s="498"/>
      <c r="D1" s="498"/>
      <c r="E1" s="498"/>
      <c r="F1" s="498"/>
      <c r="G1" s="498"/>
      <c r="H1" s="498"/>
      <c r="I1" s="498"/>
      <c r="J1" s="498"/>
      <c r="K1" s="498"/>
    </row>
    <row r="2" spans="1:11" s="34" customFormat="1">
      <c r="A2" s="499" t="s">
        <v>253</v>
      </c>
      <c r="B2" s="499"/>
      <c r="C2" s="37" t="s">
        <v>187</v>
      </c>
      <c r="D2" s="37"/>
      <c r="E2" s="38"/>
      <c r="F2" s="39"/>
      <c r="G2" s="40" t="s">
        <v>254</v>
      </c>
      <c r="H2" s="500">
        <v>4407944258</v>
      </c>
      <c r="I2" s="500"/>
      <c r="J2" s="500"/>
      <c r="K2" s="500"/>
    </row>
    <row r="3" spans="1:11" s="34" customFormat="1">
      <c r="A3" s="501" t="s">
        <v>255</v>
      </c>
      <c r="B3" s="501"/>
      <c r="C3" s="42" t="s">
        <v>251</v>
      </c>
      <c r="D3" s="42"/>
      <c r="E3" s="39"/>
      <c r="F3" s="39"/>
      <c r="G3" s="40" t="s">
        <v>256</v>
      </c>
      <c r="H3" s="502"/>
      <c r="I3" s="502"/>
      <c r="J3" s="502"/>
      <c r="K3" s="502"/>
    </row>
    <row r="4" spans="1:11" s="34" customFormat="1">
      <c r="A4" s="41" t="s">
        <v>257</v>
      </c>
      <c r="B4" s="39"/>
      <c r="C4" s="43" t="s">
        <v>4</v>
      </c>
      <c r="D4" s="43"/>
      <c r="E4" s="44"/>
      <c r="F4" s="45"/>
      <c r="G4" s="40" t="s">
        <v>258</v>
      </c>
      <c r="H4" s="495"/>
      <c r="I4" s="495"/>
      <c r="J4" s="495"/>
      <c r="K4" s="495"/>
    </row>
    <row r="5" spans="1:11" s="34" customFormat="1">
      <c r="A5" s="41" t="s">
        <v>259</v>
      </c>
      <c r="B5" s="39"/>
      <c r="C5" s="496"/>
      <c r="D5" s="496"/>
      <c r="E5" s="496"/>
      <c r="F5" s="42"/>
      <c r="G5" s="40" t="s">
        <v>260</v>
      </c>
      <c r="H5" s="497"/>
      <c r="I5" s="497"/>
      <c r="J5" s="497"/>
      <c r="K5" s="497"/>
    </row>
    <row r="6" spans="1:11" s="34" customFormat="1">
      <c r="A6" s="40" t="s">
        <v>261</v>
      </c>
      <c r="B6" s="46">
        <v>1</v>
      </c>
      <c r="C6" s="47" t="s">
        <v>262</v>
      </c>
      <c r="D6" s="48" t="s">
        <v>263</v>
      </c>
      <c r="E6" s="40" t="s">
        <v>264</v>
      </c>
      <c r="F6" s="482">
        <v>165.7</v>
      </c>
      <c r="G6" s="482"/>
      <c r="H6" s="483"/>
      <c r="I6" s="483"/>
      <c r="J6" s="484" t="s">
        <v>265</v>
      </c>
      <c r="K6" s="484"/>
    </row>
    <row r="7" spans="1:11" s="34" customFormat="1">
      <c r="A7" s="485" t="s">
        <v>266</v>
      </c>
      <c r="B7" s="485"/>
      <c r="C7" s="485"/>
      <c r="D7" s="485"/>
      <c r="E7" s="485"/>
      <c r="F7" s="485"/>
      <c r="G7" s="485"/>
      <c r="H7" s="485"/>
      <c r="I7" s="485"/>
      <c r="J7" s="485"/>
      <c r="K7" s="485"/>
    </row>
    <row r="8" spans="1:11" s="34" customFormat="1" ht="54">
      <c r="A8" s="49" t="s">
        <v>267</v>
      </c>
      <c r="B8" s="50" t="s">
        <v>268</v>
      </c>
      <c r="C8" s="51" t="s">
        <v>269</v>
      </c>
      <c r="D8" s="51" t="s">
        <v>270</v>
      </c>
      <c r="E8" s="49" t="s">
        <v>271</v>
      </c>
      <c r="F8" s="49" t="s">
        <v>272</v>
      </c>
      <c r="G8" s="50" t="s">
        <v>273</v>
      </c>
      <c r="H8" s="49" t="s">
        <v>274</v>
      </c>
      <c r="I8" s="49" t="s">
        <v>275</v>
      </c>
      <c r="J8" s="49" t="s">
        <v>276</v>
      </c>
      <c r="K8" s="49" t="s">
        <v>277</v>
      </c>
    </row>
    <row r="9" spans="1:11" s="34" customFormat="1">
      <c r="A9" s="476">
        <v>1</v>
      </c>
      <c r="B9" s="52" t="s">
        <v>100</v>
      </c>
      <c r="C9" s="53" t="s">
        <v>44</v>
      </c>
      <c r="D9" s="53" t="s">
        <v>38</v>
      </c>
      <c r="E9" s="53">
        <v>66000</v>
      </c>
      <c r="F9" s="54">
        <v>6000</v>
      </c>
      <c r="G9" s="54">
        <v>11</v>
      </c>
      <c r="H9" s="55">
        <f>0.59*F9/1000</f>
        <v>3.54</v>
      </c>
      <c r="I9" s="59">
        <v>6.5</v>
      </c>
      <c r="J9" s="55">
        <f>ROUND(H9*G9,2)</f>
        <v>38.94</v>
      </c>
      <c r="K9" s="55">
        <f>ROUND(G9*I9,2)</f>
        <v>71.5</v>
      </c>
    </row>
    <row r="10" spans="1:11" s="34" customFormat="1">
      <c r="A10" s="477"/>
      <c r="B10" s="52" t="s">
        <v>102</v>
      </c>
      <c r="C10" s="53" t="s">
        <v>44</v>
      </c>
      <c r="D10" s="53" t="s">
        <v>38</v>
      </c>
      <c r="E10" s="53">
        <v>1000</v>
      </c>
      <c r="F10" s="54">
        <v>1000</v>
      </c>
      <c r="G10" s="54">
        <v>1</v>
      </c>
      <c r="H10" s="55">
        <f>0.59*F10/1000</f>
        <v>0.59</v>
      </c>
      <c r="I10" s="59">
        <v>1.5</v>
      </c>
      <c r="J10" s="55">
        <f t="shared" ref="J10:J22" si="0">ROUND(H10*G10,2)</f>
        <v>0.59</v>
      </c>
      <c r="K10" s="55">
        <f t="shared" ref="K10:K22" si="1">ROUND(G10*I10,2)</f>
        <v>1.5</v>
      </c>
    </row>
    <row r="11" spans="1:11" s="34" customFormat="1">
      <c r="A11" s="477"/>
      <c r="B11" s="52" t="s">
        <v>104</v>
      </c>
      <c r="C11" s="53" t="s">
        <v>48</v>
      </c>
      <c r="D11" s="53" t="s">
        <v>47</v>
      </c>
      <c r="E11" s="53">
        <v>12000</v>
      </c>
      <c r="F11" s="54">
        <v>6000</v>
      </c>
      <c r="G11" s="54">
        <v>2</v>
      </c>
      <c r="H11" s="55">
        <f>0.62*F11/1000</f>
        <v>3.72</v>
      </c>
      <c r="I11" s="59">
        <v>6.3</v>
      </c>
      <c r="J11" s="55">
        <f t="shared" si="0"/>
        <v>7.44</v>
      </c>
      <c r="K11" s="55">
        <f t="shared" si="1"/>
        <v>12.6</v>
      </c>
    </row>
    <row r="12" spans="1:11" s="34" customFormat="1">
      <c r="A12" s="477"/>
      <c r="B12" s="52" t="s">
        <v>105</v>
      </c>
      <c r="C12" s="53" t="s">
        <v>52</v>
      </c>
      <c r="D12" s="53" t="s">
        <v>51</v>
      </c>
      <c r="E12" s="53">
        <v>6000</v>
      </c>
      <c r="F12" s="54">
        <v>6000</v>
      </c>
      <c r="G12" s="54">
        <v>1</v>
      </c>
      <c r="H12" s="55">
        <f>0.703*F12/1000</f>
        <v>4.218</v>
      </c>
      <c r="I12" s="59">
        <v>6.5</v>
      </c>
      <c r="J12" s="55">
        <f t="shared" si="0"/>
        <v>4.22</v>
      </c>
      <c r="K12" s="55">
        <f t="shared" si="1"/>
        <v>6.5</v>
      </c>
    </row>
    <row r="13" spans="1:11" s="34" customFormat="1">
      <c r="A13" s="477"/>
      <c r="B13" s="52" t="s">
        <v>106</v>
      </c>
      <c r="C13" s="53" t="s">
        <v>52</v>
      </c>
      <c r="D13" s="53" t="s">
        <v>51</v>
      </c>
      <c r="E13" s="53">
        <v>2000</v>
      </c>
      <c r="F13" s="54">
        <v>2000</v>
      </c>
      <c r="G13" s="54">
        <v>1</v>
      </c>
      <c r="H13" s="55">
        <f>0.703*F13/1000</f>
        <v>1.4059999999999999</v>
      </c>
      <c r="I13" s="59">
        <v>2.5</v>
      </c>
      <c r="J13" s="55">
        <f t="shared" si="0"/>
        <v>1.41</v>
      </c>
      <c r="K13" s="55">
        <f t="shared" si="1"/>
        <v>2.5</v>
      </c>
    </row>
    <row r="14" spans="1:11" s="34" customFormat="1">
      <c r="A14" s="477"/>
      <c r="B14" s="52" t="s">
        <v>107</v>
      </c>
      <c r="C14" s="53" t="s">
        <v>56</v>
      </c>
      <c r="D14" s="53" t="s">
        <v>55</v>
      </c>
      <c r="E14" s="53">
        <v>6000</v>
      </c>
      <c r="F14" s="54">
        <v>6000</v>
      </c>
      <c r="G14" s="54">
        <v>1</v>
      </c>
      <c r="H14" s="55">
        <f>0.22*F14/1000</f>
        <v>1.32</v>
      </c>
      <c r="I14" s="59">
        <v>3</v>
      </c>
      <c r="J14" s="55">
        <f t="shared" si="0"/>
        <v>1.32</v>
      </c>
      <c r="K14" s="55">
        <f t="shared" si="1"/>
        <v>3</v>
      </c>
    </row>
    <row r="15" spans="1:11" s="34" customFormat="1">
      <c r="A15" s="477"/>
      <c r="B15" s="478" t="s">
        <v>108</v>
      </c>
      <c r="C15" s="53" t="s">
        <v>60</v>
      </c>
      <c r="D15" s="53" t="s">
        <v>59</v>
      </c>
      <c r="E15" s="53">
        <v>1976</v>
      </c>
      <c r="F15" s="476">
        <v>1280</v>
      </c>
      <c r="G15" s="476">
        <v>5</v>
      </c>
      <c r="H15" s="55">
        <f>2.23*E15/1000</f>
        <v>4.4064799999999993</v>
      </c>
      <c r="I15" s="489">
        <v>3.5</v>
      </c>
      <c r="J15" s="492">
        <f>ROUND(H15+H16,2)</f>
        <v>14.27</v>
      </c>
      <c r="K15" s="492">
        <f t="shared" si="1"/>
        <v>17.5</v>
      </c>
    </row>
    <row r="16" spans="1:11" s="34" customFormat="1">
      <c r="A16" s="477"/>
      <c r="B16" s="479"/>
      <c r="C16" s="53" t="s">
        <v>60</v>
      </c>
      <c r="D16" s="53" t="s">
        <v>59</v>
      </c>
      <c r="E16" s="53">
        <v>4424</v>
      </c>
      <c r="F16" s="481"/>
      <c r="G16" s="481"/>
      <c r="H16" s="55">
        <f>2.23*E16/1000</f>
        <v>9.8655200000000001</v>
      </c>
      <c r="I16" s="490"/>
      <c r="J16" s="493"/>
      <c r="K16" s="493"/>
    </row>
    <row r="17" spans="1:11" s="34" customFormat="1">
      <c r="A17" s="477"/>
      <c r="B17" s="52" t="s">
        <v>278</v>
      </c>
      <c r="C17" s="53" t="s">
        <v>60</v>
      </c>
      <c r="D17" s="53" t="s">
        <v>59</v>
      </c>
      <c r="E17" s="53">
        <v>512</v>
      </c>
      <c r="F17" s="54">
        <v>512</v>
      </c>
      <c r="G17" s="54">
        <v>1</v>
      </c>
      <c r="H17" s="55">
        <f>2.23*E17/1000</f>
        <v>1.1417599999999999</v>
      </c>
      <c r="I17" s="59">
        <v>1.7</v>
      </c>
      <c r="J17" s="55">
        <f t="shared" si="0"/>
        <v>1.1399999999999999</v>
      </c>
      <c r="K17" s="55">
        <f t="shared" si="1"/>
        <v>1.7</v>
      </c>
    </row>
    <row r="18" spans="1:11" s="34" customFormat="1">
      <c r="A18" s="477"/>
      <c r="B18" s="478" t="s">
        <v>109</v>
      </c>
      <c r="C18" s="53" t="s">
        <v>65</v>
      </c>
      <c r="D18" s="53" t="s">
        <v>64</v>
      </c>
      <c r="E18" s="53">
        <v>286</v>
      </c>
      <c r="F18" s="476">
        <v>1430</v>
      </c>
      <c r="G18" s="476">
        <v>10</v>
      </c>
      <c r="H18" s="55">
        <f>2.36*E18/1000</f>
        <v>0.67495999999999989</v>
      </c>
      <c r="I18" s="489">
        <v>4</v>
      </c>
      <c r="J18" s="492">
        <f>ROUND(H18+H19+H20+H21,2)</f>
        <v>33.75</v>
      </c>
      <c r="K18" s="492">
        <f t="shared" si="1"/>
        <v>40</v>
      </c>
    </row>
    <row r="19" spans="1:11" s="34" customFormat="1">
      <c r="A19" s="477"/>
      <c r="B19" s="480"/>
      <c r="C19" s="53" t="s">
        <v>65</v>
      </c>
      <c r="D19" s="53" t="s">
        <v>64</v>
      </c>
      <c r="E19" s="53">
        <v>3432</v>
      </c>
      <c r="F19" s="477"/>
      <c r="G19" s="477"/>
      <c r="H19" s="55">
        <f>2.36*E19/1000</f>
        <v>8.0995200000000001</v>
      </c>
      <c r="I19" s="491"/>
      <c r="J19" s="494"/>
      <c r="K19" s="494"/>
    </row>
    <row r="20" spans="1:11" s="34" customFormat="1">
      <c r="A20" s="477"/>
      <c r="B20" s="480"/>
      <c r="C20" s="53" t="s">
        <v>65</v>
      </c>
      <c r="D20" s="53" t="s">
        <v>64</v>
      </c>
      <c r="E20" s="53">
        <v>4576</v>
      </c>
      <c r="F20" s="477"/>
      <c r="G20" s="477"/>
      <c r="H20" s="55">
        <f>2.36*E20/1000</f>
        <v>10.799359999999998</v>
      </c>
      <c r="I20" s="491"/>
      <c r="J20" s="494"/>
      <c r="K20" s="494"/>
    </row>
    <row r="21" spans="1:11" s="34" customFormat="1">
      <c r="A21" s="477"/>
      <c r="B21" s="479"/>
      <c r="C21" s="53" t="s">
        <v>65</v>
      </c>
      <c r="D21" s="53" t="s">
        <v>64</v>
      </c>
      <c r="E21" s="53">
        <v>6006</v>
      </c>
      <c r="F21" s="481"/>
      <c r="G21" s="481"/>
      <c r="H21" s="55">
        <f>2.36*E21/1000</f>
        <v>14.174160000000001</v>
      </c>
      <c r="I21" s="490"/>
      <c r="J21" s="493"/>
      <c r="K21" s="493"/>
    </row>
    <row r="22" spans="1:11" s="34" customFormat="1">
      <c r="A22" s="477"/>
      <c r="B22" s="52" t="s">
        <v>279</v>
      </c>
      <c r="C22" s="53" t="s">
        <v>65</v>
      </c>
      <c r="D22" s="53" t="s">
        <v>64</v>
      </c>
      <c r="E22" s="53">
        <v>1144</v>
      </c>
      <c r="F22" s="54">
        <v>1144</v>
      </c>
      <c r="G22" s="54">
        <v>1</v>
      </c>
      <c r="H22" s="55">
        <f>2.36*E22/1000</f>
        <v>2.6998399999999996</v>
      </c>
      <c r="I22" s="59">
        <v>3.4</v>
      </c>
      <c r="J22" s="55">
        <f t="shared" si="0"/>
        <v>2.7</v>
      </c>
      <c r="K22" s="55">
        <f t="shared" si="1"/>
        <v>3.4</v>
      </c>
    </row>
    <row r="23" spans="1:11" s="35" customFormat="1">
      <c r="A23" s="52"/>
      <c r="B23" s="486" t="s">
        <v>280</v>
      </c>
      <c r="C23" s="487"/>
      <c r="D23" s="488"/>
      <c r="E23" s="56"/>
      <c r="F23" s="57"/>
      <c r="G23" s="57"/>
      <c r="H23" s="55"/>
      <c r="I23" s="59"/>
      <c r="J23" s="55"/>
      <c r="K23" s="55">
        <v>5.5</v>
      </c>
    </row>
    <row r="24" spans="1:11" s="34" customFormat="1">
      <c r="A24" s="52"/>
      <c r="B24" s="473"/>
      <c r="C24" s="474"/>
      <c r="D24" s="475"/>
      <c r="E24" s="57">
        <f>SUM(E9:E23)</f>
        <v>115356</v>
      </c>
      <c r="F24" s="57"/>
      <c r="G24" s="57">
        <f>SUM(G9:G23)</f>
        <v>34</v>
      </c>
      <c r="H24" s="58">
        <f>SUM(H9:H23)</f>
        <v>66.655599999999993</v>
      </c>
      <c r="I24" s="58">
        <f>SUM(I9:I23)</f>
        <v>38.9</v>
      </c>
      <c r="J24" s="58">
        <f>SUM(J9:J23)</f>
        <v>105.78</v>
      </c>
      <c r="K24" s="58">
        <f>SUM(K9:K23)</f>
        <v>165.70000000000002</v>
      </c>
    </row>
  </sheetData>
  <mergeCells count="31">
    <mergeCell ref="A1:K1"/>
    <mergeCell ref="A2:B2"/>
    <mergeCell ref="H2:I2"/>
    <mergeCell ref="J2:K2"/>
    <mergeCell ref="A3:B3"/>
    <mergeCell ref="H3:I3"/>
    <mergeCell ref="J3:K3"/>
    <mergeCell ref="H4:I4"/>
    <mergeCell ref="J4:K4"/>
    <mergeCell ref="C5:E5"/>
    <mergeCell ref="H5:I5"/>
    <mergeCell ref="J5:K5"/>
    <mergeCell ref="F6:G6"/>
    <mergeCell ref="H6:I6"/>
    <mergeCell ref="J6:K6"/>
    <mergeCell ref="A7:K7"/>
    <mergeCell ref="B23:D23"/>
    <mergeCell ref="G15:G16"/>
    <mergeCell ref="G18:G21"/>
    <mergeCell ref="I15:I16"/>
    <mergeCell ref="I18:I21"/>
    <mergeCell ref="J15:J16"/>
    <mergeCell ref="J18:J21"/>
    <mergeCell ref="K15:K16"/>
    <mergeCell ref="K18:K21"/>
    <mergeCell ref="B24:D24"/>
    <mergeCell ref="A9:A22"/>
    <mergeCell ref="B15:B16"/>
    <mergeCell ref="B18:B21"/>
    <mergeCell ref="F15:F16"/>
    <mergeCell ref="F18:F21"/>
  </mergeCells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"/>
  <sheetViews>
    <sheetView topLeftCell="A4" workbookViewId="0">
      <selection activeCell="L16" sqref="L16"/>
    </sheetView>
  </sheetViews>
  <sheetFormatPr defaultColWidth="9" defaultRowHeight="26.25" customHeight="1"/>
  <cols>
    <col min="2" max="2" width="18" customWidth="1"/>
    <col min="4" max="4" width="5.42578125" customWidth="1"/>
    <col min="5" max="5" width="13.85546875" customWidth="1"/>
    <col min="6" max="6" width="12.42578125" customWidth="1"/>
    <col min="7" max="7" width="18.140625" customWidth="1"/>
  </cols>
  <sheetData>
    <row r="1" spans="1:8" ht="26.25" customHeight="1">
      <c r="A1" s="512" t="s">
        <v>251</v>
      </c>
      <c r="B1" s="512"/>
      <c r="C1" s="512"/>
      <c r="D1" s="512"/>
      <c r="E1" s="512"/>
      <c r="F1" s="512"/>
      <c r="G1" s="512"/>
    </row>
    <row r="2" spans="1:8" ht="26.25" customHeight="1">
      <c r="A2" s="513" t="s">
        <v>281</v>
      </c>
      <c r="B2" s="513"/>
      <c r="C2" s="513"/>
      <c r="D2" s="513"/>
      <c r="E2" s="513"/>
      <c r="F2" s="513"/>
      <c r="G2" s="513"/>
    </row>
    <row r="3" spans="1:8" ht="26.25" customHeight="1">
      <c r="A3" s="514" t="s">
        <v>282</v>
      </c>
      <c r="B3" s="515"/>
      <c r="C3" s="515"/>
      <c r="D3" s="515"/>
      <c r="E3" s="515"/>
      <c r="F3" s="515"/>
      <c r="G3" s="515"/>
    </row>
    <row r="4" spans="1:8" ht="26.25" customHeight="1">
      <c r="A4" s="516" t="s">
        <v>283</v>
      </c>
      <c r="B4" s="516"/>
      <c r="C4" s="516"/>
      <c r="D4" s="516"/>
      <c r="E4" s="516"/>
      <c r="F4" s="516"/>
      <c r="G4" s="516"/>
    </row>
    <row r="5" spans="1:8" ht="26.25" customHeight="1">
      <c r="A5" s="517" t="s">
        <v>284</v>
      </c>
      <c r="B5" s="517"/>
      <c r="C5" s="517"/>
      <c r="D5" s="517"/>
      <c r="E5" s="517"/>
      <c r="F5" s="517"/>
      <c r="G5" s="517"/>
    </row>
    <row r="6" spans="1:8" ht="26.25" customHeight="1">
      <c r="A6" s="506" t="s">
        <v>0</v>
      </c>
      <c r="B6" s="506"/>
      <c r="C6" s="506"/>
      <c r="D6" s="506"/>
      <c r="E6" s="506"/>
      <c r="F6" s="506"/>
      <c r="G6" s="506"/>
    </row>
    <row r="7" spans="1:8" ht="26.25" customHeight="1">
      <c r="A7" s="1"/>
      <c r="B7" s="1"/>
      <c r="C7" s="1"/>
      <c r="D7" s="1"/>
      <c r="E7" s="1"/>
      <c r="F7" s="1"/>
      <c r="G7" s="1"/>
    </row>
    <row r="8" spans="1:8" ht="26.25" customHeight="1">
      <c r="A8" s="2"/>
      <c r="B8" s="3"/>
      <c r="C8" s="3"/>
      <c r="D8" s="4"/>
      <c r="E8" s="5"/>
      <c r="F8" s="6" t="s">
        <v>285</v>
      </c>
      <c r="G8" s="4" t="str">
        <f>INVOICE!E3</f>
        <v>TW-17546</v>
      </c>
    </row>
    <row r="9" spans="1:8" ht="26.25" customHeight="1">
      <c r="A9" s="7"/>
      <c r="B9" s="8"/>
      <c r="C9" s="8"/>
      <c r="D9" s="9"/>
      <c r="E9" s="4"/>
      <c r="F9" s="8"/>
      <c r="G9" s="4"/>
    </row>
    <row r="10" spans="1:8" ht="26.25" customHeight="1">
      <c r="A10" s="507" t="s">
        <v>286</v>
      </c>
      <c r="B10" s="507"/>
      <c r="C10" s="507"/>
      <c r="D10" s="507"/>
      <c r="E10" s="508" t="s">
        <v>287</v>
      </c>
      <c r="F10" s="508"/>
      <c r="G10" s="508"/>
    </row>
    <row r="11" spans="1:8" ht="26.25" customHeight="1">
      <c r="A11" s="6" t="s">
        <v>288</v>
      </c>
      <c r="B11" s="10"/>
      <c r="C11" s="10"/>
      <c r="D11" s="4"/>
      <c r="E11" s="6" t="s">
        <v>289</v>
      </c>
      <c r="F11" s="11" t="str">
        <f>G8</f>
        <v>TW-17546</v>
      </c>
      <c r="G11" s="11"/>
    </row>
    <row r="12" spans="1:8" ht="26.25" customHeight="1">
      <c r="A12" s="6" t="s">
        <v>290</v>
      </c>
      <c r="B12" s="2"/>
      <c r="C12" s="12"/>
      <c r="D12" s="13"/>
      <c r="E12" s="6" t="s">
        <v>291</v>
      </c>
      <c r="F12" s="5"/>
      <c r="G12" s="14"/>
    </row>
    <row r="13" spans="1:8" ht="26.25" customHeight="1">
      <c r="A13" s="6" t="s">
        <v>292</v>
      </c>
      <c r="B13" s="5"/>
      <c r="C13" s="12"/>
      <c r="D13" s="13"/>
      <c r="E13" s="5"/>
      <c r="F13" s="12"/>
      <c r="G13" s="14"/>
    </row>
    <row r="14" spans="1:8" ht="26.25" customHeight="1">
      <c r="A14" s="7"/>
      <c r="B14" s="7"/>
      <c r="C14" s="7"/>
      <c r="D14" s="7"/>
      <c r="E14" s="7"/>
      <c r="F14" s="7"/>
      <c r="G14" s="7"/>
    </row>
    <row r="15" spans="1:8" ht="42.75" customHeight="1">
      <c r="A15" s="15" t="s">
        <v>293</v>
      </c>
      <c r="B15" s="16" t="s">
        <v>294</v>
      </c>
      <c r="C15" s="509" t="s">
        <v>295</v>
      </c>
      <c r="D15" s="509"/>
      <c r="E15" s="16" t="s">
        <v>296</v>
      </c>
      <c r="F15" s="16" t="s">
        <v>297</v>
      </c>
      <c r="G15" s="17" t="s">
        <v>298</v>
      </c>
    </row>
    <row r="16" spans="1:8" ht="42.75" customHeight="1">
      <c r="A16" s="18">
        <v>1</v>
      </c>
      <c r="B16" s="19">
        <v>85045000</v>
      </c>
      <c r="C16" s="510" t="s">
        <v>170</v>
      </c>
      <c r="D16" s="511"/>
      <c r="E16" s="20">
        <f>E18-E17</f>
        <v>93000</v>
      </c>
      <c r="F16" s="21">
        <f>G16/E16</f>
        <v>1.5729032258064515E-2</v>
      </c>
      <c r="G16" s="22">
        <v>1462.8</v>
      </c>
      <c r="H16" s="23"/>
    </row>
    <row r="17" spans="1:8" ht="42.75" customHeight="1">
      <c r="A17" s="24">
        <v>2</v>
      </c>
      <c r="B17" s="25">
        <v>8548000001</v>
      </c>
      <c r="C17" s="465" t="s">
        <v>173</v>
      </c>
      <c r="D17" s="465"/>
      <c r="E17" s="27">
        <v>22356</v>
      </c>
      <c r="F17" s="21">
        <f>G17/E17</f>
        <v>0.16921229200214707</v>
      </c>
      <c r="G17" s="28">
        <v>3782.91</v>
      </c>
      <c r="H17" s="23"/>
    </row>
    <row r="18" spans="1:8" ht="26.25" customHeight="1">
      <c r="A18" s="29" t="s">
        <v>299</v>
      </c>
      <c r="B18" s="19"/>
      <c r="C18" s="503"/>
      <c r="D18" s="503"/>
      <c r="E18" s="30">
        <f>INVOICE!E34</f>
        <v>115356</v>
      </c>
      <c r="F18" s="31"/>
      <c r="G18" s="32">
        <f>SUM(G16:G17)</f>
        <v>5245.71</v>
      </c>
    </row>
    <row r="19" spans="1:8" ht="26.25" customHeight="1">
      <c r="A19" s="33"/>
      <c r="B19" s="33"/>
      <c r="C19" s="33"/>
      <c r="D19" s="504" t="s">
        <v>300</v>
      </c>
      <c r="E19" s="504"/>
      <c r="F19" s="504"/>
      <c r="G19" s="504"/>
    </row>
    <row r="20" spans="1:8" ht="26.25" customHeight="1">
      <c r="A20" s="33"/>
      <c r="B20" s="33"/>
      <c r="C20" s="33"/>
      <c r="D20" s="505">
        <v>45884</v>
      </c>
      <c r="E20" s="505"/>
      <c r="F20" s="505"/>
      <c r="G20" s="505"/>
    </row>
  </sheetData>
  <mergeCells count="14">
    <mergeCell ref="A1:G1"/>
    <mergeCell ref="A2:G2"/>
    <mergeCell ref="A3:G3"/>
    <mergeCell ref="A4:G4"/>
    <mergeCell ref="A5:G5"/>
    <mergeCell ref="C17:D17"/>
    <mergeCell ref="C18:D18"/>
    <mergeCell ref="D19:G19"/>
    <mergeCell ref="D20:G20"/>
    <mergeCell ref="A6:G6"/>
    <mergeCell ref="A10:D10"/>
    <mergeCell ref="E10:G10"/>
    <mergeCell ref="C15:D15"/>
    <mergeCell ref="C16:D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具名範圍</vt:lpstr>
      </vt:variant>
      <vt:variant>
        <vt:i4>4</vt:i4>
      </vt:variant>
    </vt:vector>
  </HeadingPairs>
  <TitlesOfParts>
    <vt:vector size="10" baseType="lpstr">
      <vt:lpstr>INVOICE</vt:lpstr>
      <vt:lpstr>PACKING</vt:lpstr>
      <vt:lpstr>報關單</vt:lpstr>
      <vt:lpstr>銷售合同</vt:lpstr>
      <vt:lpstr>裝箱明細</vt:lpstr>
      <vt:lpstr>發票</vt:lpstr>
      <vt:lpstr>INVOICE!Print_Area</vt:lpstr>
      <vt:lpstr>PACKING!Print_Area</vt:lpstr>
      <vt:lpstr>INVOICE!Print_Titles</vt:lpstr>
      <vt:lpstr>PACKING!Print_Titles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D000208</dc:creator>
  <cp:keywords/>
  <dc:description/>
  <cp:lastModifiedBy>Alex Liou</cp:lastModifiedBy>
  <cp:revision/>
  <dcterms:created xsi:type="dcterms:W3CDTF">2025-07-17T08:11:00Z</dcterms:created>
  <dcterms:modified xsi:type="dcterms:W3CDTF">2025-09-11T06:07:59Z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405EDDA453444C6DA6D29C0547ACF2F9</vt:lpwstr>
  </property>
  <property fmtid="{D5CDD505-2E9C-101B-9397-08002B2CF9AE}" pid="3" name="KSOProductBuildVer">
    <vt:lpwstr>2052-11.8.2.12118</vt:lpwstr>
  </property>
</Properties>
</file>