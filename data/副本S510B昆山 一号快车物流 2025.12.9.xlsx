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7766\Desktop\510资料存放\出货\"/>
    </mc:Choice>
  </mc:AlternateContent>
  <xr:revisionPtr revIDLastSave="0" documentId="13_ncr:1_{4A41DCEF-9F82-47E2-ADA4-534CC3A9F8A5}" xr6:coauthVersionLast="47" xr6:coauthVersionMax="47" xr10:uidLastSave="{00000000-0000-0000-0000-000000000000}"/>
  <bookViews>
    <workbookView xWindow="0" yWindow="0" windowWidth="20496" windowHeight="7860" xr2:uid="{00000000-000D-0000-FFFF-FFFF00000000}"/>
  </bookViews>
  <sheets>
    <sheet name="INVOICE" sheetId="1" r:id="rId1"/>
    <sheet name="PACKING" sheetId="2" r:id="rId2"/>
  </sheets>
  <definedNames>
    <definedName name="_xlnm._FilterDatabase" localSheetId="0" hidden="1">INVOICE!$A$18:$P$49</definedName>
    <definedName name="_xlnm._FilterDatabase" localSheetId="1" hidden="1">PACKING!$A$20:$K$79</definedName>
    <definedName name="_xlnm.Print_Area" localSheetId="1">PACKING!$A$1:$J$80</definedName>
    <definedName name="_xlnm.Print_Titles" localSheetId="1">PACKING!$1:$20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7" i="2" l="1"/>
  <c r="I76" i="2"/>
  <c r="I77" i="2" s="1"/>
  <c r="F66" i="1" l="1"/>
  <c r="E66" i="1"/>
  <c r="D66" i="1"/>
  <c r="C66" i="1"/>
  <c r="G66" i="1"/>
  <c r="O49" i="1"/>
  <c r="E49" i="1"/>
  <c r="I33" i="1" l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49" i="1" l="1"/>
  <c r="F77" i="2"/>
  <c r="E92" i="2"/>
  <c r="D92" i="2"/>
  <c r="C92" i="2"/>
  <c r="B92" i="2"/>
  <c r="F92" i="2"/>
  <c r="A77" i="2"/>
  <c r="F4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D000208</author>
    <author>VGT0088</author>
  </authors>
  <commentList>
    <comment ref="K18" authorId="0" shapeId="0" xr:uid="{00000000-0006-0000-0000-000001000000}">
      <text>
        <r>
          <rPr>
            <sz val="14"/>
            <rFont val="宋体"/>
            <family val="3"/>
            <charset val="134"/>
          </rPr>
          <t>不填</t>
        </r>
      </text>
    </comment>
    <comment ref="O18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VGT0088: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净重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VGT0088</author>
  </authors>
  <commentList>
    <comment ref="A19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VGT0088:
</t>
        </r>
        <r>
          <rPr>
            <b/>
            <sz val="9"/>
            <color indexed="81"/>
            <rFont val="宋体"/>
            <family val="3"/>
            <charset val="134"/>
          </rPr>
          <t>箱数</t>
        </r>
      </text>
    </comment>
    <comment ref="F79" authorId="0" shapeId="0" xr:uid="{AA4AE183-C1D0-4BC8-95BC-F29334543FE1}">
      <text>
        <r>
          <rPr>
            <b/>
            <sz val="9"/>
            <color indexed="81"/>
            <rFont val="Tahoma"/>
            <family val="2"/>
          </rPr>
          <t>VGT0088: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托盘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散货</t>
        </r>
      </text>
    </comment>
    <comment ref="F80" authorId="0" shapeId="0" xr:uid="{85E3F2C1-4D70-4D15-80D4-02A32AF7BB53}">
      <text>
        <r>
          <rPr>
            <b/>
            <sz val="9"/>
            <color indexed="81"/>
            <rFont val="Tahoma"/>
            <family val="2"/>
          </rPr>
          <t>VGT0088: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按实际包装更改，
散货填写：纸箱
托盘填写：再生木托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宋体"/>
            <family val="3"/>
            <charset val="134"/>
          </rPr>
          <t>纸箱</t>
        </r>
      </text>
    </comment>
  </commentList>
</comments>
</file>

<file path=xl/sharedStrings.xml><?xml version="1.0" encoding="utf-8"?>
<sst xmlns="http://schemas.openxmlformats.org/spreadsheetml/2006/main" count="601" uniqueCount="103">
  <si>
    <t>COMMERCIAL INVOICE</t>
  </si>
  <si>
    <t>Shipper/Exporter</t>
  </si>
  <si>
    <t>No. &amp; Date of Invoice</t>
  </si>
  <si>
    <t>HongXing International Technology Limited</t>
    <phoneticPr fontId="15" type="noConversion"/>
  </si>
  <si>
    <t>S510B2512090102</t>
    <phoneticPr fontId="15" type="noConversion"/>
  </si>
  <si>
    <t>HANGCHENG TECHNOLOGY AREA, XINQIAO VILLAGE, DANSHUI TOWN, HUIYANG AREA, HUIZHOU CITY,GUANGDONG PROVINCE,CHINA</t>
    <phoneticPr fontId="15" type="noConversion"/>
  </si>
  <si>
    <t>Bill To:</t>
    <phoneticPr fontId="15" type="noConversion"/>
  </si>
  <si>
    <t xml:space="preserve"> Payment Term</t>
    <phoneticPr fontId="15" type="noConversion"/>
  </si>
  <si>
    <t>中磊電子（蘇州）有限公司</t>
    <phoneticPr fontId="15" type="noConversion"/>
  </si>
  <si>
    <r>
      <rPr>
        <sz val="10"/>
        <rFont val="宋体"/>
        <family val="3"/>
        <charset val="134"/>
      </rPr>
      <t>月结</t>
    </r>
    <r>
      <rPr>
        <sz val="10"/>
        <rFont val="Arial"/>
        <family val="2"/>
      </rPr>
      <t>60</t>
    </r>
    <r>
      <rPr>
        <sz val="10"/>
        <rFont val="宋体"/>
        <family val="3"/>
        <charset val="134"/>
      </rPr>
      <t>天</t>
    </r>
    <r>
      <rPr>
        <sz val="10"/>
        <rFont val="Arial"/>
        <family val="2"/>
      </rPr>
      <t>+</t>
    </r>
    <r>
      <rPr>
        <sz val="10"/>
        <rFont val="宋体"/>
        <family val="3"/>
        <charset val="134"/>
      </rPr>
      <t>四个月贴息</t>
    </r>
    <phoneticPr fontId="15" type="noConversion"/>
  </si>
  <si>
    <t>No.8,Tangzhuang Road, Suzhou Industrial Park, Jiangsu, China</t>
    <phoneticPr fontId="15" type="noConversion"/>
  </si>
  <si>
    <t>Ship To:</t>
    <phoneticPr fontId="15" type="noConversion"/>
  </si>
  <si>
    <t>Trade Term</t>
    <phoneticPr fontId="15" type="noConversion"/>
  </si>
  <si>
    <r>
      <t xml:space="preserve">DDU </t>
    </r>
    <r>
      <rPr>
        <sz val="10"/>
        <rFont val="宋体"/>
        <family val="3"/>
        <charset val="134"/>
      </rPr>
      <t>昆山</t>
    </r>
    <phoneticPr fontId="15" type="noConversion"/>
  </si>
  <si>
    <t>Port of Loading</t>
    <phoneticPr fontId="15" type="noConversion"/>
  </si>
  <si>
    <t>Port of Discharge</t>
  </si>
  <si>
    <t xml:space="preserve"> Remarks:</t>
    <phoneticPr fontId="15" type="noConversion"/>
  </si>
  <si>
    <t>Carrier</t>
  </si>
  <si>
    <t>Sailing on/or About</t>
  </si>
  <si>
    <t>贸易国：</t>
  </si>
  <si>
    <t>中国</t>
    <phoneticPr fontId="15" type="noConversion"/>
  </si>
  <si>
    <t>ITEM</t>
  </si>
  <si>
    <t>Part No.</t>
    <phoneticPr fontId="15" type="noConversion"/>
  </si>
  <si>
    <t>PO No.</t>
    <phoneticPr fontId="15" type="noConversion"/>
  </si>
  <si>
    <t>Description of Goods</t>
  </si>
  <si>
    <t>Quantity</t>
  </si>
  <si>
    <t>Unit</t>
  </si>
  <si>
    <t>Unit Price</t>
  </si>
  <si>
    <t>Currency</t>
  </si>
  <si>
    <r>
      <t>Amount</t>
    </r>
    <r>
      <rPr>
        <b/>
        <sz val="10"/>
        <rFont val="宋体"/>
        <family val="3"/>
        <charset val="134"/>
      </rPr>
      <t>（</t>
    </r>
    <r>
      <rPr>
        <b/>
        <sz val="10"/>
        <rFont val="Arial"/>
        <family val="2"/>
      </rPr>
      <t>USD</t>
    </r>
    <r>
      <rPr>
        <b/>
        <sz val="10"/>
        <rFont val="宋体"/>
        <family val="3"/>
        <charset val="134"/>
      </rPr>
      <t>）</t>
    </r>
    <phoneticPr fontId="15" type="noConversion"/>
  </si>
  <si>
    <t>COO</t>
  </si>
  <si>
    <t>COD</t>
  </si>
  <si>
    <t>品牌</t>
  </si>
  <si>
    <t>品牌类型</t>
  </si>
  <si>
    <t>型号</t>
  </si>
  <si>
    <t>Net WT(KGS)</t>
    <phoneticPr fontId="15" type="noConversion"/>
  </si>
  <si>
    <t>报关序号</t>
    <phoneticPr fontId="15" type="noConversion"/>
  </si>
  <si>
    <t>490DP420</t>
  </si>
  <si>
    <t>空白印刷电路板</t>
  </si>
  <si>
    <t>PCS</t>
  </si>
  <si>
    <t>USD</t>
  </si>
  <si>
    <t>China</t>
  </si>
  <si>
    <t>胜宏科技</t>
  </si>
  <si>
    <t>境内自主品牌</t>
  </si>
  <si>
    <t>无</t>
  </si>
  <si>
    <t>490CHC00</t>
  </si>
  <si>
    <t>2250803691</t>
  </si>
  <si>
    <t>2251000378</t>
  </si>
  <si>
    <t>490CX100</t>
  </si>
  <si>
    <t>2250703376</t>
  </si>
  <si>
    <t>2250802632</t>
  </si>
  <si>
    <t>490DL710</t>
  </si>
  <si>
    <t>2251000750</t>
  </si>
  <si>
    <t>2251001157</t>
  </si>
  <si>
    <t>2251101377</t>
  </si>
  <si>
    <t>490EEL00</t>
  </si>
  <si>
    <t>2250901487</t>
  </si>
  <si>
    <t>490EC100N0</t>
  </si>
  <si>
    <t>2251103204</t>
  </si>
  <si>
    <t>490CHC00S0</t>
  </si>
  <si>
    <t>2250802827</t>
  </si>
  <si>
    <t>490DG910</t>
  </si>
  <si>
    <t>2250901101</t>
  </si>
  <si>
    <t>2251003003</t>
  </si>
  <si>
    <t>490EAW00</t>
  </si>
  <si>
    <t>2251100055</t>
  </si>
  <si>
    <t>490DB910S0</t>
  </si>
  <si>
    <t>490EB600</t>
  </si>
  <si>
    <t>2251001339</t>
  </si>
  <si>
    <t>2251100904</t>
  </si>
  <si>
    <t>490DYC00</t>
  </si>
  <si>
    <t>2250900502</t>
  </si>
  <si>
    <t xml:space="preserve">                  TOTAL</t>
  </si>
  <si>
    <t>进境口岸关别代码   2369</t>
  </si>
  <si>
    <t>申报地口岸关别代码  2369</t>
  </si>
  <si>
    <t>报关行名称及代码 昆山天马报关 3223980034</t>
  </si>
  <si>
    <t>关联手册(账册）编号 T2369W000174</t>
  </si>
  <si>
    <t>贸易国 中国</t>
  </si>
  <si>
    <t>原产国  中国</t>
  </si>
  <si>
    <t>运输方式 保税港区</t>
  </si>
  <si>
    <t>报关单位：块</t>
  </si>
  <si>
    <t>PACKING LIST</t>
  </si>
  <si>
    <t>No &amp; Date of Invoice</t>
  </si>
  <si>
    <t>Remarks:</t>
  </si>
  <si>
    <t>Port of Departure</t>
  </si>
  <si>
    <t>Port of Arrival</t>
  </si>
  <si>
    <t>CTNS</t>
  </si>
  <si>
    <t>PO No.</t>
  </si>
  <si>
    <t>Part No.</t>
  </si>
  <si>
    <t>Net WT</t>
  </si>
  <si>
    <t>Gross WT</t>
  </si>
  <si>
    <t>MEASUREMENT  L*W*H(CM)</t>
    <phoneticPr fontId="15" type="noConversion"/>
  </si>
  <si>
    <t>KGS</t>
  </si>
  <si>
    <t>40*30*16</t>
    <phoneticPr fontId="15" type="noConversion"/>
  </si>
  <si>
    <t>12PLT</t>
    <phoneticPr fontId="15" type="noConversion"/>
  </si>
  <si>
    <t>PLT(KG):</t>
    <phoneticPr fontId="15" type="noConversion"/>
  </si>
  <si>
    <t>TOTAL</t>
  </si>
  <si>
    <t>11.136m³</t>
    <phoneticPr fontId="15" type="noConversion"/>
  </si>
  <si>
    <t>件数</t>
    <phoneticPr fontId="15" type="noConversion"/>
  </si>
  <si>
    <t>包装种类</t>
    <phoneticPr fontId="15" type="noConversion"/>
  </si>
  <si>
    <t>托盘</t>
    <phoneticPr fontId="15" type="noConversion"/>
  </si>
  <si>
    <t>包装材质</t>
    <phoneticPr fontId="15" type="noConversion"/>
  </si>
  <si>
    <t>再生木托/纸箱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</si>
</sst>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0.0000_);[Red]\(0.0000\)"/>
    <numFmt numFmtId="177" formatCode="0.00_ "/>
    <numFmt numFmtId="178" formatCode="yyyy/m/d;@"/>
    <numFmt numFmtId="179" formatCode="0_ "/>
    <numFmt numFmtId="180" formatCode="0.000_ "/>
    <numFmt numFmtId="181" formatCode="0.00_);[Red]\(0.00\)"/>
    <numFmt numFmtId="182" formatCode="#,##0.00_ "/>
    <numFmt numFmtId="183" formatCode="0.000"/>
  </numFmts>
  <fonts count="22">
    <font>
      <sz val="11"/>
      <color theme="1"/>
      <name val="宋体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sz val="10"/>
      <name val="微软雅黑"/>
      <family val="2"/>
      <charset val="134"/>
    </font>
    <font>
      <sz val="10"/>
      <color rgb="FFFF0000"/>
      <name val="Arial"/>
      <family val="2"/>
    </font>
    <font>
      <sz val="10"/>
      <name val="新細明體"/>
      <charset val="136"/>
    </font>
    <font>
      <b/>
      <sz val="10"/>
      <name val="宋体"/>
      <family val="3"/>
      <charset val="134"/>
    </font>
    <font>
      <b/>
      <sz val="10"/>
      <name val="新細明體"/>
      <charset val="136"/>
    </font>
    <font>
      <sz val="18"/>
      <color theme="1"/>
      <name val="宋体"/>
      <family val="3"/>
      <charset val="134"/>
      <scheme val="minor"/>
    </font>
    <font>
      <b/>
      <sz val="18"/>
      <name val="Arial"/>
      <family val="2"/>
    </font>
    <font>
      <sz val="10"/>
      <color indexed="12"/>
      <name val="新細明體"/>
      <charset val="136"/>
    </font>
    <font>
      <sz val="12"/>
      <name val="宋体"/>
      <family val="3"/>
      <charset val="134"/>
    </font>
    <font>
      <sz val="14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2"/>
      <color rgb="FF000000"/>
      <name val="SimSun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3" fillId="0" borderId="0"/>
    <xf numFmtId="0" fontId="13" fillId="0" borderId="0"/>
    <xf numFmtId="0" fontId="13" fillId="0" borderId="0"/>
  </cellStyleXfs>
  <cellXfs count="187">
    <xf numFmtId="0" fontId="0" fillId="0" borderId="0" xfId="0">
      <alignment vertical="center"/>
    </xf>
    <xf numFmtId="0" fontId="1" fillId="2" borderId="1" xfId="1" applyFont="1" applyFill="1" applyBorder="1"/>
    <xf numFmtId="0" fontId="1" fillId="2" borderId="2" xfId="1" applyFont="1" applyFill="1" applyBorder="1"/>
    <xf numFmtId="0" fontId="2" fillId="0" borderId="2" xfId="1" applyFont="1" applyBorder="1"/>
    <xf numFmtId="0" fontId="3" fillId="0" borderId="4" xfId="1" applyFont="1" applyBorder="1"/>
    <xf numFmtId="0" fontId="2" fillId="0" borderId="0" xfId="1" applyFont="1"/>
    <xf numFmtId="0" fontId="2" fillId="0" borderId="5" xfId="1" applyFont="1" applyBorder="1"/>
    <xf numFmtId="0" fontId="2" fillId="3" borderId="3" xfId="0" applyFont="1" applyFill="1" applyBorder="1" applyAlignment="1"/>
    <xf numFmtId="0" fontId="2" fillId="0" borderId="3" xfId="1" applyFont="1" applyBorder="1"/>
    <xf numFmtId="0" fontId="2" fillId="0" borderId="7" xfId="2" applyFont="1" applyBorder="1"/>
    <xf numFmtId="0" fontId="2" fillId="0" borderId="6" xfId="1" applyFont="1" applyBorder="1"/>
    <xf numFmtId="0" fontId="2" fillId="0" borderId="7" xfId="1" applyFont="1" applyBorder="1"/>
    <xf numFmtId="0" fontId="1" fillId="0" borderId="2" xfId="1" applyFont="1" applyBorder="1"/>
    <xf numFmtId="0" fontId="1" fillId="0" borderId="0" xfId="1" applyFont="1"/>
    <xf numFmtId="0" fontId="2" fillId="0" borderId="0" xfId="2" applyFont="1"/>
    <xf numFmtId="0" fontId="2" fillId="0" borderId="6" xfId="0" applyFont="1" applyBorder="1" applyAlignment="1"/>
    <xf numFmtId="0" fontId="2" fillId="0" borderId="8" xfId="1" applyFont="1" applyBorder="1"/>
    <xf numFmtId="0" fontId="1" fillId="0" borderId="3" xfId="1" applyFont="1" applyBorder="1"/>
    <xf numFmtId="0" fontId="5" fillId="0" borderId="0" xfId="1" applyFont="1"/>
    <xf numFmtId="0" fontId="2" fillId="0" borderId="0" xfId="0" applyFont="1" applyAlignment="1"/>
    <xf numFmtId="0" fontId="2" fillId="0" borderId="0" xfId="1" applyFont="1" applyAlignment="1">
      <alignment horizontal="left"/>
    </xf>
    <xf numFmtId="0" fontId="1" fillId="0" borderId="1" xfId="1" applyFont="1" applyBorder="1"/>
    <xf numFmtId="0" fontId="3" fillId="0" borderId="4" xfId="2" applyFont="1" applyBorder="1"/>
    <xf numFmtId="0" fontId="2" fillId="0" borderId="6" xfId="0" applyFont="1" applyBorder="1" applyAlignment="1">
      <alignment horizontal="left"/>
    </xf>
    <xf numFmtId="0" fontId="6" fillId="0" borderId="5" xfId="1" applyFont="1" applyBorder="1" applyAlignment="1">
      <alignment horizontal="right"/>
    </xf>
    <xf numFmtId="0" fontId="2" fillId="0" borderId="9" xfId="3" applyFont="1" applyBorder="1" applyAlignment="1">
      <alignment horizontal="center" vertical="center" wrapText="1" shrinkToFit="1"/>
    </xf>
    <xf numFmtId="0" fontId="2" fillId="0" borderId="10" xfId="3" applyFont="1" applyBorder="1" applyAlignment="1">
      <alignment horizontal="center" vertical="center" wrapText="1" shrinkToFit="1"/>
    </xf>
    <xf numFmtId="0" fontId="2" fillId="0" borderId="10" xfId="1" applyFont="1" applyBorder="1" applyAlignment="1">
      <alignment horizontal="center" vertical="center" wrapText="1" shrinkToFit="1"/>
    </xf>
    <xf numFmtId="180" fontId="3" fillId="0" borderId="10" xfId="1" applyNumberFormat="1" applyFont="1" applyBorder="1" applyAlignment="1">
      <alignment horizontal="center" vertical="center" wrapText="1" shrinkToFit="1"/>
    </xf>
    <xf numFmtId="0" fontId="1" fillId="0" borderId="0" xfId="1" applyFont="1" applyAlignment="1">
      <alignment horizontal="left"/>
    </xf>
    <xf numFmtId="0" fontId="7" fillId="0" borderId="5" xfId="0" applyFont="1" applyBorder="1" applyAlignment="1"/>
    <xf numFmtId="181" fontId="1" fillId="0" borderId="11" xfId="1" applyNumberFormat="1" applyFont="1" applyBorder="1" applyAlignment="1">
      <alignment horizontal="center" vertical="center" wrapText="1" shrinkToFit="1"/>
    </xf>
    <xf numFmtId="0" fontId="10" fillId="0" borderId="0" xfId="0" applyFont="1">
      <alignment vertical="center"/>
    </xf>
    <xf numFmtId="0" fontId="1" fillId="2" borderId="1" xfId="2" applyFont="1" applyFill="1" applyBorder="1"/>
    <xf numFmtId="0" fontId="2" fillId="0" borderId="2" xfId="2" applyFont="1" applyBorder="1"/>
    <xf numFmtId="0" fontId="2" fillId="0" borderId="5" xfId="2" applyFont="1" applyBorder="1"/>
    <xf numFmtId="49" fontId="2" fillId="0" borderId="0" xfId="2" applyNumberFormat="1" applyFont="1" applyAlignment="1">
      <alignment horizontal="center"/>
    </xf>
    <xf numFmtId="178" fontId="2" fillId="0" borderId="0" xfId="0" applyNumberFormat="1" applyFont="1" applyAlignment="1">
      <alignment horizontal="left"/>
    </xf>
    <xf numFmtId="0" fontId="2" fillId="0" borderId="3" xfId="2" applyFont="1" applyBorder="1"/>
    <xf numFmtId="0" fontId="2" fillId="0" borderId="8" xfId="2" applyFont="1" applyBorder="1"/>
    <xf numFmtId="0" fontId="2" fillId="0" borderId="6" xfId="2" applyFont="1" applyBorder="1"/>
    <xf numFmtId="0" fontId="1" fillId="0" borderId="1" xfId="2" applyFont="1" applyBorder="1"/>
    <xf numFmtId="0" fontId="2" fillId="0" borderId="4" xfId="2" applyFont="1" applyBorder="1"/>
    <xf numFmtId="0" fontId="1" fillId="0" borderId="0" xfId="2" applyFont="1"/>
    <xf numFmtId="0" fontId="4" fillId="0" borderId="0" xfId="2" applyFont="1"/>
    <xf numFmtId="0" fontId="4" fillId="0" borderId="6" xfId="0" applyFont="1" applyBorder="1" applyAlignment="1"/>
    <xf numFmtId="0" fontId="1" fillId="0" borderId="3" xfId="2" applyFont="1" applyBorder="1"/>
    <xf numFmtId="0" fontId="1" fillId="0" borderId="13" xfId="2" applyFont="1" applyBorder="1"/>
    <xf numFmtId="0" fontId="7" fillId="0" borderId="2" xfId="0" applyFont="1" applyBorder="1" applyAlignment="1"/>
    <xf numFmtId="0" fontId="7" fillId="0" borderId="0" xfId="0" applyFont="1" applyAlignment="1"/>
    <xf numFmtId="0" fontId="12" fillId="0" borderId="8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  <xf numFmtId="0" fontId="7" fillId="0" borderId="5" xfId="0" applyFont="1" applyBorder="1">
      <alignment vertical="center"/>
    </xf>
    <xf numFmtId="0" fontId="12" fillId="0" borderId="0" xfId="0" applyFont="1">
      <alignment vertical="center"/>
    </xf>
    <xf numFmtId="0" fontId="12" fillId="0" borderId="5" xfId="0" applyFont="1" applyBorder="1">
      <alignment vertical="center"/>
    </xf>
    <xf numFmtId="0" fontId="3" fillId="0" borderId="7" xfId="1" applyFont="1" applyBorder="1"/>
    <xf numFmtId="0" fontId="7" fillId="0" borderId="7" xfId="0" applyFont="1" applyBorder="1" applyAlignment="1"/>
    <xf numFmtId="0" fontId="2" fillId="3" borderId="3" xfId="0" applyFont="1" applyFill="1" applyBorder="1" applyAlignment="1">
      <alignment horizontal="left"/>
    </xf>
    <xf numFmtId="178" fontId="2" fillId="3" borderId="3" xfId="0" applyNumberFormat="1" applyFont="1" applyFill="1" applyBorder="1" applyAlignment="1">
      <alignment horizontal="left"/>
    </xf>
    <xf numFmtId="0" fontId="4" fillId="0" borderId="3" xfId="1" applyFont="1" applyBorder="1" applyAlignment="1">
      <alignment horizontal="left"/>
    </xf>
    <xf numFmtId="0" fontId="2" fillId="0" borderId="12" xfId="2" applyFont="1" applyBorder="1"/>
    <xf numFmtId="176" fontId="1" fillId="0" borderId="13" xfId="2" applyNumberFormat="1" applyFont="1" applyBorder="1" applyAlignment="1">
      <alignment horizontal="center"/>
    </xf>
    <xf numFmtId="0" fontId="2" fillId="0" borderId="3" xfId="0" applyFont="1" applyBorder="1" applyAlignment="1"/>
    <xf numFmtId="0" fontId="1" fillId="0" borderId="5" xfId="1" applyFont="1" applyBorder="1" applyAlignment="1">
      <alignment horizontal="left"/>
    </xf>
    <xf numFmtId="0" fontId="4" fillId="0" borderId="6" xfId="2" applyFont="1" applyBorder="1"/>
    <xf numFmtId="0" fontId="4" fillId="0" borderId="7" xfId="2" applyFont="1" applyBorder="1"/>
    <xf numFmtId="0" fontId="9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8" fontId="2" fillId="0" borderId="0" xfId="0" applyNumberFormat="1" applyFont="1" applyAlignment="1"/>
    <xf numFmtId="0" fontId="2" fillId="0" borderId="4" xfId="1" applyFont="1" applyBorder="1"/>
    <xf numFmtId="0" fontId="1" fillId="0" borderId="3" xfId="0" applyFont="1" applyBorder="1">
      <alignment vertical="center"/>
    </xf>
    <xf numFmtId="0" fontId="1" fillId="0" borderId="0" xfId="0" applyFont="1">
      <alignment vertical="center"/>
    </xf>
    <xf numFmtId="0" fontId="7" fillId="0" borderId="4" xfId="0" applyFont="1" applyBorder="1" applyAlignment="1"/>
    <xf numFmtId="0" fontId="7" fillId="0" borderId="8" xfId="0" applyFont="1" applyBorder="1" applyAlignment="1"/>
    <xf numFmtId="0" fontId="8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/>
    </xf>
    <xf numFmtId="0" fontId="1" fillId="0" borderId="2" xfId="2" applyFont="1" applyBorder="1"/>
    <xf numFmtId="0" fontId="4" fillId="0" borderId="7" xfId="0" applyFont="1" applyBorder="1" applyAlignment="1"/>
    <xf numFmtId="0" fontId="20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4" fillId="2" borderId="0" xfId="0" applyFont="1" applyFill="1" applyAlignment="1">
      <alignment horizontal="center" vertical="center" wrapText="1" shrinkToFit="1"/>
    </xf>
    <xf numFmtId="182" fontId="2" fillId="2" borderId="0" xfId="0" applyNumberFormat="1" applyFont="1" applyFill="1" applyAlignment="1">
      <alignment horizontal="center" vertical="center" wrapText="1" shrinkToFit="1"/>
    </xf>
    <xf numFmtId="176" fontId="2" fillId="2" borderId="0" xfId="0" applyNumberFormat="1" applyFont="1" applyFill="1" applyAlignment="1">
      <alignment horizontal="center" vertical="center" wrapText="1" shrinkToFit="1"/>
    </xf>
    <xf numFmtId="181" fontId="2" fillId="2" borderId="0" xfId="0" applyNumberFormat="1" applyFont="1" applyFill="1" applyAlignment="1">
      <alignment horizontal="center" vertical="center" wrapText="1" shrinkToFit="1"/>
    </xf>
    <xf numFmtId="0" fontId="2" fillId="2" borderId="5" xfId="0" applyFont="1" applyFill="1" applyBorder="1" applyAlignment="1">
      <alignment horizontal="center" vertical="center" wrapText="1"/>
    </xf>
    <xf numFmtId="0" fontId="10" fillId="2" borderId="0" xfId="0" applyFont="1" applyFill="1">
      <alignment vertical="center"/>
    </xf>
    <xf numFmtId="0" fontId="21" fillId="0" borderId="0" xfId="0" applyFont="1">
      <alignment vertical="center"/>
    </xf>
    <xf numFmtId="183" fontId="21" fillId="0" borderId="0" xfId="0" applyNumberFormat="1" applyFont="1">
      <alignment vertical="center"/>
    </xf>
    <xf numFmtId="177" fontId="1" fillId="0" borderId="13" xfId="2" applyNumberFormat="1" applyFont="1" applyBorder="1" applyAlignment="1">
      <alignment horizontal="center"/>
    </xf>
    <xf numFmtId="0" fontId="0" fillId="2" borderId="0" xfId="0" applyFill="1">
      <alignment vertical="center"/>
    </xf>
    <xf numFmtId="0" fontId="2" fillId="2" borderId="2" xfId="1" applyFont="1" applyFill="1" applyBorder="1"/>
    <xf numFmtId="0" fontId="2" fillId="2" borderId="0" xfId="1" applyFont="1" applyFill="1"/>
    <xf numFmtId="0" fontId="2" fillId="2" borderId="7" xfId="1" applyFont="1" applyFill="1" applyBorder="1"/>
    <xf numFmtId="0" fontId="2" fillId="2" borderId="0" xfId="2" applyFont="1" applyFill="1"/>
    <xf numFmtId="0" fontId="2" fillId="2" borderId="0" xfId="0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center" vertical="center"/>
    </xf>
    <xf numFmtId="181" fontId="2" fillId="2" borderId="10" xfId="1" applyNumberFormat="1" applyFont="1" applyFill="1" applyBorder="1" applyAlignment="1">
      <alignment horizontal="center" vertical="center" wrapText="1" shrinkToFit="1"/>
    </xf>
    <xf numFmtId="0" fontId="2" fillId="2" borderId="0" xfId="1" applyFont="1" applyFill="1" applyAlignment="1">
      <alignment horizontal="center" vertical="center"/>
    </xf>
    <xf numFmtId="181" fontId="1" fillId="2" borderId="10" xfId="1" applyNumberFormat="1" applyFont="1" applyFill="1" applyBorder="1" applyAlignment="1">
      <alignment horizontal="center" vertical="center" wrapText="1" shrinkToFit="1"/>
    </xf>
    <xf numFmtId="0" fontId="4" fillId="0" borderId="0" xfId="1" applyFont="1" applyAlignment="1">
      <alignment vertical="center"/>
    </xf>
    <xf numFmtId="0" fontId="4" fillId="3" borderId="0" xfId="1" applyFont="1" applyFill="1" applyAlignment="1">
      <alignment horizontal="center" vertical="center"/>
    </xf>
    <xf numFmtId="0" fontId="4" fillId="0" borderId="10" xfId="1" applyFont="1" applyBorder="1" applyAlignment="1">
      <alignment vertical="center"/>
    </xf>
    <xf numFmtId="0" fontId="4" fillId="3" borderId="10" xfId="1" applyFont="1" applyFill="1" applyBorder="1" applyAlignment="1">
      <alignment horizontal="left" vertical="center"/>
    </xf>
    <xf numFmtId="179" fontId="1" fillId="0" borderId="13" xfId="2" applyNumberFormat="1" applyFont="1" applyBorder="1" applyAlignment="1">
      <alignment horizontal="center"/>
    </xf>
    <xf numFmtId="0" fontId="1" fillId="0" borderId="1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177" fontId="1" fillId="0" borderId="14" xfId="2" applyNumberFormat="1" applyFont="1" applyBorder="1" applyAlignment="1">
      <alignment horizontal="center"/>
    </xf>
    <xf numFmtId="179" fontId="1" fillId="3" borderId="15" xfId="1" applyNumberFormat="1" applyFont="1" applyFill="1" applyBorder="1" applyAlignment="1">
      <alignment horizontal="center"/>
    </xf>
    <xf numFmtId="0" fontId="2" fillId="0" borderId="16" xfId="1" applyFont="1" applyBorder="1"/>
    <xf numFmtId="0" fontId="1" fillId="0" borderId="16" xfId="1" applyFont="1" applyBorder="1"/>
    <xf numFmtId="0" fontId="1" fillId="0" borderId="16" xfId="1" applyFont="1" applyBorder="1" applyAlignment="1">
      <alignment horizontal="left"/>
    </xf>
    <xf numFmtId="0" fontId="1" fillId="0" borderId="16" xfId="1" applyFont="1" applyBorder="1" applyAlignment="1">
      <alignment horizontal="center"/>
    </xf>
    <xf numFmtId="179" fontId="1" fillId="0" borderId="16" xfId="1" applyNumberFormat="1" applyFont="1" applyBorder="1" applyAlignment="1">
      <alignment horizontal="center"/>
    </xf>
    <xf numFmtId="181" fontId="1" fillId="2" borderId="16" xfId="1" applyNumberFormat="1" applyFont="1" applyFill="1" applyBorder="1" applyAlignment="1">
      <alignment horizontal="center"/>
    </xf>
    <xf numFmtId="181" fontId="1" fillId="3" borderId="17" xfId="1" applyNumberFormat="1" applyFont="1" applyFill="1" applyBorder="1" applyAlignment="1">
      <alignment horizontal="center"/>
    </xf>
    <xf numFmtId="0" fontId="0" fillId="0" borderId="18" xfId="0" applyBorder="1">
      <alignment vertical="center"/>
    </xf>
    <xf numFmtId="179" fontId="2" fillId="3" borderId="0" xfId="1" applyNumberFormat="1" applyFont="1" applyFill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10" xfId="0" applyBorder="1">
      <alignment vertical="center"/>
    </xf>
    <xf numFmtId="0" fontId="0" fillId="2" borderId="10" xfId="0" applyFill="1" applyBorder="1">
      <alignment vertical="center"/>
    </xf>
    <xf numFmtId="181" fontId="0" fillId="2" borderId="10" xfId="0" applyNumberFormat="1" applyFill="1" applyBorder="1">
      <alignment vertical="center"/>
    </xf>
    <xf numFmtId="0" fontId="0" fillId="0" borderId="21" xfId="0" applyBorder="1">
      <alignment vertical="center"/>
    </xf>
    <xf numFmtId="0" fontId="1" fillId="2" borderId="2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2" fillId="0" borderId="3" xfId="0" applyFont="1" applyBorder="1" applyAlignment="1">
      <alignment horizontal="center" vertical="center" wrapText="1" shrinkToFit="1"/>
    </xf>
    <xf numFmtId="0" fontId="2" fillId="0" borderId="0" xfId="0" applyFont="1" applyAlignment="1">
      <alignment horizontal="center" vertical="center" wrapText="1" shrinkToFit="1"/>
    </xf>
    <xf numFmtId="179" fontId="2" fillId="0" borderId="0" xfId="0" applyNumberFormat="1" applyFont="1" applyAlignment="1">
      <alignment horizontal="center" vertical="center" shrinkToFit="1"/>
    </xf>
    <xf numFmtId="180" fontId="2" fillId="0" borderId="0" xfId="0" applyNumberFormat="1" applyFont="1" applyAlignment="1">
      <alignment horizontal="center" vertical="center" wrapText="1" shrinkToFit="1"/>
    </xf>
    <xf numFmtId="181" fontId="2" fillId="0" borderId="0" xfId="0" applyNumberFormat="1" applyFont="1" applyAlignment="1">
      <alignment horizontal="center" vertical="center" wrapText="1" shrinkToFit="1"/>
    </xf>
    <xf numFmtId="0" fontId="2" fillId="0" borderId="5" xfId="0" applyFont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" fillId="0" borderId="13" xfId="2" applyFont="1" applyBorder="1" applyAlignment="1">
      <alignment horizontal="left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11" fillId="0" borderId="1" xfId="2" applyFont="1" applyBorder="1" applyAlignment="1">
      <alignment horizontal="center"/>
    </xf>
    <xf numFmtId="0" fontId="11" fillId="0" borderId="2" xfId="2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178" fontId="2" fillId="0" borderId="6" xfId="0" applyNumberFormat="1" applyFont="1" applyBorder="1" applyAlignment="1">
      <alignment horizontal="left"/>
    </xf>
    <xf numFmtId="178" fontId="2" fillId="0" borderId="7" xfId="0" applyNumberFormat="1" applyFont="1" applyBorder="1" applyAlignment="1">
      <alignment horizontal="left"/>
    </xf>
    <xf numFmtId="178" fontId="2" fillId="0" borderId="8" xfId="0" applyNumberFormat="1" applyFont="1" applyBorder="1" applyAlignment="1">
      <alignment horizontal="left"/>
    </xf>
    <xf numFmtId="0" fontId="4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center" vertical="center" shrinkToFit="1"/>
    </xf>
    <xf numFmtId="0" fontId="2" fillId="0" borderId="3" xfId="0" applyFont="1" applyBorder="1" applyAlignment="1">
      <alignment horizontal="center" vertical="center" wrapText="1" shrinkToFit="1"/>
    </xf>
    <xf numFmtId="181" fontId="2" fillId="2" borderId="0" xfId="0" applyNumberFormat="1" applyFont="1" applyFill="1" applyAlignment="1">
      <alignment horizontal="center" vertical="center" wrapText="1" shrinkToFit="1"/>
    </xf>
    <xf numFmtId="0" fontId="2" fillId="2" borderId="0" xfId="0" applyFont="1" applyFill="1" applyAlignment="1">
      <alignment horizontal="center" vertical="center" wrapText="1" shrinkToFit="1"/>
    </xf>
    <xf numFmtId="0" fontId="11" fillId="0" borderId="1" xfId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 vertical="center" shrinkToFit="1"/>
    </xf>
    <xf numFmtId="0" fontId="1" fillId="3" borderId="1" xfId="2" applyFont="1" applyFill="1" applyBorder="1" applyAlignment="1">
      <alignment horizontal="center" vertical="center"/>
    </xf>
    <xf numFmtId="0" fontId="1" fillId="3" borderId="3" xfId="2" applyFont="1" applyFill="1" applyBorder="1" applyAlignment="1">
      <alignment horizontal="center" vertical="center"/>
    </xf>
    <xf numFmtId="0" fontId="1" fillId="2" borderId="2" xfId="2" applyFont="1" applyFill="1" applyBorder="1" applyAlignment="1">
      <alignment horizontal="center" vertical="center"/>
    </xf>
    <xf numFmtId="0" fontId="1" fillId="2" borderId="0" xfId="2" applyFont="1" applyFill="1" applyAlignment="1">
      <alignment horizontal="center" vertical="center"/>
    </xf>
    <xf numFmtId="0" fontId="2" fillId="0" borderId="3" xfId="1" applyFont="1" applyBorder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5" xfId="1" applyFont="1" applyBorder="1" applyAlignment="1">
      <alignment horizontal="left" vertical="center" wrapText="1"/>
    </xf>
    <xf numFmtId="0" fontId="2" fillId="0" borderId="6" xfId="1" applyFont="1" applyBorder="1" applyAlignment="1">
      <alignment horizontal="left" vertical="center" wrapText="1"/>
    </xf>
    <xf numFmtId="0" fontId="2" fillId="0" borderId="7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0" fontId="2" fillId="0" borderId="3" xfId="2" applyFont="1" applyBorder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5" xfId="2" applyFont="1" applyBorder="1" applyAlignment="1">
      <alignment horizontal="left" vertical="center" wrapText="1"/>
    </xf>
    <xf numFmtId="0" fontId="2" fillId="0" borderId="6" xfId="2" applyFont="1" applyBorder="1" applyAlignment="1">
      <alignment horizontal="left" vertical="center" wrapText="1"/>
    </xf>
    <xf numFmtId="0" fontId="2" fillId="0" borderId="7" xfId="2" applyFont="1" applyBorder="1" applyAlignment="1">
      <alignment horizontal="left" vertical="center" wrapText="1"/>
    </xf>
    <xf numFmtId="0" fontId="2" fillId="0" borderId="8" xfId="2" applyFont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1" fillId="2" borderId="2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</cellXfs>
  <cellStyles count="4">
    <cellStyle name="一般" xfId="0" builtinId="0"/>
    <cellStyle name="一般_OMRON" xfId="2" xr:uid="{00000000-0005-0000-0000-000002000000}"/>
    <cellStyle name="一般_OMRON海運出口" xfId="1" xr:uid="{00000000-0005-0000-0000-000003000000}"/>
    <cellStyle name="常规_Sheet1_1" xfId="3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39283</xdr:colOff>
      <xdr:row>12</xdr:row>
      <xdr:rowOff>7619</xdr:rowOff>
    </xdr:from>
    <xdr:to>
      <xdr:col>8</xdr:col>
      <xdr:colOff>851308</xdr:colOff>
      <xdr:row>16</xdr:row>
      <xdr:rowOff>254624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12131A42-540F-49ED-A3A6-7FB3BABD3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37163" y="3398519"/>
          <a:ext cx="1429245" cy="137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67"/>
  <sheetViews>
    <sheetView tabSelected="1" topLeftCell="A40" zoomScaleNormal="100" workbookViewId="0">
      <selection activeCell="J14" sqref="J14"/>
    </sheetView>
  </sheetViews>
  <sheetFormatPr defaultColWidth="9" defaultRowHeight="22.15"/>
  <cols>
    <col min="1" max="1" width="9" style="32"/>
    <col min="2" max="2" width="19.125" style="32" bestFit="1" customWidth="1"/>
    <col min="3" max="3" width="11.625" style="32" bestFit="1" customWidth="1"/>
    <col min="4" max="4" width="15.25" style="32" bestFit="1" customWidth="1"/>
    <col min="5" max="5" width="10.375" style="32" bestFit="1" customWidth="1"/>
    <col min="6" max="6" width="11.625" style="32" bestFit="1" customWidth="1"/>
    <col min="7" max="8" width="9" style="32"/>
    <col min="9" max="9" width="13.625" style="32" customWidth="1"/>
    <col min="10" max="12" width="9" style="32"/>
    <col min="13" max="13" width="12.375" style="32" customWidth="1"/>
    <col min="14" max="14" width="9" style="32"/>
    <col min="15" max="15" width="9.375" style="32" bestFit="1" customWidth="1"/>
    <col min="16" max="16384" width="9" style="32"/>
  </cols>
  <sheetData>
    <row r="1" spans="1:15" ht="22.9">
      <c r="A1" s="148" t="s">
        <v>0</v>
      </c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</row>
    <row r="2" spans="1:15">
      <c r="A2" s="33" t="s">
        <v>1</v>
      </c>
      <c r="B2" s="34"/>
      <c r="C2" s="34"/>
      <c r="D2" s="4"/>
      <c r="E2" s="33" t="s">
        <v>2</v>
      </c>
      <c r="F2" s="34"/>
      <c r="G2" s="34"/>
      <c r="H2" s="34"/>
      <c r="I2" s="34"/>
      <c r="J2" s="48"/>
      <c r="K2" s="48"/>
      <c r="L2" s="48"/>
      <c r="M2" s="48"/>
      <c r="N2" s="48"/>
      <c r="O2" s="73"/>
    </row>
    <row r="3" spans="1:15">
      <c r="A3" s="63" t="s">
        <v>3</v>
      </c>
      <c r="B3" s="14"/>
      <c r="C3" s="14"/>
      <c r="D3" s="35"/>
      <c r="E3" s="58" t="s">
        <v>4</v>
      </c>
      <c r="F3" s="14"/>
      <c r="G3" s="36"/>
      <c r="H3" s="36"/>
      <c r="I3" s="14"/>
      <c r="J3" s="49"/>
      <c r="K3" s="49"/>
      <c r="L3" s="49"/>
      <c r="M3" s="49"/>
      <c r="N3" s="49"/>
      <c r="O3" s="30"/>
    </row>
    <row r="4" spans="1:15">
      <c r="A4" s="136" t="s">
        <v>5</v>
      </c>
      <c r="B4" s="137"/>
      <c r="C4" s="137"/>
      <c r="D4" s="138"/>
      <c r="E4" s="59">
        <v>46000</v>
      </c>
      <c r="F4" s="69"/>
      <c r="G4" s="69"/>
      <c r="H4" s="37"/>
      <c r="I4" s="14"/>
      <c r="J4" s="49"/>
      <c r="K4" s="49"/>
      <c r="L4" s="49"/>
      <c r="M4" s="49"/>
      <c r="N4" s="49"/>
      <c r="O4" s="30"/>
    </row>
    <row r="5" spans="1:15">
      <c r="A5" s="139"/>
      <c r="B5" s="140"/>
      <c r="C5" s="140"/>
      <c r="D5" s="141"/>
      <c r="E5" s="38"/>
      <c r="F5" s="14"/>
      <c r="G5" s="14"/>
      <c r="H5" s="14"/>
      <c r="I5" s="14"/>
      <c r="J5" s="49"/>
      <c r="K5" s="57"/>
      <c r="L5" s="57"/>
      <c r="M5" s="57"/>
      <c r="N5" s="57"/>
      <c r="O5" s="74"/>
    </row>
    <row r="6" spans="1:15">
      <c r="A6" s="41" t="s">
        <v>6</v>
      </c>
      <c r="B6" s="34"/>
      <c r="C6" s="34"/>
      <c r="D6" s="42"/>
      <c r="E6" s="41" t="s">
        <v>7</v>
      </c>
      <c r="F6" s="34"/>
      <c r="G6" s="34"/>
      <c r="H6" s="34"/>
      <c r="I6" s="34"/>
      <c r="J6" s="51"/>
      <c r="K6" s="52"/>
      <c r="L6" s="52"/>
      <c r="M6" s="52"/>
      <c r="N6" s="52"/>
      <c r="O6" s="53"/>
    </row>
    <row r="7" spans="1:15">
      <c r="A7" s="60" t="s">
        <v>8</v>
      </c>
      <c r="B7" s="29"/>
      <c r="C7" s="29"/>
      <c r="D7" s="64"/>
      <c r="E7" s="38" t="s">
        <v>9</v>
      </c>
      <c r="F7" s="14"/>
      <c r="G7" s="14"/>
      <c r="H7" s="14"/>
      <c r="I7" s="14"/>
      <c r="J7" s="52"/>
      <c r="K7" s="52"/>
      <c r="L7" s="52"/>
      <c r="M7" s="52"/>
      <c r="N7" s="52"/>
      <c r="O7" s="53"/>
    </row>
    <row r="8" spans="1:15">
      <c r="A8" s="142" t="s">
        <v>10</v>
      </c>
      <c r="B8" s="143"/>
      <c r="C8" s="143"/>
      <c r="D8" s="144"/>
      <c r="E8" s="38"/>
      <c r="F8" s="14"/>
      <c r="G8" s="14"/>
      <c r="H8" s="14"/>
      <c r="I8" s="14"/>
      <c r="J8" s="54"/>
      <c r="K8" s="54"/>
      <c r="L8" s="54"/>
      <c r="M8" s="54"/>
      <c r="N8" s="54"/>
      <c r="O8" s="55"/>
    </row>
    <row r="9" spans="1:15">
      <c r="A9" s="145"/>
      <c r="B9" s="146"/>
      <c r="C9" s="146"/>
      <c r="D9" s="147"/>
      <c r="E9" s="38"/>
      <c r="F9" s="14"/>
      <c r="G9" s="14"/>
      <c r="H9" s="14"/>
      <c r="I9" s="14"/>
      <c r="J9" s="54"/>
      <c r="K9" s="54"/>
      <c r="L9" s="54"/>
      <c r="M9" s="54"/>
      <c r="N9" s="54"/>
      <c r="O9" s="55"/>
    </row>
    <row r="10" spans="1:15">
      <c r="A10" s="41" t="s">
        <v>11</v>
      </c>
      <c r="B10" s="34"/>
      <c r="C10" s="34"/>
      <c r="D10" s="42"/>
      <c r="E10" s="33" t="s">
        <v>12</v>
      </c>
      <c r="F10" s="34"/>
      <c r="G10" s="34"/>
      <c r="H10" s="34"/>
      <c r="I10" s="34"/>
      <c r="J10" s="34"/>
      <c r="K10" s="34"/>
      <c r="L10" s="34"/>
      <c r="M10" s="34"/>
      <c r="N10" s="34"/>
      <c r="O10" s="42"/>
    </row>
    <row r="11" spans="1:15">
      <c r="A11" s="60" t="s">
        <v>8</v>
      </c>
      <c r="B11" s="20"/>
      <c r="C11" s="20"/>
      <c r="D11" s="35"/>
      <c r="E11" s="7" t="s">
        <v>13</v>
      </c>
      <c r="F11" s="19"/>
      <c r="G11" s="19"/>
      <c r="H11" s="19"/>
      <c r="I11" s="19"/>
      <c r="J11" s="49"/>
      <c r="K11" s="49"/>
      <c r="L11" s="49"/>
      <c r="M11" s="49"/>
      <c r="N11" s="49"/>
      <c r="O11" s="30"/>
    </row>
    <row r="12" spans="1:15">
      <c r="A12" s="10" t="s">
        <v>10</v>
      </c>
      <c r="B12" s="11"/>
      <c r="C12" s="11"/>
      <c r="D12" s="39"/>
      <c r="E12" s="40"/>
      <c r="F12" s="9"/>
      <c r="G12" s="9"/>
      <c r="H12" s="9"/>
      <c r="I12" s="56"/>
      <c r="J12" s="49"/>
      <c r="K12" s="49"/>
      <c r="L12" s="49"/>
      <c r="M12" s="49"/>
      <c r="N12" s="49"/>
      <c r="O12" s="50"/>
    </row>
    <row r="13" spans="1:15">
      <c r="A13" s="41" t="s">
        <v>14</v>
      </c>
      <c r="B13" s="41" t="s">
        <v>15</v>
      </c>
      <c r="C13" s="77"/>
      <c r="D13" s="42"/>
      <c r="E13" s="43" t="s">
        <v>16</v>
      </c>
      <c r="F13" s="5"/>
      <c r="G13" s="5"/>
      <c r="H13" s="5"/>
      <c r="I13" s="14"/>
      <c r="J13" s="48"/>
      <c r="K13" s="48"/>
      <c r="L13" s="48"/>
      <c r="M13" s="48"/>
      <c r="N13" s="48"/>
      <c r="O13" s="30"/>
    </row>
    <row r="14" spans="1:15">
      <c r="A14" s="76"/>
      <c r="B14" s="150"/>
      <c r="C14" s="151"/>
      <c r="D14" s="152"/>
      <c r="E14" s="44"/>
      <c r="F14" s="14"/>
      <c r="G14" s="14"/>
      <c r="H14" s="14"/>
      <c r="I14" s="14"/>
      <c r="J14" s="49"/>
      <c r="K14" s="49"/>
      <c r="L14" s="49"/>
      <c r="M14" s="49"/>
      <c r="N14" s="49"/>
      <c r="O14" s="30"/>
    </row>
    <row r="15" spans="1:15">
      <c r="A15" s="15"/>
      <c r="B15" s="45"/>
      <c r="C15" s="78"/>
      <c r="D15" s="39"/>
      <c r="E15" s="44"/>
      <c r="F15" s="19"/>
      <c r="G15" s="14"/>
      <c r="H15" s="14"/>
      <c r="I15" s="14"/>
      <c r="J15" s="49"/>
      <c r="K15" s="49"/>
      <c r="L15" s="49"/>
      <c r="M15" s="49"/>
      <c r="N15" s="49"/>
      <c r="O15" s="30"/>
    </row>
    <row r="16" spans="1:15">
      <c r="A16" s="41" t="s">
        <v>17</v>
      </c>
      <c r="B16" s="46" t="s">
        <v>18</v>
      </c>
      <c r="C16" s="43"/>
      <c r="D16" s="24"/>
      <c r="E16" s="44"/>
      <c r="F16" s="19"/>
      <c r="G16" s="14"/>
      <c r="H16" s="14"/>
      <c r="I16" s="14"/>
      <c r="J16" s="49"/>
      <c r="K16" s="49"/>
      <c r="L16" s="49"/>
      <c r="M16" s="49"/>
      <c r="N16" s="49"/>
      <c r="O16" s="30"/>
    </row>
    <row r="17" spans="1:16">
      <c r="A17" s="23"/>
      <c r="B17" s="153"/>
      <c r="C17" s="154"/>
      <c r="D17" s="155"/>
      <c r="E17" s="65" t="s">
        <v>19</v>
      </c>
      <c r="F17" s="66" t="s">
        <v>20</v>
      </c>
      <c r="G17" s="9"/>
      <c r="H17" s="9"/>
      <c r="I17" s="9"/>
      <c r="J17" s="57"/>
      <c r="K17" s="49"/>
      <c r="L17" s="49"/>
      <c r="M17" s="49"/>
      <c r="N17" s="49"/>
      <c r="O17" s="30"/>
    </row>
    <row r="18" spans="1:16" ht="26.45">
      <c r="A18" s="106" t="s">
        <v>21</v>
      </c>
      <c r="B18" s="107" t="s">
        <v>22</v>
      </c>
      <c r="C18" s="107" t="s">
        <v>23</v>
      </c>
      <c r="D18" s="108" t="s">
        <v>24</v>
      </c>
      <c r="E18" s="107" t="s">
        <v>25</v>
      </c>
      <c r="F18" s="107" t="s">
        <v>26</v>
      </c>
      <c r="G18" s="107" t="s">
        <v>27</v>
      </c>
      <c r="H18" s="107" t="s">
        <v>28</v>
      </c>
      <c r="I18" s="107" t="s">
        <v>29</v>
      </c>
      <c r="J18" s="67" t="s">
        <v>30</v>
      </c>
      <c r="K18" s="67" t="s">
        <v>31</v>
      </c>
      <c r="L18" s="68" t="s">
        <v>32</v>
      </c>
      <c r="M18" s="68" t="s">
        <v>33</v>
      </c>
      <c r="N18" s="68" t="s">
        <v>34</v>
      </c>
      <c r="O18" s="75" t="s">
        <v>35</v>
      </c>
      <c r="P18" s="88" t="s">
        <v>36</v>
      </c>
    </row>
    <row r="19" spans="1:16" s="87" customFormat="1" ht="21.95" customHeight="1">
      <c r="A19" s="80">
        <v>1</v>
      </c>
      <c r="B19" s="81" t="s">
        <v>37</v>
      </c>
      <c r="C19" s="81">
        <v>2250701118</v>
      </c>
      <c r="D19" s="82" t="s">
        <v>38</v>
      </c>
      <c r="E19" s="81">
        <v>5074</v>
      </c>
      <c r="F19" s="83" t="s">
        <v>39</v>
      </c>
      <c r="G19" s="84">
        <v>3</v>
      </c>
      <c r="H19" s="81" t="s">
        <v>40</v>
      </c>
      <c r="I19" s="85">
        <f>G19*E19</f>
        <v>15222</v>
      </c>
      <c r="J19" s="81" t="s">
        <v>41</v>
      </c>
      <c r="K19" s="81"/>
      <c r="L19" s="81" t="s">
        <v>42</v>
      </c>
      <c r="M19" s="81" t="s">
        <v>43</v>
      </c>
      <c r="N19" s="81" t="s">
        <v>44</v>
      </c>
      <c r="O19" s="86">
        <v>494.72</v>
      </c>
      <c r="P19" s="88">
        <v>7</v>
      </c>
    </row>
    <row r="20" spans="1:16" s="87" customFormat="1" ht="21.95" customHeight="1">
      <c r="A20" s="80">
        <v>2</v>
      </c>
      <c r="B20" s="81" t="s">
        <v>37</v>
      </c>
      <c r="C20" s="81">
        <v>2250701118</v>
      </c>
      <c r="D20" s="82" t="s">
        <v>38</v>
      </c>
      <c r="E20" s="81">
        <v>1800</v>
      </c>
      <c r="F20" s="83" t="s">
        <v>39</v>
      </c>
      <c r="G20" s="84">
        <v>3</v>
      </c>
      <c r="H20" s="81" t="s">
        <v>40</v>
      </c>
      <c r="I20" s="85">
        <f>G20*E20</f>
        <v>5400</v>
      </c>
      <c r="J20" s="81" t="s">
        <v>41</v>
      </c>
      <c r="K20" s="81"/>
      <c r="L20" s="81" t="s">
        <v>42</v>
      </c>
      <c r="M20" s="81" t="s">
        <v>43</v>
      </c>
      <c r="N20" s="81" t="s">
        <v>44</v>
      </c>
      <c r="O20" s="86">
        <v>175.51</v>
      </c>
      <c r="P20" s="88">
        <v>7</v>
      </c>
    </row>
    <row r="21" spans="1:16" s="87" customFormat="1" ht="21.95" customHeight="1">
      <c r="A21" s="80">
        <v>3</v>
      </c>
      <c r="B21" s="81" t="s">
        <v>45</v>
      </c>
      <c r="C21" s="81" t="s">
        <v>46</v>
      </c>
      <c r="D21" s="82" t="s">
        <v>38</v>
      </c>
      <c r="E21" s="81">
        <v>624</v>
      </c>
      <c r="F21" s="83" t="s">
        <v>39</v>
      </c>
      <c r="G21" s="84">
        <v>1</v>
      </c>
      <c r="H21" s="81" t="s">
        <v>40</v>
      </c>
      <c r="I21" s="85">
        <f t="shared" ref="I21:I47" si="0">G21*E21</f>
        <v>624</v>
      </c>
      <c r="J21" s="81" t="s">
        <v>41</v>
      </c>
      <c r="K21" s="81"/>
      <c r="L21" s="81" t="s">
        <v>42</v>
      </c>
      <c r="M21" s="81" t="s">
        <v>43</v>
      </c>
      <c r="N21" s="81" t="s">
        <v>44</v>
      </c>
      <c r="O21" s="86">
        <v>30.73</v>
      </c>
      <c r="P21" s="88">
        <v>1</v>
      </c>
    </row>
    <row r="22" spans="1:16" s="87" customFormat="1" ht="21.95" customHeight="1">
      <c r="A22" s="80">
        <v>4</v>
      </c>
      <c r="B22" s="81" t="s">
        <v>45</v>
      </c>
      <c r="C22" s="81" t="s">
        <v>47</v>
      </c>
      <c r="D22" s="82" t="s">
        <v>38</v>
      </c>
      <c r="E22" s="81">
        <v>1896</v>
      </c>
      <c r="F22" s="83" t="s">
        <v>39</v>
      </c>
      <c r="G22" s="84">
        <v>1</v>
      </c>
      <c r="H22" s="81" t="s">
        <v>40</v>
      </c>
      <c r="I22" s="85">
        <f t="shared" si="0"/>
        <v>1896</v>
      </c>
      <c r="J22" s="81" t="s">
        <v>41</v>
      </c>
      <c r="K22" s="81"/>
      <c r="L22" s="81" t="s">
        <v>42</v>
      </c>
      <c r="M22" s="81" t="s">
        <v>43</v>
      </c>
      <c r="N22" s="81" t="s">
        <v>44</v>
      </c>
      <c r="O22" s="86">
        <v>93.38</v>
      </c>
      <c r="P22" s="88">
        <v>1</v>
      </c>
    </row>
    <row r="23" spans="1:16" s="87" customFormat="1" ht="21.95" customHeight="1">
      <c r="A23" s="80">
        <v>5</v>
      </c>
      <c r="B23" s="81" t="s">
        <v>48</v>
      </c>
      <c r="C23" s="81" t="s">
        <v>49</v>
      </c>
      <c r="D23" s="82" t="s">
        <v>38</v>
      </c>
      <c r="E23" s="81">
        <v>796</v>
      </c>
      <c r="F23" s="83" t="s">
        <v>39</v>
      </c>
      <c r="G23" s="84">
        <v>0.91279999999999994</v>
      </c>
      <c r="H23" s="81" t="s">
        <v>40</v>
      </c>
      <c r="I23" s="85">
        <f t="shared" si="0"/>
        <v>726.58879999999999</v>
      </c>
      <c r="J23" s="81" t="s">
        <v>41</v>
      </c>
      <c r="K23" s="81"/>
      <c r="L23" s="81" t="s">
        <v>42</v>
      </c>
      <c r="M23" s="81" t="s">
        <v>43</v>
      </c>
      <c r="N23" s="81" t="s">
        <v>44</v>
      </c>
      <c r="O23" s="86">
        <v>38.81</v>
      </c>
      <c r="P23" s="88">
        <v>3</v>
      </c>
    </row>
    <row r="24" spans="1:16" s="87" customFormat="1" ht="21.95" customHeight="1">
      <c r="A24" s="80">
        <v>6</v>
      </c>
      <c r="B24" s="81" t="s">
        <v>48</v>
      </c>
      <c r="C24" s="81" t="s">
        <v>50</v>
      </c>
      <c r="D24" s="82" t="s">
        <v>38</v>
      </c>
      <c r="E24" s="81">
        <v>1150</v>
      </c>
      <c r="F24" s="83" t="s">
        <v>39</v>
      </c>
      <c r="G24" s="84">
        <v>0.91279999999999994</v>
      </c>
      <c r="H24" s="81" t="s">
        <v>40</v>
      </c>
      <c r="I24" s="85">
        <f t="shared" si="0"/>
        <v>1049.72</v>
      </c>
      <c r="J24" s="81" t="s">
        <v>41</v>
      </c>
      <c r="K24" s="81"/>
      <c r="L24" s="81" t="s">
        <v>42</v>
      </c>
      <c r="M24" s="81" t="s">
        <v>43</v>
      </c>
      <c r="N24" s="81" t="s">
        <v>44</v>
      </c>
      <c r="O24" s="86">
        <v>56.06</v>
      </c>
      <c r="P24" s="88">
        <v>3</v>
      </c>
    </row>
    <row r="25" spans="1:16" s="87" customFormat="1" ht="21.95" customHeight="1">
      <c r="A25" s="80">
        <v>7</v>
      </c>
      <c r="B25" s="81" t="s">
        <v>48</v>
      </c>
      <c r="C25" s="81" t="s">
        <v>50</v>
      </c>
      <c r="D25" s="82" t="s">
        <v>38</v>
      </c>
      <c r="E25" s="81">
        <v>366</v>
      </c>
      <c r="F25" s="83" t="s">
        <v>39</v>
      </c>
      <c r="G25" s="84">
        <v>0.91279999999999994</v>
      </c>
      <c r="H25" s="81" t="s">
        <v>40</v>
      </c>
      <c r="I25" s="85">
        <f t="shared" si="0"/>
        <v>334.08479999999997</v>
      </c>
      <c r="J25" s="81" t="s">
        <v>41</v>
      </c>
      <c r="K25" s="81"/>
      <c r="L25" s="81" t="s">
        <v>42</v>
      </c>
      <c r="M25" s="81" t="s">
        <v>43</v>
      </c>
      <c r="N25" s="81" t="s">
        <v>44</v>
      </c>
      <c r="O25" s="86">
        <v>17.850000000000001</v>
      </c>
      <c r="P25" s="88">
        <v>3</v>
      </c>
    </row>
    <row r="26" spans="1:16" s="87" customFormat="1" ht="21.95" customHeight="1">
      <c r="A26" s="80">
        <v>8</v>
      </c>
      <c r="B26" s="81" t="s">
        <v>51</v>
      </c>
      <c r="C26" s="81" t="s">
        <v>52</v>
      </c>
      <c r="D26" s="82" t="s">
        <v>38</v>
      </c>
      <c r="E26" s="81">
        <v>8304</v>
      </c>
      <c r="F26" s="83" t="s">
        <v>39</v>
      </c>
      <c r="G26" s="84">
        <v>1.75</v>
      </c>
      <c r="H26" s="81" t="s">
        <v>40</v>
      </c>
      <c r="I26" s="85">
        <f t="shared" si="0"/>
        <v>14532</v>
      </c>
      <c r="J26" s="81" t="s">
        <v>41</v>
      </c>
      <c r="K26" s="81"/>
      <c r="L26" s="81" t="s">
        <v>42</v>
      </c>
      <c r="M26" s="81" t="s">
        <v>43</v>
      </c>
      <c r="N26" s="81" t="s">
        <v>44</v>
      </c>
      <c r="O26" s="86">
        <v>726.6</v>
      </c>
      <c r="P26" s="88">
        <v>6</v>
      </c>
    </row>
    <row r="27" spans="1:16" s="87" customFormat="1" ht="21.95" customHeight="1">
      <c r="A27" s="80">
        <v>9</v>
      </c>
      <c r="B27" s="81" t="s">
        <v>51</v>
      </c>
      <c r="C27" s="81" t="s">
        <v>52</v>
      </c>
      <c r="D27" s="82" t="s">
        <v>38</v>
      </c>
      <c r="E27" s="81">
        <v>16</v>
      </c>
      <c r="F27" s="83" t="s">
        <v>39</v>
      </c>
      <c r="G27" s="84">
        <v>1.75</v>
      </c>
      <c r="H27" s="81" t="s">
        <v>40</v>
      </c>
      <c r="I27" s="85">
        <f t="shared" si="0"/>
        <v>28</v>
      </c>
      <c r="J27" s="81" t="s">
        <v>41</v>
      </c>
      <c r="K27" s="81"/>
      <c r="L27" s="81" t="s">
        <v>42</v>
      </c>
      <c r="M27" s="81" t="s">
        <v>43</v>
      </c>
      <c r="N27" s="81" t="s">
        <v>44</v>
      </c>
      <c r="O27" s="86">
        <v>1.4</v>
      </c>
      <c r="P27" s="88">
        <v>6</v>
      </c>
    </row>
    <row r="28" spans="1:16" s="87" customFormat="1" ht="21.95" customHeight="1">
      <c r="A28" s="80">
        <v>10</v>
      </c>
      <c r="B28" s="81" t="s">
        <v>51</v>
      </c>
      <c r="C28" s="81" t="s">
        <v>53</v>
      </c>
      <c r="D28" s="82" t="s">
        <v>38</v>
      </c>
      <c r="E28" s="81">
        <v>1262</v>
      </c>
      <c r="F28" s="83" t="s">
        <v>39</v>
      </c>
      <c r="G28" s="84">
        <v>1.75</v>
      </c>
      <c r="H28" s="81" t="s">
        <v>40</v>
      </c>
      <c r="I28" s="85">
        <f t="shared" si="0"/>
        <v>2208.5</v>
      </c>
      <c r="J28" s="81" t="s">
        <v>41</v>
      </c>
      <c r="K28" s="81"/>
      <c r="L28" s="81" t="s">
        <v>42</v>
      </c>
      <c r="M28" s="81" t="s">
        <v>43</v>
      </c>
      <c r="N28" s="81" t="s">
        <v>44</v>
      </c>
      <c r="O28" s="86">
        <v>110.43</v>
      </c>
      <c r="P28" s="88">
        <v>6</v>
      </c>
    </row>
    <row r="29" spans="1:16" s="87" customFormat="1" ht="21.95" customHeight="1">
      <c r="A29" s="80">
        <v>11</v>
      </c>
      <c r="B29" s="81" t="s">
        <v>51</v>
      </c>
      <c r="C29" s="81" t="s">
        <v>54</v>
      </c>
      <c r="D29" s="82" t="s">
        <v>38</v>
      </c>
      <c r="E29" s="81">
        <v>6214</v>
      </c>
      <c r="F29" s="83" t="s">
        <v>39</v>
      </c>
      <c r="G29" s="84">
        <v>1.75</v>
      </c>
      <c r="H29" s="81" t="s">
        <v>40</v>
      </c>
      <c r="I29" s="85">
        <f t="shared" si="0"/>
        <v>10874.5</v>
      </c>
      <c r="J29" s="81" t="s">
        <v>41</v>
      </c>
      <c r="K29" s="81"/>
      <c r="L29" s="81" t="s">
        <v>42</v>
      </c>
      <c r="M29" s="81" t="s">
        <v>43</v>
      </c>
      <c r="N29" s="81" t="s">
        <v>44</v>
      </c>
      <c r="O29" s="86">
        <v>543.74</v>
      </c>
      <c r="P29" s="88">
        <v>6</v>
      </c>
    </row>
    <row r="30" spans="1:16" s="87" customFormat="1" ht="21.95" customHeight="1">
      <c r="A30" s="80">
        <v>12</v>
      </c>
      <c r="B30" s="81" t="s">
        <v>55</v>
      </c>
      <c r="C30" s="81" t="s">
        <v>56</v>
      </c>
      <c r="D30" s="82" t="s">
        <v>38</v>
      </c>
      <c r="E30" s="81">
        <v>10317</v>
      </c>
      <c r="F30" s="83" t="s">
        <v>39</v>
      </c>
      <c r="G30" s="84">
        <v>0.88149999999999995</v>
      </c>
      <c r="H30" s="81" t="s">
        <v>40</v>
      </c>
      <c r="I30" s="85">
        <f t="shared" si="0"/>
        <v>9094.4354999999996</v>
      </c>
      <c r="J30" s="81" t="s">
        <v>41</v>
      </c>
      <c r="K30" s="81"/>
      <c r="L30" s="81" t="s">
        <v>42</v>
      </c>
      <c r="M30" s="81" t="s">
        <v>43</v>
      </c>
      <c r="N30" s="81" t="s">
        <v>44</v>
      </c>
      <c r="O30" s="86">
        <v>385.17</v>
      </c>
      <c r="P30" s="88">
        <v>12</v>
      </c>
    </row>
    <row r="31" spans="1:16" s="87" customFormat="1" ht="21.95" customHeight="1">
      <c r="A31" s="80">
        <v>13</v>
      </c>
      <c r="B31" s="81" t="s">
        <v>57</v>
      </c>
      <c r="C31" s="81" t="s">
        <v>58</v>
      </c>
      <c r="D31" s="82" t="s">
        <v>38</v>
      </c>
      <c r="E31" s="81">
        <v>246</v>
      </c>
      <c r="F31" s="83" t="s">
        <v>39</v>
      </c>
      <c r="G31" s="84">
        <v>7.99</v>
      </c>
      <c r="H31" s="81" t="s">
        <v>40</v>
      </c>
      <c r="I31" s="85">
        <f t="shared" si="0"/>
        <v>1965.54</v>
      </c>
      <c r="J31" s="81" t="s">
        <v>41</v>
      </c>
      <c r="K31" s="81"/>
      <c r="L31" s="81" t="s">
        <v>42</v>
      </c>
      <c r="M31" s="81" t="s">
        <v>43</v>
      </c>
      <c r="N31" s="81" t="s">
        <v>44</v>
      </c>
      <c r="O31" s="86">
        <v>33.21</v>
      </c>
      <c r="P31" s="88">
        <v>11</v>
      </c>
    </row>
    <row r="32" spans="1:16" s="87" customFormat="1" ht="21.95" customHeight="1">
      <c r="A32" s="80">
        <v>14</v>
      </c>
      <c r="B32" s="81" t="s">
        <v>59</v>
      </c>
      <c r="C32" s="81">
        <v>2250802827</v>
      </c>
      <c r="D32" s="82" t="s">
        <v>38</v>
      </c>
      <c r="E32" s="81">
        <v>17649</v>
      </c>
      <c r="F32" s="83" t="s">
        <v>39</v>
      </c>
      <c r="G32" s="84">
        <v>3.9300000000000002E-2</v>
      </c>
      <c r="H32" s="81" t="s">
        <v>40</v>
      </c>
      <c r="I32" s="85">
        <f t="shared" si="0"/>
        <v>693.60570000000007</v>
      </c>
      <c r="J32" s="81" t="s">
        <v>41</v>
      </c>
      <c r="K32" s="81"/>
      <c r="L32" s="81" t="s">
        <v>42</v>
      </c>
      <c r="M32" s="81" t="s">
        <v>43</v>
      </c>
      <c r="N32" s="81" t="s">
        <v>44</v>
      </c>
      <c r="O32" s="86">
        <v>23.72</v>
      </c>
      <c r="P32" s="88">
        <v>2</v>
      </c>
    </row>
    <row r="33" spans="1:16" s="87" customFormat="1" ht="21.95" customHeight="1">
      <c r="A33" s="80">
        <v>15</v>
      </c>
      <c r="B33" s="81" t="s">
        <v>59</v>
      </c>
      <c r="C33" s="81">
        <v>2250802827</v>
      </c>
      <c r="D33" s="82" t="s">
        <v>38</v>
      </c>
      <c r="E33" s="81">
        <v>398</v>
      </c>
      <c r="F33" s="83" t="s">
        <v>39</v>
      </c>
      <c r="G33" s="84">
        <v>3.9300000000000002E-2</v>
      </c>
      <c r="H33" s="81" t="s">
        <v>40</v>
      </c>
      <c r="I33" s="85">
        <f t="shared" si="0"/>
        <v>15.641400000000001</v>
      </c>
      <c r="J33" s="81" t="s">
        <v>41</v>
      </c>
      <c r="K33" s="81"/>
      <c r="L33" s="81" t="s">
        <v>42</v>
      </c>
      <c r="M33" s="81" t="s">
        <v>43</v>
      </c>
      <c r="N33" s="81" t="s">
        <v>44</v>
      </c>
      <c r="O33" s="86">
        <v>0.53</v>
      </c>
      <c r="P33" s="88">
        <v>2</v>
      </c>
    </row>
    <row r="34" spans="1:16" s="87" customFormat="1" ht="21.95" customHeight="1">
      <c r="A34" s="80">
        <v>16</v>
      </c>
      <c r="B34" s="81" t="s">
        <v>59</v>
      </c>
      <c r="C34" s="81" t="s">
        <v>60</v>
      </c>
      <c r="D34" s="82" t="s">
        <v>38</v>
      </c>
      <c r="E34" s="81">
        <v>1366</v>
      </c>
      <c r="F34" s="83" t="s">
        <v>39</v>
      </c>
      <c r="G34" s="84">
        <v>3.9300000000000002E-2</v>
      </c>
      <c r="H34" s="81" t="s">
        <v>40</v>
      </c>
      <c r="I34" s="85">
        <f t="shared" si="0"/>
        <v>53.683800000000005</v>
      </c>
      <c r="J34" s="81" t="s">
        <v>41</v>
      </c>
      <c r="K34" s="81"/>
      <c r="L34" s="81" t="s">
        <v>42</v>
      </c>
      <c r="M34" s="81" t="s">
        <v>43</v>
      </c>
      <c r="N34" s="81" t="s">
        <v>44</v>
      </c>
      <c r="O34" s="86">
        <v>1.84</v>
      </c>
      <c r="P34" s="88">
        <v>2</v>
      </c>
    </row>
    <row r="35" spans="1:16" s="87" customFormat="1" ht="21.95" customHeight="1">
      <c r="A35" s="80">
        <v>17</v>
      </c>
      <c r="B35" s="81" t="s">
        <v>59</v>
      </c>
      <c r="C35" s="81" t="s">
        <v>60</v>
      </c>
      <c r="D35" s="82" t="s">
        <v>38</v>
      </c>
      <c r="E35" s="81">
        <v>12587</v>
      </c>
      <c r="F35" s="83" t="s">
        <v>39</v>
      </c>
      <c r="G35" s="84">
        <v>3.9300000000000002E-2</v>
      </c>
      <c r="H35" s="81" t="s">
        <v>40</v>
      </c>
      <c r="I35" s="85">
        <f t="shared" si="0"/>
        <v>494.66910000000001</v>
      </c>
      <c r="J35" s="81" t="s">
        <v>41</v>
      </c>
      <c r="K35" s="81"/>
      <c r="L35" s="81" t="s">
        <v>42</v>
      </c>
      <c r="M35" s="81" t="s">
        <v>43</v>
      </c>
      <c r="N35" s="81" t="s">
        <v>44</v>
      </c>
      <c r="O35" s="86">
        <v>16.920000000000002</v>
      </c>
      <c r="P35" s="88">
        <v>2</v>
      </c>
    </row>
    <row r="36" spans="1:16" s="87" customFormat="1" ht="21.95" customHeight="1">
      <c r="A36" s="80">
        <v>18</v>
      </c>
      <c r="B36" s="81" t="s">
        <v>61</v>
      </c>
      <c r="C36" s="81" t="s">
        <v>62</v>
      </c>
      <c r="D36" s="82" t="s">
        <v>38</v>
      </c>
      <c r="E36" s="81">
        <v>1022</v>
      </c>
      <c r="F36" s="83" t="s">
        <v>39</v>
      </c>
      <c r="G36" s="84">
        <v>1.57</v>
      </c>
      <c r="H36" s="81" t="s">
        <v>40</v>
      </c>
      <c r="I36" s="85">
        <f t="shared" si="0"/>
        <v>1604.54</v>
      </c>
      <c r="J36" s="81" t="s">
        <v>41</v>
      </c>
      <c r="K36" s="81"/>
      <c r="L36" s="81" t="s">
        <v>42</v>
      </c>
      <c r="M36" s="81" t="s">
        <v>43</v>
      </c>
      <c r="N36" s="81" t="s">
        <v>44</v>
      </c>
      <c r="O36" s="86">
        <v>86.87</v>
      </c>
      <c r="P36" s="88">
        <v>5</v>
      </c>
    </row>
    <row r="37" spans="1:16" s="87" customFormat="1" ht="21.95" customHeight="1">
      <c r="A37" s="80">
        <v>19</v>
      </c>
      <c r="B37" s="81" t="s">
        <v>61</v>
      </c>
      <c r="C37" s="81" t="s">
        <v>52</v>
      </c>
      <c r="D37" s="82" t="s">
        <v>38</v>
      </c>
      <c r="E37" s="81">
        <v>3696</v>
      </c>
      <c r="F37" s="83" t="s">
        <v>39</v>
      </c>
      <c r="G37" s="84">
        <v>1.57</v>
      </c>
      <c r="H37" s="81" t="s">
        <v>40</v>
      </c>
      <c r="I37" s="85">
        <f t="shared" si="0"/>
        <v>5802.72</v>
      </c>
      <c r="J37" s="81" t="s">
        <v>41</v>
      </c>
      <c r="K37" s="81"/>
      <c r="L37" s="81" t="s">
        <v>42</v>
      </c>
      <c r="M37" s="81" t="s">
        <v>43</v>
      </c>
      <c r="N37" s="81" t="s">
        <v>44</v>
      </c>
      <c r="O37" s="86">
        <v>314.16000000000003</v>
      </c>
      <c r="P37" s="88">
        <v>5</v>
      </c>
    </row>
    <row r="38" spans="1:16" s="87" customFormat="1" ht="21.95" customHeight="1">
      <c r="A38" s="80">
        <v>20</v>
      </c>
      <c r="B38" s="81" t="s">
        <v>61</v>
      </c>
      <c r="C38" s="81" t="s">
        <v>63</v>
      </c>
      <c r="D38" s="82" t="s">
        <v>38</v>
      </c>
      <c r="E38" s="81">
        <v>1300</v>
      </c>
      <c r="F38" s="83" t="s">
        <v>39</v>
      </c>
      <c r="G38" s="84">
        <v>1.57</v>
      </c>
      <c r="H38" s="81" t="s">
        <v>40</v>
      </c>
      <c r="I38" s="85">
        <f t="shared" si="0"/>
        <v>2041</v>
      </c>
      <c r="J38" s="81" t="s">
        <v>41</v>
      </c>
      <c r="K38" s="81"/>
      <c r="L38" s="81" t="s">
        <v>42</v>
      </c>
      <c r="M38" s="81" t="s">
        <v>43</v>
      </c>
      <c r="N38" s="81" t="s">
        <v>44</v>
      </c>
      <c r="O38" s="86">
        <v>110.5</v>
      </c>
      <c r="P38" s="88">
        <v>5</v>
      </c>
    </row>
    <row r="39" spans="1:16" s="87" customFormat="1" ht="21.95" customHeight="1">
      <c r="A39" s="80">
        <v>21</v>
      </c>
      <c r="B39" s="81" t="s">
        <v>61</v>
      </c>
      <c r="C39" s="81" t="s">
        <v>54</v>
      </c>
      <c r="D39" s="82" t="s">
        <v>38</v>
      </c>
      <c r="E39" s="81">
        <v>1078</v>
      </c>
      <c r="F39" s="83" t="s">
        <v>39</v>
      </c>
      <c r="G39" s="84">
        <v>1.57</v>
      </c>
      <c r="H39" s="81" t="s">
        <v>40</v>
      </c>
      <c r="I39" s="85">
        <f t="shared" si="0"/>
        <v>1692.46</v>
      </c>
      <c r="J39" s="81" t="s">
        <v>41</v>
      </c>
      <c r="K39" s="81"/>
      <c r="L39" s="81" t="s">
        <v>42</v>
      </c>
      <c r="M39" s="81" t="s">
        <v>43</v>
      </c>
      <c r="N39" s="81" t="s">
        <v>44</v>
      </c>
      <c r="O39" s="86">
        <v>91.63</v>
      </c>
      <c r="P39" s="88">
        <v>5</v>
      </c>
    </row>
    <row r="40" spans="1:16" s="87" customFormat="1" ht="21.95" customHeight="1">
      <c r="A40" s="80">
        <v>22</v>
      </c>
      <c r="B40" s="81" t="s">
        <v>64</v>
      </c>
      <c r="C40" s="81" t="s">
        <v>65</v>
      </c>
      <c r="D40" s="82" t="s">
        <v>38</v>
      </c>
      <c r="E40" s="81">
        <v>148</v>
      </c>
      <c r="F40" s="83" t="s">
        <v>39</v>
      </c>
      <c r="G40" s="84">
        <v>1.54</v>
      </c>
      <c r="H40" s="81" t="s">
        <v>40</v>
      </c>
      <c r="I40" s="85">
        <f t="shared" si="0"/>
        <v>227.92000000000002</v>
      </c>
      <c r="J40" s="81" t="s">
        <v>41</v>
      </c>
      <c r="K40" s="81"/>
      <c r="L40" s="81" t="s">
        <v>42</v>
      </c>
      <c r="M40" s="81" t="s">
        <v>43</v>
      </c>
      <c r="N40" s="81" t="s">
        <v>44</v>
      </c>
      <c r="O40" s="86">
        <v>11.95</v>
      </c>
      <c r="P40" s="88">
        <v>9</v>
      </c>
    </row>
    <row r="41" spans="1:16" s="87" customFormat="1" ht="21.95" customHeight="1">
      <c r="A41" s="80">
        <v>23</v>
      </c>
      <c r="B41" s="81" t="s">
        <v>64</v>
      </c>
      <c r="C41" s="81" t="s">
        <v>65</v>
      </c>
      <c r="D41" s="82" t="s">
        <v>38</v>
      </c>
      <c r="E41" s="81">
        <v>764</v>
      </c>
      <c r="F41" s="83" t="s">
        <v>39</v>
      </c>
      <c r="G41" s="84">
        <v>1.54</v>
      </c>
      <c r="H41" s="81" t="s">
        <v>40</v>
      </c>
      <c r="I41" s="85">
        <f t="shared" si="0"/>
        <v>1176.56</v>
      </c>
      <c r="J41" s="81" t="s">
        <v>41</v>
      </c>
      <c r="K41" s="81"/>
      <c r="L41" s="81" t="s">
        <v>42</v>
      </c>
      <c r="M41" s="81" t="s">
        <v>43</v>
      </c>
      <c r="N41" s="81" t="s">
        <v>44</v>
      </c>
      <c r="O41" s="86">
        <v>61.69</v>
      </c>
      <c r="P41" s="88">
        <v>9</v>
      </c>
    </row>
    <row r="42" spans="1:16" s="87" customFormat="1" ht="21.95" customHeight="1">
      <c r="A42" s="80">
        <v>24</v>
      </c>
      <c r="B42" s="81" t="s">
        <v>66</v>
      </c>
      <c r="C42" s="81" t="s">
        <v>65</v>
      </c>
      <c r="D42" s="82" t="s">
        <v>38</v>
      </c>
      <c r="E42" s="81">
        <v>148</v>
      </c>
      <c r="F42" s="83" t="s">
        <v>39</v>
      </c>
      <c r="G42" s="84">
        <v>2.5000000000000001E-2</v>
      </c>
      <c r="H42" s="81" t="s">
        <v>40</v>
      </c>
      <c r="I42" s="85">
        <f t="shared" si="0"/>
        <v>3.7</v>
      </c>
      <c r="J42" s="81" t="s">
        <v>41</v>
      </c>
      <c r="K42" s="81"/>
      <c r="L42" s="81" t="s">
        <v>42</v>
      </c>
      <c r="M42" s="81" t="s">
        <v>43</v>
      </c>
      <c r="N42" s="81" t="s">
        <v>44</v>
      </c>
      <c r="O42" s="86">
        <v>0.63</v>
      </c>
      <c r="P42" s="88">
        <v>4</v>
      </c>
    </row>
    <row r="43" spans="1:16" s="87" customFormat="1" ht="21.95" customHeight="1">
      <c r="A43" s="80">
        <v>25</v>
      </c>
      <c r="B43" s="81" t="s">
        <v>66</v>
      </c>
      <c r="C43" s="81" t="s">
        <v>65</v>
      </c>
      <c r="D43" s="82" t="s">
        <v>38</v>
      </c>
      <c r="E43" s="81">
        <v>764</v>
      </c>
      <c r="F43" s="83" t="s">
        <v>39</v>
      </c>
      <c r="G43" s="84">
        <v>2.5000000000000001E-2</v>
      </c>
      <c r="H43" s="81" t="s">
        <v>40</v>
      </c>
      <c r="I43" s="85">
        <f t="shared" si="0"/>
        <v>19.100000000000001</v>
      </c>
      <c r="J43" s="81" t="s">
        <v>41</v>
      </c>
      <c r="K43" s="81"/>
      <c r="L43" s="81" t="s">
        <v>42</v>
      </c>
      <c r="M43" s="81" t="s">
        <v>43</v>
      </c>
      <c r="N43" s="81" t="s">
        <v>44</v>
      </c>
      <c r="O43" s="86">
        <v>3.25</v>
      </c>
      <c r="P43" s="88">
        <v>4</v>
      </c>
    </row>
    <row r="44" spans="1:16" s="87" customFormat="1" ht="21.95" customHeight="1">
      <c r="A44" s="80">
        <v>26</v>
      </c>
      <c r="B44" s="81" t="s">
        <v>67</v>
      </c>
      <c r="C44" s="81" t="s">
        <v>68</v>
      </c>
      <c r="D44" s="82" t="s">
        <v>38</v>
      </c>
      <c r="E44" s="81">
        <v>2772</v>
      </c>
      <c r="F44" s="83" t="s">
        <v>39</v>
      </c>
      <c r="G44" s="84">
        <v>1.1599999999999999</v>
      </c>
      <c r="H44" s="81" t="s">
        <v>40</v>
      </c>
      <c r="I44" s="85">
        <f t="shared" si="0"/>
        <v>3215.52</v>
      </c>
      <c r="J44" s="81" t="s">
        <v>41</v>
      </c>
      <c r="K44" s="81"/>
      <c r="L44" s="81" t="s">
        <v>42</v>
      </c>
      <c r="M44" s="81" t="s">
        <v>43</v>
      </c>
      <c r="N44" s="81" t="s">
        <v>44</v>
      </c>
      <c r="O44" s="86">
        <v>116.42</v>
      </c>
      <c r="P44" s="88">
        <v>10</v>
      </c>
    </row>
    <row r="45" spans="1:16" s="87" customFormat="1" ht="21.95" customHeight="1">
      <c r="A45" s="80">
        <v>27</v>
      </c>
      <c r="B45" s="81" t="s">
        <v>67</v>
      </c>
      <c r="C45" s="81" t="s">
        <v>69</v>
      </c>
      <c r="D45" s="82" t="s">
        <v>38</v>
      </c>
      <c r="E45" s="81">
        <v>3142</v>
      </c>
      <c r="F45" s="83" t="s">
        <v>39</v>
      </c>
      <c r="G45" s="84">
        <v>1.1599999999999999</v>
      </c>
      <c r="H45" s="81" t="s">
        <v>40</v>
      </c>
      <c r="I45" s="85">
        <f t="shared" si="0"/>
        <v>3644.72</v>
      </c>
      <c r="J45" s="81" t="s">
        <v>41</v>
      </c>
      <c r="K45" s="81"/>
      <c r="L45" s="81" t="s">
        <v>42</v>
      </c>
      <c r="M45" s="81" t="s">
        <v>43</v>
      </c>
      <c r="N45" s="81" t="s">
        <v>44</v>
      </c>
      <c r="O45" s="86">
        <v>131.97</v>
      </c>
      <c r="P45" s="88">
        <v>10</v>
      </c>
    </row>
    <row r="46" spans="1:16" s="87" customFormat="1" ht="21.95" customHeight="1">
      <c r="A46" s="80">
        <v>28</v>
      </c>
      <c r="B46" s="81" t="s">
        <v>67</v>
      </c>
      <c r="C46" s="81" t="s">
        <v>68</v>
      </c>
      <c r="D46" s="82" t="s">
        <v>38</v>
      </c>
      <c r="E46" s="81">
        <v>578</v>
      </c>
      <c r="F46" s="83" t="s">
        <v>39</v>
      </c>
      <c r="G46" s="84">
        <v>1.1599999999999999</v>
      </c>
      <c r="H46" s="81" t="s">
        <v>40</v>
      </c>
      <c r="I46" s="85">
        <f t="shared" si="0"/>
        <v>670.4799999999999</v>
      </c>
      <c r="J46" s="81" t="s">
        <v>41</v>
      </c>
      <c r="K46" s="81"/>
      <c r="L46" s="81" t="s">
        <v>42</v>
      </c>
      <c r="M46" s="81" t="s">
        <v>43</v>
      </c>
      <c r="N46" s="81" t="s">
        <v>44</v>
      </c>
      <c r="O46" s="86">
        <v>24.28</v>
      </c>
      <c r="P46" s="88">
        <v>10</v>
      </c>
    </row>
    <row r="47" spans="1:16" s="87" customFormat="1" ht="21.95" customHeight="1">
      <c r="A47" s="80">
        <v>29</v>
      </c>
      <c r="B47" s="81" t="s">
        <v>70</v>
      </c>
      <c r="C47" s="81" t="s">
        <v>71</v>
      </c>
      <c r="D47" s="82" t="s">
        <v>38</v>
      </c>
      <c r="E47" s="81">
        <v>4150</v>
      </c>
      <c r="F47" s="83" t="s">
        <v>39</v>
      </c>
      <c r="G47" s="84">
        <v>3.62</v>
      </c>
      <c r="H47" s="81" t="s">
        <v>40</v>
      </c>
      <c r="I47" s="85">
        <f t="shared" si="0"/>
        <v>15023</v>
      </c>
      <c r="J47" s="81" t="s">
        <v>41</v>
      </c>
      <c r="K47" s="81"/>
      <c r="L47" s="81" t="s">
        <v>42</v>
      </c>
      <c r="M47" s="81" t="s">
        <v>43</v>
      </c>
      <c r="N47" s="81" t="s">
        <v>44</v>
      </c>
      <c r="O47" s="86">
        <v>601.75</v>
      </c>
      <c r="P47" s="88">
        <v>8</v>
      </c>
    </row>
    <row r="48" spans="1:16" s="87" customFormat="1" ht="21.95" customHeight="1">
      <c r="A48" s="80"/>
      <c r="B48" s="81"/>
      <c r="C48" s="81"/>
      <c r="D48" s="82"/>
      <c r="E48" s="81"/>
      <c r="F48" s="83"/>
      <c r="G48" s="84"/>
      <c r="H48" s="81"/>
      <c r="I48" s="85"/>
      <c r="J48" s="81"/>
      <c r="K48" s="81"/>
      <c r="L48" s="81"/>
      <c r="M48" s="81"/>
      <c r="N48" s="81"/>
      <c r="O48" s="86"/>
      <c r="P48" s="88"/>
    </row>
    <row r="49" spans="1:15">
      <c r="A49" s="61"/>
      <c r="B49" s="135" t="s">
        <v>72</v>
      </c>
      <c r="C49" s="135"/>
      <c r="D49" s="135"/>
      <c r="E49" s="105">
        <f>SUM(E19:E47)</f>
        <v>89627</v>
      </c>
      <c r="F49" s="47"/>
      <c r="G49" s="62"/>
      <c r="H49" s="62"/>
      <c r="I49" s="90">
        <f>SUM(I19:I47)</f>
        <v>100334.6891</v>
      </c>
      <c r="J49" s="62"/>
      <c r="K49" s="62"/>
      <c r="L49" s="62"/>
      <c r="M49" s="62"/>
      <c r="N49" s="62"/>
      <c r="O49" s="109">
        <f>SUM(O19:O47)</f>
        <v>4305.7200000000012</v>
      </c>
    </row>
    <row r="51" spans="1:15">
      <c r="I51" s="134" t="s">
        <v>73</v>
      </c>
      <c r="J51" s="134"/>
      <c r="K51" s="134"/>
      <c r="L51" s="134"/>
      <c r="M51" s="134"/>
    </row>
    <row r="52" spans="1:15">
      <c r="I52" s="134" t="s">
        <v>74</v>
      </c>
      <c r="J52" s="134"/>
      <c r="K52" s="134"/>
      <c r="L52" s="134"/>
      <c r="M52" s="134"/>
    </row>
    <row r="53" spans="1:15">
      <c r="I53" s="134" t="s">
        <v>75</v>
      </c>
      <c r="J53" s="134"/>
      <c r="K53" s="134"/>
      <c r="L53" s="134"/>
      <c r="M53" s="134"/>
    </row>
    <row r="54" spans="1:15">
      <c r="I54" s="134" t="s">
        <v>76</v>
      </c>
      <c r="J54" s="134"/>
      <c r="K54" s="134"/>
      <c r="L54" s="134"/>
      <c r="M54" s="134"/>
    </row>
    <row r="55" spans="1:15">
      <c r="I55" s="134" t="s">
        <v>77</v>
      </c>
      <c r="J55" s="134"/>
      <c r="K55" s="134"/>
      <c r="L55" s="134"/>
      <c r="M55" s="134"/>
    </row>
    <row r="56" spans="1:15">
      <c r="I56" s="134" t="s">
        <v>78</v>
      </c>
      <c r="J56" s="134"/>
      <c r="K56" s="134"/>
      <c r="L56" s="134"/>
      <c r="M56" s="134"/>
    </row>
    <row r="57" spans="1:15">
      <c r="I57" s="134" t="s">
        <v>79</v>
      </c>
      <c r="J57" s="134"/>
      <c r="K57" s="134"/>
      <c r="L57" s="134"/>
      <c r="M57" s="134"/>
    </row>
    <row r="58" spans="1:15">
      <c r="I58" s="134" t="s">
        <v>80</v>
      </c>
      <c r="J58" s="134"/>
      <c r="K58" s="79"/>
      <c r="L58" s="79"/>
      <c r="M58" s="79"/>
    </row>
    <row r="63" spans="1:15" hidden="1">
      <c r="C63" s="88">
        <v>6874</v>
      </c>
      <c r="D63" s="88">
        <v>670.23</v>
      </c>
      <c r="E63" s="88">
        <v>725.07</v>
      </c>
      <c r="F63" s="88">
        <v>20622</v>
      </c>
      <c r="G63" s="88">
        <v>46</v>
      </c>
    </row>
    <row r="64" spans="1:15" hidden="1">
      <c r="C64" s="88">
        <v>31191</v>
      </c>
      <c r="D64" s="88">
        <v>2037.38</v>
      </c>
      <c r="E64" s="88">
        <v>2280.2600000000002</v>
      </c>
      <c r="F64" s="88">
        <v>43333.37</v>
      </c>
      <c r="G64" s="88">
        <v>161</v>
      </c>
    </row>
    <row r="65" spans="3:7" hidden="1">
      <c r="C65" s="88">
        <v>51562</v>
      </c>
      <c r="D65" s="88">
        <v>1598.11</v>
      </c>
      <c r="E65" s="88">
        <v>1814.37</v>
      </c>
      <c r="F65" s="88">
        <v>36379.32</v>
      </c>
      <c r="G65" s="88">
        <v>105</v>
      </c>
    </row>
    <row r="66" spans="3:7" hidden="1">
      <c r="C66" s="88">
        <f t="shared" ref="C66:F66" si="1">SUM(C63:C65)</f>
        <v>89627</v>
      </c>
      <c r="D66" s="88">
        <f t="shared" si="1"/>
        <v>4305.72</v>
      </c>
      <c r="E66" s="88">
        <f t="shared" si="1"/>
        <v>4819.7000000000007</v>
      </c>
      <c r="F66" s="89">
        <f t="shared" si="1"/>
        <v>100334.69</v>
      </c>
      <c r="G66" s="88">
        <f>SUM(G63:G65)</f>
        <v>312</v>
      </c>
    </row>
    <row r="67" spans="3:7">
      <c r="C67" s="88"/>
      <c r="D67" s="88"/>
      <c r="E67" s="88"/>
      <c r="F67" s="88"/>
      <c r="G67" s="88"/>
    </row>
  </sheetData>
  <mergeCells count="14">
    <mergeCell ref="B49:D49"/>
    <mergeCell ref="A4:D5"/>
    <mergeCell ref="A8:D9"/>
    <mergeCell ref="A1:O1"/>
    <mergeCell ref="B14:D14"/>
    <mergeCell ref="B17:D17"/>
    <mergeCell ref="I56:M56"/>
    <mergeCell ref="I57:M57"/>
    <mergeCell ref="I58:J58"/>
    <mergeCell ref="I51:M51"/>
    <mergeCell ref="I52:M52"/>
    <mergeCell ref="I53:M53"/>
    <mergeCell ref="I54:M54"/>
    <mergeCell ref="I55:M55"/>
  </mergeCells>
  <phoneticPr fontId="15" type="noConversion"/>
  <pageMargins left="0.59055118110236227" right="0.59055118110236227" top="0.78740157480314965" bottom="0.59055118110236227" header="0.51181102362204722" footer="0.51181102362204722"/>
  <pageSetup paperSize="9" scale="53" orientation="portrait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94"/>
  <sheetViews>
    <sheetView showGridLines="0" topLeftCell="A73" zoomScaleNormal="100" workbookViewId="0">
      <selection activeCell="F95" sqref="F95"/>
    </sheetView>
  </sheetViews>
  <sheetFormatPr defaultColWidth="9" defaultRowHeight="14.45"/>
  <cols>
    <col min="2" max="2" width="13.25" customWidth="1"/>
    <col min="3" max="3" width="15.625" customWidth="1"/>
    <col min="4" max="4" width="9" customWidth="1"/>
    <col min="5" max="5" width="9.75" customWidth="1"/>
    <col min="6" max="6" width="11.5" customWidth="1"/>
    <col min="7" max="7" width="10.125" customWidth="1"/>
    <col min="8" max="8" width="11.625" style="91" customWidth="1"/>
    <col min="9" max="9" width="11.375" style="91" customWidth="1"/>
    <col min="10" max="10" width="14.75" customWidth="1"/>
  </cols>
  <sheetData>
    <row r="1" spans="1:10" ht="27.75" customHeight="1">
      <c r="A1" s="161" t="s">
        <v>81</v>
      </c>
      <c r="B1" s="162"/>
      <c r="C1" s="162"/>
      <c r="D1" s="162"/>
      <c r="E1" s="162"/>
      <c r="F1" s="162"/>
      <c r="G1" s="162"/>
      <c r="H1" s="162"/>
      <c r="I1" s="162"/>
      <c r="J1" s="162"/>
    </row>
    <row r="2" spans="1:10">
      <c r="A2" s="1" t="s">
        <v>1</v>
      </c>
      <c r="B2" s="2"/>
      <c r="C2" s="3"/>
      <c r="D2" s="3"/>
      <c r="E2" s="4"/>
      <c r="F2" s="2" t="s">
        <v>82</v>
      </c>
      <c r="G2" s="3"/>
      <c r="H2" s="92"/>
      <c r="I2" s="92"/>
      <c r="J2" s="73"/>
    </row>
    <row r="3" spans="1:10">
      <c r="A3" s="63" t="s">
        <v>3</v>
      </c>
      <c r="B3" s="20"/>
      <c r="C3" s="5"/>
      <c r="D3" s="5"/>
      <c r="E3" s="6"/>
      <c r="F3" s="7" t="str">
        <f>INVOICE!E3</f>
        <v>S510B2512090102</v>
      </c>
      <c r="G3" s="5"/>
      <c r="H3" s="93"/>
      <c r="I3" s="93"/>
      <c r="J3" s="30"/>
    </row>
    <row r="4" spans="1:10">
      <c r="A4" s="177" t="s">
        <v>5</v>
      </c>
      <c r="B4" s="178"/>
      <c r="C4" s="178"/>
      <c r="D4" s="178"/>
      <c r="E4" s="179"/>
      <c r="F4" s="59">
        <f>INVOICE!E4</f>
        <v>46000</v>
      </c>
      <c r="G4" s="5"/>
      <c r="H4" s="93"/>
      <c r="I4" s="93"/>
      <c r="J4" s="30"/>
    </row>
    <row r="5" spans="1:10">
      <c r="A5" s="177"/>
      <c r="B5" s="178"/>
      <c r="C5" s="178"/>
      <c r="D5" s="178"/>
      <c r="E5" s="179"/>
      <c r="F5" s="8"/>
      <c r="G5" s="5"/>
      <c r="H5" s="93"/>
      <c r="I5" s="93"/>
      <c r="J5" s="30"/>
    </row>
    <row r="6" spans="1:10" ht="18.75" customHeight="1">
      <c r="A6" s="180"/>
      <c r="B6" s="181"/>
      <c r="C6" s="181"/>
      <c r="D6" s="181"/>
      <c r="E6" s="182"/>
      <c r="F6" s="10"/>
      <c r="G6" s="11"/>
      <c r="H6" s="94"/>
      <c r="I6" s="94"/>
      <c r="J6" s="16"/>
    </row>
    <row r="7" spans="1:10">
      <c r="A7" s="21" t="s">
        <v>6</v>
      </c>
      <c r="B7" s="12"/>
      <c r="C7" s="3"/>
      <c r="D7" s="3"/>
      <c r="E7" s="70"/>
      <c r="F7" s="12" t="s">
        <v>83</v>
      </c>
      <c r="G7" s="5"/>
      <c r="H7" s="93"/>
      <c r="I7" s="93"/>
      <c r="J7" s="30"/>
    </row>
    <row r="8" spans="1:10" ht="18.75" customHeight="1">
      <c r="A8" s="60" t="s">
        <v>8</v>
      </c>
      <c r="B8" s="20"/>
      <c r="C8" s="5"/>
      <c r="D8" s="5"/>
      <c r="E8" s="6"/>
      <c r="F8" s="13"/>
      <c r="G8" s="14"/>
      <c r="H8" s="95"/>
      <c r="I8" s="95"/>
      <c r="J8" s="30"/>
    </row>
    <row r="9" spans="1:10" ht="14.25" customHeight="1">
      <c r="A9" s="171" t="s">
        <v>10</v>
      </c>
      <c r="B9" s="172"/>
      <c r="C9" s="172"/>
      <c r="D9" s="172"/>
      <c r="E9" s="173"/>
      <c r="F9" s="13"/>
      <c r="G9" s="5"/>
      <c r="H9" s="93"/>
      <c r="I9" s="95"/>
      <c r="J9" s="30"/>
    </row>
    <row r="10" spans="1:10">
      <c r="A10" s="174"/>
      <c r="B10" s="175"/>
      <c r="C10" s="175"/>
      <c r="D10" s="175"/>
      <c r="E10" s="176"/>
      <c r="F10" s="13"/>
      <c r="G10" s="5"/>
      <c r="H10" s="93"/>
      <c r="I10" s="95"/>
      <c r="J10" s="30"/>
    </row>
    <row r="11" spans="1:10" ht="15">
      <c r="A11" s="17" t="s">
        <v>11</v>
      </c>
      <c r="B11" s="13"/>
      <c r="C11" s="5"/>
      <c r="D11" s="5"/>
      <c r="E11" s="6"/>
      <c r="F11" s="18"/>
      <c r="G11" s="19"/>
      <c r="H11" s="93"/>
      <c r="I11" s="93"/>
      <c r="J11" s="30"/>
    </row>
    <row r="12" spans="1:10" ht="15">
      <c r="A12" s="60" t="s">
        <v>8</v>
      </c>
      <c r="B12" s="20"/>
      <c r="C12" s="20"/>
      <c r="D12" s="20"/>
      <c r="E12" s="6"/>
      <c r="F12" s="18"/>
      <c r="G12" s="19"/>
      <c r="H12" s="93"/>
      <c r="I12" s="93"/>
      <c r="J12" s="30"/>
    </row>
    <row r="13" spans="1:10">
      <c r="A13" s="171" t="s">
        <v>10</v>
      </c>
      <c r="B13" s="172"/>
      <c r="C13" s="172"/>
      <c r="D13" s="172"/>
      <c r="E13" s="173"/>
      <c r="F13" s="5"/>
      <c r="G13" s="5"/>
      <c r="H13" s="93"/>
      <c r="I13" s="93"/>
      <c r="J13" s="30"/>
    </row>
    <row r="14" spans="1:10" ht="9.75" customHeight="1">
      <c r="A14" s="174"/>
      <c r="B14" s="175"/>
      <c r="C14" s="175"/>
      <c r="D14" s="175"/>
      <c r="E14" s="176"/>
      <c r="F14" s="71"/>
      <c r="G14" s="72"/>
      <c r="H14" s="96"/>
      <c r="I14" s="99"/>
      <c r="J14" s="30"/>
    </row>
    <row r="15" spans="1:10" ht="19.5" customHeight="1">
      <c r="A15" s="21" t="s">
        <v>84</v>
      </c>
      <c r="B15" s="12"/>
      <c r="C15" s="4"/>
      <c r="D15" s="12" t="s">
        <v>85</v>
      </c>
      <c r="E15" s="22"/>
      <c r="F15" s="71"/>
      <c r="G15" s="72"/>
      <c r="H15" s="97"/>
      <c r="I15" s="93"/>
      <c r="J15" s="30"/>
    </row>
    <row r="16" spans="1:10" ht="19.5" customHeight="1">
      <c r="A16" s="163"/>
      <c r="B16" s="164"/>
      <c r="C16" s="165"/>
      <c r="D16" s="163"/>
      <c r="E16" s="165"/>
      <c r="F16" s="71"/>
      <c r="G16" s="72"/>
      <c r="H16" s="97"/>
      <c r="I16" s="93"/>
      <c r="J16" s="30"/>
    </row>
    <row r="17" spans="1:10" ht="19.5" customHeight="1">
      <c r="A17" s="21" t="s">
        <v>17</v>
      </c>
      <c r="B17" s="12"/>
      <c r="C17" s="4"/>
      <c r="D17" s="12" t="s">
        <v>18</v>
      </c>
      <c r="E17" s="22"/>
      <c r="F17" s="5"/>
      <c r="G17" s="5"/>
      <c r="H17" s="93"/>
      <c r="I17" s="93"/>
      <c r="J17" s="30"/>
    </row>
    <row r="18" spans="1:10" ht="19.5" customHeight="1">
      <c r="A18" s="163"/>
      <c r="B18" s="164"/>
      <c r="C18" s="165"/>
      <c r="D18" s="163"/>
      <c r="E18" s="165"/>
      <c r="F18" s="10"/>
      <c r="G18" s="11"/>
      <c r="H18" s="94"/>
      <c r="I18" s="94"/>
      <c r="J18" s="74"/>
    </row>
    <row r="19" spans="1:10">
      <c r="A19" s="167" t="s">
        <v>86</v>
      </c>
      <c r="B19" s="169" t="s">
        <v>87</v>
      </c>
      <c r="C19" s="169" t="s">
        <v>88</v>
      </c>
      <c r="D19" s="169" t="s">
        <v>24</v>
      </c>
      <c r="E19" s="169"/>
      <c r="F19" s="185" t="s">
        <v>25</v>
      </c>
      <c r="G19" s="185" t="s">
        <v>26</v>
      </c>
      <c r="H19" s="126" t="s">
        <v>89</v>
      </c>
      <c r="I19" s="126" t="s">
        <v>90</v>
      </c>
      <c r="J19" s="183" t="s">
        <v>91</v>
      </c>
    </row>
    <row r="20" spans="1:10" ht="16.5" customHeight="1">
      <c r="A20" s="168"/>
      <c r="B20" s="170"/>
      <c r="C20" s="170"/>
      <c r="D20" s="170"/>
      <c r="E20" s="170"/>
      <c r="F20" s="186"/>
      <c r="G20" s="186"/>
      <c r="H20" s="127" t="s">
        <v>92</v>
      </c>
      <c r="I20" s="127" t="s">
        <v>92</v>
      </c>
      <c r="J20" s="184"/>
    </row>
    <row r="21" spans="1:10" ht="25.5" customHeight="1">
      <c r="A21" s="128">
        <v>23</v>
      </c>
      <c r="B21" s="129">
        <v>2250701118</v>
      </c>
      <c r="C21" s="129" t="s">
        <v>37</v>
      </c>
      <c r="D21" s="156" t="s">
        <v>38</v>
      </c>
      <c r="E21" s="157"/>
      <c r="F21" s="130">
        <v>3450</v>
      </c>
      <c r="G21" s="131" t="s">
        <v>39</v>
      </c>
      <c r="H21" s="132">
        <v>336.38</v>
      </c>
      <c r="I21" s="85">
        <v>345.69</v>
      </c>
      <c r="J21" s="133" t="s">
        <v>93</v>
      </c>
    </row>
    <row r="22" spans="1:10" ht="25.5" customHeight="1">
      <c r="A22" s="128">
        <v>9</v>
      </c>
      <c r="B22" s="129">
        <v>2250701118</v>
      </c>
      <c r="C22" s="129" t="s">
        <v>37</v>
      </c>
      <c r="D22" s="156" t="s">
        <v>38</v>
      </c>
      <c r="E22" s="157"/>
      <c r="F22" s="130">
        <v>1350</v>
      </c>
      <c r="G22" s="131" t="s">
        <v>39</v>
      </c>
      <c r="H22" s="132">
        <v>131.63</v>
      </c>
      <c r="I22" s="85">
        <v>135.27000000000001</v>
      </c>
      <c r="J22" s="133" t="s">
        <v>93</v>
      </c>
    </row>
    <row r="23" spans="1:10" ht="25.5" customHeight="1">
      <c r="A23" s="128">
        <v>1</v>
      </c>
      <c r="B23" s="129">
        <v>2250701118</v>
      </c>
      <c r="C23" s="129" t="s">
        <v>37</v>
      </c>
      <c r="D23" s="156" t="s">
        <v>38</v>
      </c>
      <c r="E23" s="157"/>
      <c r="F23" s="130">
        <v>124</v>
      </c>
      <c r="G23" s="131" t="s">
        <v>39</v>
      </c>
      <c r="H23" s="132">
        <v>12.09</v>
      </c>
      <c r="I23" s="85">
        <v>12.72</v>
      </c>
      <c r="J23" s="133" t="s">
        <v>93</v>
      </c>
    </row>
    <row r="24" spans="1:10" ht="25.5" customHeight="1">
      <c r="A24" s="128">
        <v>10</v>
      </c>
      <c r="B24" s="129">
        <v>2250701118</v>
      </c>
      <c r="C24" s="129" t="s">
        <v>37</v>
      </c>
      <c r="D24" s="156" t="s">
        <v>38</v>
      </c>
      <c r="E24" s="157"/>
      <c r="F24" s="130">
        <v>1500</v>
      </c>
      <c r="G24" s="131" t="s">
        <v>39</v>
      </c>
      <c r="H24" s="132">
        <v>146.25</v>
      </c>
      <c r="I24" s="85">
        <v>150.30000000000001</v>
      </c>
      <c r="J24" s="133" t="s">
        <v>93</v>
      </c>
    </row>
    <row r="25" spans="1:10" ht="25.5" customHeight="1">
      <c r="A25" s="128">
        <v>3</v>
      </c>
      <c r="B25" s="129">
        <v>2250701118</v>
      </c>
      <c r="C25" s="129" t="s">
        <v>37</v>
      </c>
      <c r="D25" s="156" t="s">
        <v>38</v>
      </c>
      <c r="E25" s="157"/>
      <c r="F25" s="130">
        <v>450</v>
      </c>
      <c r="G25" s="131" t="s">
        <v>39</v>
      </c>
      <c r="H25" s="132">
        <v>43.88</v>
      </c>
      <c r="I25" s="85">
        <v>45.09</v>
      </c>
      <c r="J25" s="133" t="s">
        <v>93</v>
      </c>
    </row>
    <row r="26" spans="1:10" ht="25.5" customHeight="1">
      <c r="A26" s="158">
        <v>32</v>
      </c>
      <c r="B26" s="129" t="s">
        <v>52</v>
      </c>
      <c r="C26" s="129" t="s">
        <v>51</v>
      </c>
      <c r="D26" s="156" t="s">
        <v>38</v>
      </c>
      <c r="E26" s="157"/>
      <c r="F26" s="130">
        <v>16</v>
      </c>
      <c r="G26" s="131" t="s">
        <v>39</v>
      </c>
      <c r="H26" s="132">
        <v>1.4</v>
      </c>
      <c r="I26" s="159">
        <v>454.4</v>
      </c>
      <c r="J26" s="133" t="s">
        <v>93</v>
      </c>
    </row>
    <row r="27" spans="1:10" ht="25.5" customHeight="1">
      <c r="A27" s="158"/>
      <c r="B27" s="129" t="s">
        <v>52</v>
      </c>
      <c r="C27" s="129" t="s">
        <v>51</v>
      </c>
      <c r="D27" s="156" t="s">
        <v>38</v>
      </c>
      <c r="E27" s="157"/>
      <c r="F27" s="130">
        <v>4784</v>
      </c>
      <c r="G27" s="131" t="s">
        <v>39</v>
      </c>
      <c r="H27" s="132">
        <v>418.6</v>
      </c>
      <c r="I27" s="159"/>
      <c r="J27" s="133" t="s">
        <v>93</v>
      </c>
    </row>
    <row r="28" spans="1:10" ht="25.5" customHeight="1">
      <c r="A28" s="158">
        <v>31</v>
      </c>
      <c r="B28" s="129" t="s">
        <v>52</v>
      </c>
      <c r="C28" s="129" t="s">
        <v>51</v>
      </c>
      <c r="D28" s="156" t="s">
        <v>38</v>
      </c>
      <c r="E28" s="157"/>
      <c r="F28" s="130">
        <v>3520</v>
      </c>
      <c r="G28" s="131" t="s">
        <v>39</v>
      </c>
      <c r="H28" s="132">
        <v>308</v>
      </c>
      <c r="I28" s="159">
        <v>440.2</v>
      </c>
      <c r="J28" s="133" t="s">
        <v>93</v>
      </c>
    </row>
    <row r="29" spans="1:10" ht="25.5" customHeight="1">
      <c r="A29" s="158"/>
      <c r="B29" s="129" t="s">
        <v>53</v>
      </c>
      <c r="C29" s="129" t="s">
        <v>51</v>
      </c>
      <c r="D29" s="156" t="s">
        <v>38</v>
      </c>
      <c r="E29" s="157"/>
      <c r="F29" s="130">
        <v>1130</v>
      </c>
      <c r="G29" s="131" t="s">
        <v>39</v>
      </c>
      <c r="H29" s="132">
        <v>98.88</v>
      </c>
      <c r="I29" s="159"/>
      <c r="J29" s="133" t="s">
        <v>93</v>
      </c>
    </row>
    <row r="30" spans="1:10" ht="25.5" customHeight="1">
      <c r="A30" s="158">
        <v>1</v>
      </c>
      <c r="B30" s="129" t="s">
        <v>53</v>
      </c>
      <c r="C30" s="129" t="s">
        <v>51</v>
      </c>
      <c r="D30" s="156" t="s">
        <v>38</v>
      </c>
      <c r="E30" s="157"/>
      <c r="F30" s="130">
        <v>132</v>
      </c>
      <c r="G30" s="131" t="s">
        <v>39</v>
      </c>
      <c r="H30" s="132">
        <v>11.55</v>
      </c>
      <c r="I30" s="159">
        <v>14.2</v>
      </c>
      <c r="J30" s="133" t="s">
        <v>93</v>
      </c>
    </row>
    <row r="31" spans="1:10" ht="25.5" customHeight="1">
      <c r="A31" s="158"/>
      <c r="B31" s="129" t="s">
        <v>54</v>
      </c>
      <c r="C31" s="129" t="s">
        <v>51</v>
      </c>
      <c r="D31" s="156" t="s">
        <v>38</v>
      </c>
      <c r="E31" s="157"/>
      <c r="F31" s="130">
        <v>18</v>
      </c>
      <c r="G31" s="131" t="s">
        <v>39</v>
      </c>
      <c r="H31" s="132">
        <v>1.58</v>
      </c>
      <c r="I31" s="159"/>
      <c r="J31" s="133" t="s">
        <v>93</v>
      </c>
    </row>
    <row r="32" spans="1:10" ht="25.5" customHeight="1">
      <c r="A32" s="128">
        <v>32</v>
      </c>
      <c r="B32" s="129" t="s">
        <v>54</v>
      </c>
      <c r="C32" s="129" t="s">
        <v>51</v>
      </c>
      <c r="D32" s="156" t="s">
        <v>38</v>
      </c>
      <c r="E32" s="157"/>
      <c r="F32" s="130">
        <v>4800</v>
      </c>
      <c r="G32" s="131" t="s">
        <v>39</v>
      </c>
      <c r="H32" s="132">
        <v>420</v>
      </c>
      <c r="I32" s="85">
        <v>454.4</v>
      </c>
      <c r="J32" s="133" t="s">
        <v>93</v>
      </c>
    </row>
    <row r="33" spans="1:10" ht="25.5" customHeight="1">
      <c r="A33" s="158">
        <v>8</v>
      </c>
      <c r="B33" s="129" t="s">
        <v>46</v>
      </c>
      <c r="C33" s="129" t="s">
        <v>45</v>
      </c>
      <c r="D33" s="156" t="s">
        <v>38</v>
      </c>
      <c r="E33" s="157"/>
      <c r="F33" s="130">
        <v>624</v>
      </c>
      <c r="G33" s="131" t="s">
        <v>39</v>
      </c>
      <c r="H33" s="132">
        <v>30.73</v>
      </c>
      <c r="I33" s="159">
        <v>127.2</v>
      </c>
      <c r="J33" s="133" t="s">
        <v>93</v>
      </c>
    </row>
    <row r="34" spans="1:10" ht="25.5" customHeight="1">
      <c r="A34" s="158"/>
      <c r="B34" s="129" t="s">
        <v>47</v>
      </c>
      <c r="C34" s="129" t="s">
        <v>45</v>
      </c>
      <c r="D34" s="156" t="s">
        <v>38</v>
      </c>
      <c r="E34" s="157"/>
      <c r="F34" s="130">
        <v>1776</v>
      </c>
      <c r="G34" s="131" t="s">
        <v>39</v>
      </c>
      <c r="H34" s="132">
        <v>87.47</v>
      </c>
      <c r="I34" s="159"/>
      <c r="J34" s="133" t="s">
        <v>93</v>
      </c>
    </row>
    <row r="35" spans="1:10" ht="25.5" customHeight="1">
      <c r="A35" s="128">
        <v>1</v>
      </c>
      <c r="B35" s="129" t="s">
        <v>47</v>
      </c>
      <c r="C35" s="129" t="s">
        <v>45</v>
      </c>
      <c r="D35" s="156" t="s">
        <v>38</v>
      </c>
      <c r="E35" s="157"/>
      <c r="F35" s="130">
        <v>120</v>
      </c>
      <c r="G35" s="131" t="s">
        <v>39</v>
      </c>
      <c r="H35" s="132">
        <v>5.91</v>
      </c>
      <c r="I35" s="85">
        <v>6.66</v>
      </c>
      <c r="J35" s="133" t="s">
        <v>93</v>
      </c>
    </row>
    <row r="36" spans="1:10" ht="25.5" customHeight="1">
      <c r="A36" s="158">
        <v>7</v>
      </c>
      <c r="B36" s="129" t="s">
        <v>49</v>
      </c>
      <c r="C36" s="129" t="s">
        <v>48</v>
      </c>
      <c r="D36" s="156" t="s">
        <v>38</v>
      </c>
      <c r="E36" s="157"/>
      <c r="F36" s="130">
        <v>796</v>
      </c>
      <c r="G36" s="131" t="s">
        <v>39</v>
      </c>
      <c r="H36" s="132">
        <v>38.81</v>
      </c>
      <c r="I36" s="159">
        <v>107.1</v>
      </c>
      <c r="J36" s="133" t="s">
        <v>93</v>
      </c>
    </row>
    <row r="37" spans="1:10" ht="25.5" customHeight="1">
      <c r="A37" s="158"/>
      <c r="B37" s="129" t="s">
        <v>50</v>
      </c>
      <c r="C37" s="129" t="s">
        <v>48</v>
      </c>
      <c r="D37" s="156" t="s">
        <v>38</v>
      </c>
      <c r="E37" s="157"/>
      <c r="F37" s="130">
        <v>1150</v>
      </c>
      <c r="G37" s="131" t="s">
        <v>39</v>
      </c>
      <c r="H37" s="132">
        <v>56.06</v>
      </c>
      <c r="I37" s="159"/>
      <c r="J37" s="133" t="s">
        <v>93</v>
      </c>
    </row>
    <row r="38" spans="1:10" ht="25.5" customHeight="1">
      <c r="A38" s="158"/>
      <c r="B38" s="129" t="s">
        <v>50</v>
      </c>
      <c r="C38" s="129" t="s">
        <v>48</v>
      </c>
      <c r="D38" s="156" t="s">
        <v>38</v>
      </c>
      <c r="E38" s="157"/>
      <c r="F38" s="130">
        <v>154</v>
      </c>
      <c r="G38" s="131" t="s">
        <v>39</v>
      </c>
      <c r="H38" s="132">
        <v>7.51</v>
      </c>
      <c r="I38" s="159"/>
      <c r="J38" s="133" t="s">
        <v>93</v>
      </c>
    </row>
    <row r="39" spans="1:10" ht="25.5" customHeight="1">
      <c r="A39" s="128">
        <v>1</v>
      </c>
      <c r="B39" s="129" t="s">
        <v>50</v>
      </c>
      <c r="C39" s="129" t="s">
        <v>48</v>
      </c>
      <c r="D39" s="156" t="s">
        <v>38</v>
      </c>
      <c r="E39" s="157"/>
      <c r="F39" s="130">
        <v>212</v>
      </c>
      <c r="G39" s="131" t="s">
        <v>39</v>
      </c>
      <c r="H39" s="132">
        <v>10.34</v>
      </c>
      <c r="I39" s="85">
        <v>11.52</v>
      </c>
      <c r="J39" s="133" t="s">
        <v>93</v>
      </c>
    </row>
    <row r="40" spans="1:10" ht="25.5" customHeight="1">
      <c r="A40" s="128">
        <v>9</v>
      </c>
      <c r="B40" s="129" t="s">
        <v>54</v>
      </c>
      <c r="C40" s="129" t="s">
        <v>51</v>
      </c>
      <c r="D40" s="156" t="s">
        <v>38</v>
      </c>
      <c r="E40" s="157"/>
      <c r="F40" s="130">
        <v>1350</v>
      </c>
      <c r="G40" s="131" t="s">
        <v>39</v>
      </c>
      <c r="H40" s="132">
        <v>118.13</v>
      </c>
      <c r="I40" s="85">
        <v>127.8</v>
      </c>
      <c r="J40" s="133" t="s">
        <v>93</v>
      </c>
    </row>
    <row r="41" spans="1:10" ht="25.5" customHeight="1">
      <c r="A41" s="128">
        <v>1</v>
      </c>
      <c r="B41" s="129" t="s">
        <v>54</v>
      </c>
      <c r="C41" s="129" t="s">
        <v>51</v>
      </c>
      <c r="D41" s="156" t="s">
        <v>38</v>
      </c>
      <c r="E41" s="157"/>
      <c r="F41" s="130">
        <v>46</v>
      </c>
      <c r="G41" s="131" t="s">
        <v>39</v>
      </c>
      <c r="H41" s="132">
        <v>4.03</v>
      </c>
      <c r="I41" s="85">
        <v>4.7300000000000004</v>
      </c>
      <c r="J41" s="133" t="s">
        <v>93</v>
      </c>
    </row>
    <row r="42" spans="1:10" ht="25.5" customHeight="1">
      <c r="A42" s="128">
        <v>34</v>
      </c>
      <c r="B42" s="129" t="s">
        <v>56</v>
      </c>
      <c r="C42" s="129" t="s">
        <v>55</v>
      </c>
      <c r="D42" s="156" t="s">
        <v>38</v>
      </c>
      <c r="E42" s="157"/>
      <c r="F42" s="130">
        <v>10200</v>
      </c>
      <c r="G42" s="131" t="s">
        <v>39</v>
      </c>
      <c r="H42" s="132">
        <v>380.8</v>
      </c>
      <c r="I42" s="85">
        <v>401.2</v>
      </c>
      <c r="J42" s="133" t="s">
        <v>93</v>
      </c>
    </row>
    <row r="43" spans="1:10" ht="25.5" customHeight="1">
      <c r="A43" s="128">
        <v>1</v>
      </c>
      <c r="B43" s="129" t="s">
        <v>56</v>
      </c>
      <c r="C43" s="129" t="s">
        <v>55</v>
      </c>
      <c r="D43" s="156" t="s">
        <v>38</v>
      </c>
      <c r="E43" s="157"/>
      <c r="F43" s="130">
        <v>117</v>
      </c>
      <c r="G43" s="131" t="s">
        <v>39</v>
      </c>
      <c r="H43" s="132">
        <v>4.37</v>
      </c>
      <c r="I43" s="85">
        <v>4.92</v>
      </c>
      <c r="J43" s="133" t="s">
        <v>93</v>
      </c>
    </row>
    <row r="44" spans="1:10" ht="25.5" customHeight="1">
      <c r="A44" s="128">
        <v>1</v>
      </c>
      <c r="B44" s="129" t="s">
        <v>58</v>
      </c>
      <c r="C44" s="129" t="s">
        <v>57</v>
      </c>
      <c r="D44" s="156" t="s">
        <v>38</v>
      </c>
      <c r="E44" s="157"/>
      <c r="F44" s="130">
        <v>46</v>
      </c>
      <c r="G44" s="131" t="s">
        <v>39</v>
      </c>
      <c r="H44" s="132">
        <v>6.21</v>
      </c>
      <c r="I44" s="85">
        <v>7.45</v>
      </c>
      <c r="J44" s="133" t="s">
        <v>93</v>
      </c>
    </row>
    <row r="45" spans="1:10" ht="25.5" customHeight="1">
      <c r="A45" s="128">
        <v>2</v>
      </c>
      <c r="B45" s="129" t="s">
        <v>58</v>
      </c>
      <c r="C45" s="129" t="s">
        <v>57</v>
      </c>
      <c r="D45" s="156" t="s">
        <v>38</v>
      </c>
      <c r="E45" s="157"/>
      <c r="F45" s="130">
        <v>200</v>
      </c>
      <c r="G45" s="131" t="s">
        <v>39</v>
      </c>
      <c r="H45" s="132">
        <v>27</v>
      </c>
      <c r="I45" s="85">
        <v>28.48</v>
      </c>
      <c r="J45" s="133" t="s">
        <v>93</v>
      </c>
    </row>
    <row r="46" spans="1:10" ht="25.5" customHeight="1">
      <c r="A46" s="158">
        <v>3</v>
      </c>
      <c r="B46" s="129">
        <v>2250802827</v>
      </c>
      <c r="C46" s="129" t="s">
        <v>59</v>
      </c>
      <c r="D46" s="156" t="s">
        <v>38</v>
      </c>
      <c r="E46" s="157"/>
      <c r="F46" s="130">
        <v>398</v>
      </c>
      <c r="G46" s="131" t="s">
        <v>39</v>
      </c>
      <c r="H46" s="132">
        <v>0.53</v>
      </c>
      <c r="I46" s="159">
        <v>42.87</v>
      </c>
      <c r="J46" s="133" t="s">
        <v>93</v>
      </c>
    </row>
    <row r="47" spans="1:10" ht="25.5" customHeight="1">
      <c r="A47" s="158"/>
      <c r="B47" s="129">
        <v>2250802827</v>
      </c>
      <c r="C47" s="129" t="s">
        <v>59</v>
      </c>
      <c r="D47" s="156" t="s">
        <v>38</v>
      </c>
      <c r="E47" s="157"/>
      <c r="F47" s="130">
        <v>1366</v>
      </c>
      <c r="G47" s="131" t="s">
        <v>39</v>
      </c>
      <c r="H47" s="132">
        <v>1.84</v>
      </c>
      <c r="I47" s="159"/>
      <c r="J47" s="133" t="s">
        <v>93</v>
      </c>
    </row>
    <row r="48" spans="1:10" ht="25.5" customHeight="1">
      <c r="A48" s="158"/>
      <c r="B48" s="129">
        <v>2250802827</v>
      </c>
      <c r="C48" s="129" t="s">
        <v>59</v>
      </c>
      <c r="D48" s="156" t="s">
        <v>38</v>
      </c>
      <c r="E48" s="157"/>
      <c r="F48" s="130">
        <v>17649</v>
      </c>
      <c r="G48" s="131" t="s">
        <v>39</v>
      </c>
      <c r="H48" s="132">
        <v>23.72</v>
      </c>
      <c r="I48" s="159"/>
      <c r="J48" s="133" t="s">
        <v>93</v>
      </c>
    </row>
    <row r="49" spans="1:10" ht="25.5" customHeight="1">
      <c r="A49" s="158"/>
      <c r="B49" s="129">
        <v>2250802827</v>
      </c>
      <c r="C49" s="129" t="s">
        <v>59</v>
      </c>
      <c r="D49" s="156" t="s">
        <v>38</v>
      </c>
      <c r="E49" s="157"/>
      <c r="F49" s="130">
        <v>9387</v>
      </c>
      <c r="G49" s="131" t="s">
        <v>39</v>
      </c>
      <c r="H49" s="132">
        <v>12.62</v>
      </c>
      <c r="I49" s="159"/>
      <c r="J49" s="133" t="s">
        <v>93</v>
      </c>
    </row>
    <row r="50" spans="1:10" ht="25.5" customHeight="1">
      <c r="A50" s="128">
        <v>1</v>
      </c>
      <c r="B50" s="129">
        <v>2250802827</v>
      </c>
      <c r="C50" s="129" t="s">
        <v>59</v>
      </c>
      <c r="D50" s="156" t="s">
        <v>38</v>
      </c>
      <c r="E50" s="157"/>
      <c r="F50" s="130">
        <v>3200</v>
      </c>
      <c r="G50" s="131" t="s">
        <v>39</v>
      </c>
      <c r="H50" s="132">
        <v>4.3</v>
      </c>
      <c r="I50" s="85">
        <v>5.2</v>
      </c>
      <c r="J50" s="133" t="s">
        <v>93</v>
      </c>
    </row>
    <row r="51" spans="1:10" ht="25.5" customHeight="1">
      <c r="A51" s="128">
        <v>1</v>
      </c>
      <c r="B51" s="129" t="s">
        <v>54</v>
      </c>
      <c r="C51" s="129" t="s">
        <v>61</v>
      </c>
      <c r="D51" s="156" t="s">
        <v>38</v>
      </c>
      <c r="E51" s="157"/>
      <c r="F51" s="130">
        <v>26</v>
      </c>
      <c r="G51" s="131" t="s">
        <v>39</v>
      </c>
      <c r="H51" s="132">
        <v>2.21</v>
      </c>
      <c r="I51" s="85">
        <v>2.65</v>
      </c>
      <c r="J51" s="133" t="s">
        <v>93</v>
      </c>
    </row>
    <row r="52" spans="1:10" ht="25.5" customHeight="1">
      <c r="A52" s="158">
        <v>1</v>
      </c>
      <c r="B52" s="129" t="s">
        <v>65</v>
      </c>
      <c r="C52" s="129" t="s">
        <v>64</v>
      </c>
      <c r="D52" s="156" t="s">
        <v>38</v>
      </c>
      <c r="E52" s="157"/>
      <c r="F52" s="130">
        <v>12</v>
      </c>
      <c r="G52" s="131" t="s">
        <v>39</v>
      </c>
      <c r="H52" s="132">
        <v>0.97</v>
      </c>
      <c r="I52" s="159">
        <v>1.8</v>
      </c>
      <c r="J52" s="133" t="s">
        <v>93</v>
      </c>
    </row>
    <row r="53" spans="1:10" ht="25.5" customHeight="1">
      <c r="A53" s="158"/>
      <c r="B53" s="129" t="s">
        <v>65</v>
      </c>
      <c r="C53" s="129" t="s">
        <v>66</v>
      </c>
      <c r="D53" s="156" t="s">
        <v>38</v>
      </c>
      <c r="E53" s="157"/>
      <c r="F53" s="130">
        <v>12</v>
      </c>
      <c r="G53" s="131" t="s">
        <v>39</v>
      </c>
      <c r="H53" s="132">
        <v>0.05</v>
      </c>
      <c r="I53" s="159"/>
      <c r="J53" s="133" t="s">
        <v>93</v>
      </c>
    </row>
    <row r="54" spans="1:10" ht="25.5" customHeight="1">
      <c r="A54" s="158">
        <v>6</v>
      </c>
      <c r="B54" s="129" t="s">
        <v>65</v>
      </c>
      <c r="C54" s="129" t="s">
        <v>64</v>
      </c>
      <c r="D54" s="156" t="s">
        <v>38</v>
      </c>
      <c r="E54" s="157"/>
      <c r="F54" s="130">
        <v>136</v>
      </c>
      <c r="G54" s="131" t="s">
        <v>39</v>
      </c>
      <c r="H54" s="132">
        <v>10.98</v>
      </c>
      <c r="I54" s="160">
        <v>83.58</v>
      </c>
      <c r="J54" s="133" t="s">
        <v>93</v>
      </c>
    </row>
    <row r="55" spans="1:10" ht="25.5" customHeight="1">
      <c r="A55" s="158"/>
      <c r="B55" s="129" t="s">
        <v>65</v>
      </c>
      <c r="C55" s="129" t="s">
        <v>66</v>
      </c>
      <c r="D55" s="156" t="s">
        <v>38</v>
      </c>
      <c r="E55" s="157"/>
      <c r="F55" s="130">
        <v>136</v>
      </c>
      <c r="G55" s="131" t="s">
        <v>39</v>
      </c>
      <c r="H55" s="132">
        <v>0.57999999999999996</v>
      </c>
      <c r="I55" s="160"/>
      <c r="J55" s="133" t="s">
        <v>93</v>
      </c>
    </row>
    <row r="56" spans="1:10" ht="25.5" customHeight="1">
      <c r="A56" s="158"/>
      <c r="B56" s="129" t="s">
        <v>65</v>
      </c>
      <c r="C56" s="129" t="s">
        <v>64</v>
      </c>
      <c r="D56" s="156" t="s">
        <v>38</v>
      </c>
      <c r="E56" s="157"/>
      <c r="F56" s="130">
        <v>764</v>
      </c>
      <c r="G56" s="131" t="s">
        <v>39</v>
      </c>
      <c r="H56" s="132">
        <v>61.69</v>
      </c>
      <c r="I56" s="160"/>
      <c r="J56" s="133" t="s">
        <v>93</v>
      </c>
    </row>
    <row r="57" spans="1:10" ht="25.5" customHeight="1">
      <c r="A57" s="158"/>
      <c r="B57" s="129" t="s">
        <v>65</v>
      </c>
      <c r="C57" s="129" t="s">
        <v>66</v>
      </c>
      <c r="D57" s="156" t="s">
        <v>38</v>
      </c>
      <c r="E57" s="157"/>
      <c r="F57" s="130">
        <v>764</v>
      </c>
      <c r="G57" s="131" t="s">
        <v>39</v>
      </c>
      <c r="H57" s="132">
        <v>3.25</v>
      </c>
      <c r="I57" s="160"/>
      <c r="J57" s="133" t="s">
        <v>93</v>
      </c>
    </row>
    <row r="58" spans="1:10" ht="25.5" customHeight="1">
      <c r="A58" s="128">
        <v>2</v>
      </c>
      <c r="B58" s="129" t="s">
        <v>69</v>
      </c>
      <c r="C58" s="129" t="s">
        <v>67</v>
      </c>
      <c r="D58" s="156" t="s">
        <v>38</v>
      </c>
      <c r="E58" s="157"/>
      <c r="F58" s="130">
        <v>800</v>
      </c>
      <c r="G58" s="131" t="s">
        <v>39</v>
      </c>
      <c r="H58" s="132">
        <v>33.6</v>
      </c>
      <c r="I58" s="85">
        <v>35</v>
      </c>
      <c r="J58" s="133" t="s">
        <v>93</v>
      </c>
    </row>
    <row r="59" spans="1:10" ht="25.5" customHeight="1">
      <c r="A59" s="128">
        <v>1</v>
      </c>
      <c r="B59" s="129" t="s">
        <v>71</v>
      </c>
      <c r="C59" s="129" t="s">
        <v>70</v>
      </c>
      <c r="D59" s="156" t="s">
        <v>38</v>
      </c>
      <c r="E59" s="157"/>
      <c r="F59" s="130">
        <v>150</v>
      </c>
      <c r="G59" s="131" t="s">
        <v>39</v>
      </c>
      <c r="H59" s="132">
        <v>21.75</v>
      </c>
      <c r="I59" s="85">
        <v>23.29</v>
      </c>
      <c r="J59" s="133" t="s">
        <v>93</v>
      </c>
    </row>
    <row r="60" spans="1:10" ht="25.5" customHeight="1">
      <c r="A60" s="128">
        <v>1</v>
      </c>
      <c r="B60" s="129" t="s">
        <v>71</v>
      </c>
      <c r="C60" s="129" t="s">
        <v>70</v>
      </c>
      <c r="D60" s="156" t="s">
        <v>38</v>
      </c>
      <c r="E60" s="157"/>
      <c r="F60" s="130">
        <v>100</v>
      </c>
      <c r="G60" s="131" t="s">
        <v>39</v>
      </c>
      <c r="H60" s="132">
        <v>14.5</v>
      </c>
      <c r="I60" s="85">
        <v>15.75</v>
      </c>
      <c r="J60" s="133" t="s">
        <v>93</v>
      </c>
    </row>
    <row r="61" spans="1:10" ht="25.5" customHeight="1">
      <c r="A61" s="158">
        <v>17</v>
      </c>
      <c r="B61" s="129" t="s">
        <v>62</v>
      </c>
      <c r="C61" s="129" t="s">
        <v>61</v>
      </c>
      <c r="D61" s="156" t="s">
        <v>38</v>
      </c>
      <c r="E61" s="157"/>
      <c r="F61" s="130">
        <v>1022</v>
      </c>
      <c r="G61" s="131" t="s">
        <v>39</v>
      </c>
      <c r="H61" s="132">
        <v>86.87</v>
      </c>
      <c r="I61" s="159">
        <v>237.49</v>
      </c>
      <c r="J61" s="133" t="s">
        <v>93</v>
      </c>
    </row>
    <row r="62" spans="1:10" ht="25.5" customHeight="1">
      <c r="A62" s="158"/>
      <c r="B62" s="129" t="s">
        <v>52</v>
      </c>
      <c r="C62" s="129" t="s">
        <v>61</v>
      </c>
      <c r="D62" s="156" t="s">
        <v>38</v>
      </c>
      <c r="E62" s="157"/>
      <c r="F62" s="130">
        <v>1528</v>
      </c>
      <c r="G62" s="131" t="s">
        <v>39</v>
      </c>
      <c r="H62" s="132">
        <v>129.88</v>
      </c>
      <c r="I62" s="159"/>
      <c r="J62" s="133" t="s">
        <v>93</v>
      </c>
    </row>
    <row r="63" spans="1:10" ht="25.5" customHeight="1">
      <c r="A63" s="128">
        <v>13</v>
      </c>
      <c r="B63" s="129" t="s">
        <v>52</v>
      </c>
      <c r="C63" s="129" t="s">
        <v>61</v>
      </c>
      <c r="D63" s="156" t="s">
        <v>38</v>
      </c>
      <c r="E63" s="157"/>
      <c r="F63" s="130">
        <v>1950</v>
      </c>
      <c r="G63" s="131" t="s">
        <v>39</v>
      </c>
      <c r="H63" s="132">
        <v>165.75</v>
      </c>
      <c r="I63" s="85">
        <v>181.61</v>
      </c>
      <c r="J63" s="133" t="s">
        <v>93</v>
      </c>
    </row>
    <row r="64" spans="1:10" ht="25.5" customHeight="1">
      <c r="A64" s="128">
        <v>1</v>
      </c>
      <c r="B64" s="129" t="s">
        <v>54</v>
      </c>
      <c r="C64" s="129" t="s">
        <v>61</v>
      </c>
      <c r="D64" s="156" t="s">
        <v>38</v>
      </c>
      <c r="E64" s="157"/>
      <c r="F64" s="130">
        <v>20</v>
      </c>
      <c r="G64" s="131" t="s">
        <v>39</v>
      </c>
      <c r="H64" s="132">
        <v>1.7</v>
      </c>
      <c r="I64" s="85">
        <v>2.4</v>
      </c>
      <c r="J64" s="133" t="s">
        <v>93</v>
      </c>
    </row>
    <row r="65" spans="1:10" ht="25.5" customHeight="1">
      <c r="A65" s="158">
        <v>12</v>
      </c>
      <c r="B65" s="129" t="s">
        <v>68</v>
      </c>
      <c r="C65" s="129" t="s">
        <v>67</v>
      </c>
      <c r="D65" s="156" t="s">
        <v>38</v>
      </c>
      <c r="E65" s="157"/>
      <c r="F65" s="130">
        <v>2772</v>
      </c>
      <c r="G65" s="131" t="s">
        <v>39</v>
      </c>
      <c r="H65" s="132">
        <v>116.42</v>
      </c>
      <c r="I65" s="159">
        <v>210</v>
      </c>
      <c r="J65" s="133" t="s">
        <v>93</v>
      </c>
    </row>
    <row r="66" spans="1:10" ht="25.5" customHeight="1">
      <c r="A66" s="158"/>
      <c r="B66" s="129" t="s">
        <v>69</v>
      </c>
      <c r="C66" s="129" t="s">
        <v>67</v>
      </c>
      <c r="D66" s="156" t="s">
        <v>38</v>
      </c>
      <c r="E66" s="157"/>
      <c r="F66" s="130">
        <v>2028</v>
      </c>
      <c r="G66" s="131" t="s">
        <v>39</v>
      </c>
      <c r="H66" s="132">
        <v>85.18</v>
      </c>
      <c r="I66" s="159"/>
      <c r="J66" s="133" t="s">
        <v>93</v>
      </c>
    </row>
    <row r="67" spans="1:10" ht="25.5" customHeight="1">
      <c r="A67" s="128">
        <v>1</v>
      </c>
      <c r="B67" s="129" t="s">
        <v>69</v>
      </c>
      <c r="C67" s="129" t="s">
        <v>67</v>
      </c>
      <c r="D67" s="156" t="s">
        <v>38</v>
      </c>
      <c r="E67" s="157"/>
      <c r="F67" s="130">
        <v>314</v>
      </c>
      <c r="G67" s="131" t="s">
        <v>39</v>
      </c>
      <c r="H67" s="132">
        <v>13.19</v>
      </c>
      <c r="I67" s="85">
        <v>13.9</v>
      </c>
      <c r="J67" s="133" t="s">
        <v>93</v>
      </c>
    </row>
    <row r="68" spans="1:10" ht="25.5" customHeight="1">
      <c r="A68" s="128">
        <v>1</v>
      </c>
      <c r="B68" s="129" t="s">
        <v>68</v>
      </c>
      <c r="C68" s="129" t="s">
        <v>67</v>
      </c>
      <c r="D68" s="156" t="s">
        <v>38</v>
      </c>
      <c r="E68" s="157"/>
      <c r="F68" s="130">
        <v>178</v>
      </c>
      <c r="G68" s="131" t="s">
        <v>39</v>
      </c>
      <c r="H68" s="132">
        <v>7.48</v>
      </c>
      <c r="I68" s="85">
        <v>8.3000000000000007</v>
      </c>
      <c r="J68" s="133" t="s">
        <v>93</v>
      </c>
    </row>
    <row r="69" spans="1:10" ht="25.5" customHeight="1">
      <c r="A69" s="128">
        <v>1</v>
      </c>
      <c r="B69" s="129" t="s">
        <v>68</v>
      </c>
      <c r="C69" s="129" t="s">
        <v>67</v>
      </c>
      <c r="D69" s="156" t="s">
        <v>38</v>
      </c>
      <c r="E69" s="157"/>
      <c r="F69" s="130">
        <v>400</v>
      </c>
      <c r="G69" s="131" t="s">
        <v>39</v>
      </c>
      <c r="H69" s="132">
        <v>16.8</v>
      </c>
      <c r="I69" s="85">
        <v>17.5</v>
      </c>
      <c r="J69" s="133" t="s">
        <v>93</v>
      </c>
    </row>
    <row r="70" spans="1:10" ht="25.5" customHeight="1">
      <c r="A70" s="158">
        <v>15</v>
      </c>
      <c r="B70" s="129" t="s">
        <v>52</v>
      </c>
      <c r="C70" s="129" t="s">
        <v>61</v>
      </c>
      <c r="D70" s="156" t="s">
        <v>38</v>
      </c>
      <c r="E70" s="157"/>
      <c r="F70" s="130">
        <v>218</v>
      </c>
      <c r="G70" s="131" t="s">
        <v>39</v>
      </c>
      <c r="H70" s="132">
        <v>18.53</v>
      </c>
      <c r="I70" s="159">
        <v>209.55</v>
      </c>
      <c r="J70" s="133" t="s">
        <v>93</v>
      </c>
    </row>
    <row r="71" spans="1:10" ht="25.5" customHeight="1">
      <c r="A71" s="158"/>
      <c r="B71" s="129" t="s">
        <v>63</v>
      </c>
      <c r="C71" s="129" t="s">
        <v>61</v>
      </c>
      <c r="D71" s="156" t="s">
        <v>38</v>
      </c>
      <c r="E71" s="157"/>
      <c r="F71" s="130">
        <v>1300</v>
      </c>
      <c r="G71" s="131" t="s">
        <v>39</v>
      </c>
      <c r="H71" s="132">
        <v>110.5</v>
      </c>
      <c r="I71" s="159"/>
      <c r="J71" s="133" t="s">
        <v>93</v>
      </c>
    </row>
    <row r="72" spans="1:10" ht="25.5" customHeight="1">
      <c r="A72" s="158"/>
      <c r="B72" s="129" t="s">
        <v>54</v>
      </c>
      <c r="C72" s="129" t="s">
        <v>61</v>
      </c>
      <c r="D72" s="156" t="s">
        <v>38</v>
      </c>
      <c r="E72" s="157"/>
      <c r="F72" s="130">
        <v>732</v>
      </c>
      <c r="G72" s="131" t="s">
        <v>39</v>
      </c>
      <c r="H72" s="132">
        <v>62.22</v>
      </c>
      <c r="I72" s="159"/>
      <c r="J72" s="133" t="s">
        <v>93</v>
      </c>
    </row>
    <row r="73" spans="1:10" ht="25.5" customHeight="1">
      <c r="A73" s="128">
        <v>2</v>
      </c>
      <c r="B73" s="129" t="s">
        <v>54</v>
      </c>
      <c r="C73" s="129" t="s">
        <v>61</v>
      </c>
      <c r="D73" s="156" t="s">
        <v>38</v>
      </c>
      <c r="E73" s="157"/>
      <c r="F73" s="130">
        <v>300</v>
      </c>
      <c r="G73" s="131" t="s">
        <v>39</v>
      </c>
      <c r="H73" s="132">
        <v>25.5</v>
      </c>
      <c r="I73" s="85">
        <v>27.94</v>
      </c>
      <c r="J73" s="133" t="s">
        <v>93</v>
      </c>
    </row>
    <row r="74" spans="1:10" ht="25.5" customHeight="1">
      <c r="A74" s="128">
        <v>26</v>
      </c>
      <c r="B74" s="129" t="s">
        <v>71</v>
      </c>
      <c r="C74" s="129" t="s">
        <v>70</v>
      </c>
      <c r="D74" s="156" t="s">
        <v>38</v>
      </c>
      <c r="E74" s="157"/>
      <c r="F74" s="130">
        <v>3900</v>
      </c>
      <c r="G74" s="131" t="s">
        <v>39</v>
      </c>
      <c r="H74" s="132">
        <v>565.5</v>
      </c>
      <c r="I74" s="85">
        <v>605.54</v>
      </c>
      <c r="J74" s="133" t="s">
        <v>93</v>
      </c>
    </row>
    <row r="75" spans="1:10" ht="25.5" customHeight="1">
      <c r="A75" s="128"/>
      <c r="B75" s="129"/>
      <c r="C75" s="129"/>
      <c r="D75" s="166"/>
      <c r="E75" s="166"/>
      <c r="F75" s="130"/>
      <c r="G75" s="131"/>
      <c r="H75" s="131" t="s">
        <v>94</v>
      </c>
      <c r="I75" s="85"/>
      <c r="J75" s="133"/>
    </row>
    <row r="76" spans="1:10" ht="25.5" customHeight="1" thickBot="1">
      <c r="A76" s="25"/>
      <c r="B76" s="26"/>
      <c r="C76" s="27"/>
      <c r="D76" s="27"/>
      <c r="E76" s="27"/>
      <c r="F76" s="28"/>
      <c r="G76" s="27"/>
      <c r="H76" s="98" t="s">
        <v>95</v>
      </c>
      <c r="I76" s="100">
        <f>12*18</f>
        <v>216</v>
      </c>
      <c r="J76" s="31"/>
    </row>
    <row r="77" spans="1:10" ht="17.25" customHeight="1">
      <c r="A77" s="110">
        <f>SUM(A21:A76)</f>
        <v>312</v>
      </c>
      <c r="B77" s="111"/>
      <c r="C77" s="112"/>
      <c r="D77" s="113"/>
      <c r="E77" s="114" t="s">
        <v>96</v>
      </c>
      <c r="F77" s="115">
        <f>SUM(F21:F76)</f>
        <v>89627</v>
      </c>
      <c r="G77" s="114"/>
      <c r="H77" s="116">
        <f>SUM(H21:H76)</f>
        <v>4305.7200000000012</v>
      </c>
      <c r="I77" s="116">
        <f>SUM(I21:I76)</f>
        <v>4819.7</v>
      </c>
      <c r="J77" s="117" t="s">
        <v>97</v>
      </c>
    </row>
    <row r="78" spans="1:10" ht="20.25" customHeight="1">
      <c r="A78" s="118"/>
      <c r="D78" s="101"/>
      <c r="E78" s="101" t="s">
        <v>98</v>
      </c>
      <c r="F78" s="119">
        <v>12</v>
      </c>
      <c r="J78" s="120"/>
    </row>
    <row r="79" spans="1:10" ht="20.25" customHeight="1">
      <c r="A79" s="118"/>
      <c r="D79" s="101"/>
      <c r="E79" s="101" t="s">
        <v>99</v>
      </c>
      <c r="F79" s="102" t="s">
        <v>100</v>
      </c>
      <c r="J79" s="120"/>
    </row>
    <row r="80" spans="1:10" ht="15" thickBot="1">
      <c r="A80" s="121"/>
      <c r="B80" s="122"/>
      <c r="C80" s="122"/>
      <c r="D80" s="122"/>
      <c r="E80" s="103" t="s">
        <v>101</v>
      </c>
      <c r="F80" s="104" t="s">
        <v>102</v>
      </c>
      <c r="G80" s="122"/>
      <c r="H80" s="123"/>
      <c r="I80" s="124"/>
      <c r="J80" s="125"/>
    </row>
    <row r="90" spans="2:6" hidden="1">
      <c r="B90">
        <v>3230</v>
      </c>
      <c r="C90">
        <v>15.12</v>
      </c>
      <c r="D90">
        <v>18.38</v>
      </c>
      <c r="E90">
        <v>1894.5</v>
      </c>
      <c r="F90">
        <v>3</v>
      </c>
    </row>
    <row r="91" spans="2:6" hidden="1">
      <c r="B91">
        <v>4552</v>
      </c>
      <c r="C91">
        <v>538.01</v>
      </c>
      <c r="D91">
        <v>583.42999999999995</v>
      </c>
      <c r="E91">
        <v>16089.72</v>
      </c>
      <c r="F91">
        <v>31</v>
      </c>
    </row>
    <row r="92" spans="2:6" hidden="1">
      <c r="B92">
        <f t="shared" ref="B92:E92" si="0">SUM(B90:B91)</f>
        <v>7782</v>
      </c>
      <c r="C92">
        <f t="shared" si="0"/>
        <v>553.13</v>
      </c>
      <c r="D92">
        <f t="shared" si="0"/>
        <v>601.80999999999995</v>
      </c>
      <c r="E92">
        <f t="shared" si="0"/>
        <v>17984.22</v>
      </c>
      <c r="F92">
        <f>SUM(F90:F91)</f>
        <v>34</v>
      </c>
    </row>
    <row r="93" spans="2:6" hidden="1"/>
    <row r="94" spans="2:6" hidden="1"/>
  </sheetData>
  <mergeCells count="92">
    <mergeCell ref="A1:J1"/>
    <mergeCell ref="A16:C16"/>
    <mergeCell ref="D16:E16"/>
    <mergeCell ref="D75:E75"/>
    <mergeCell ref="A19:A20"/>
    <mergeCell ref="B19:B20"/>
    <mergeCell ref="C19:C20"/>
    <mergeCell ref="A9:E10"/>
    <mergeCell ref="D19:E20"/>
    <mergeCell ref="A4:E6"/>
    <mergeCell ref="A13:E14"/>
    <mergeCell ref="J19:J20"/>
    <mergeCell ref="A18:C18"/>
    <mergeCell ref="D18:E18"/>
    <mergeCell ref="F19:F20"/>
    <mergeCell ref="G19:G20"/>
    <mergeCell ref="A52:A53"/>
    <mergeCell ref="I54:I57"/>
    <mergeCell ref="A54:A57"/>
    <mergeCell ref="A26:A27"/>
    <mergeCell ref="I26:I27"/>
    <mergeCell ref="I28:I29"/>
    <mergeCell ref="A33:A34"/>
    <mergeCell ref="I33:I34"/>
    <mergeCell ref="A36:A38"/>
    <mergeCell ref="I36:I38"/>
    <mergeCell ref="I46:I49"/>
    <mergeCell ref="A46:A49"/>
    <mergeCell ref="I30:I31"/>
    <mergeCell ref="A28:A29"/>
    <mergeCell ref="A30:A31"/>
    <mergeCell ref="I52:I53"/>
    <mergeCell ref="A70:A72"/>
    <mergeCell ref="I70:I72"/>
    <mergeCell ref="A61:A62"/>
    <mergeCell ref="I61:I62"/>
    <mergeCell ref="A65:A66"/>
    <mergeCell ref="I65:I66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71:E71"/>
    <mergeCell ref="D72:E72"/>
    <mergeCell ref="D73:E73"/>
    <mergeCell ref="D74:E74"/>
    <mergeCell ref="D56:E56"/>
    <mergeCell ref="D57:E57"/>
    <mergeCell ref="D58:E58"/>
    <mergeCell ref="D59:E59"/>
    <mergeCell ref="D60:E60"/>
  </mergeCells>
  <phoneticPr fontId="15" type="noConversion"/>
  <pageMargins left="0.59055118110236227" right="0.59055118110236227" top="0.78740157480314965" bottom="0.78740157480314965" header="0.51181102362204722" footer="0.51181102362204722"/>
  <pageSetup paperSize="9" scale="78" orientation="portrait" horizontalDpi="4294967295" verticalDpi="4294967295" r:id="rId1"/>
  <rowBreaks count="1" manualBreakCount="1">
    <brk id="42" max="9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2025-12-10T08:14:22Z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  <property fmtid="{D5CDD505-2E9C-101B-9397-08002B2CF9AE}" pid="4" name="_IPGFID">
    <vt:lpwstr>[DocID]=6464688A-EC04-46C8-940F-514FC3B7BA59</vt:lpwstr>
  </property>
  <property fmtid="{D5CDD505-2E9C-101B-9397-08002B2CF9AE}" pid="5" name="_IPGFLOW_P-2E9C_E-1_FP-1_SP-1_CV-75551929_CN-B0B77D31">
    <vt:lpwstr>gZEk/3JmHvM/oaqDK4W2lIbXTEO/VlUL080OIXODknC2aXlHmrj7OHod+f8eiCFkr/Oo0Fcja7W2GzXXUVhvYW6Ehhf6cY7L/9lbRVfQ+b+RVc1G5/SDFCcdCFQv+p5Pk1MTCj4n5EDmcwOV5LcKc+QMK0F0levoe4cipqQ77BqZKJ8+BxcxwAG524M98yGzPFiC6Jy+gI9N5r9Tw9SE4kZeSJoUGwAgHodiY5KX8Fj5SnROzwzd0Tw5G6ptzJd</vt:lpwstr>
  </property>
  <property fmtid="{D5CDD505-2E9C-101B-9397-08002B2CF9AE}" pid="6" name="_IPGFLOW_P-2E9C_E-1_FP-1_SP-2_CV-BD37790D_CN-36A2D536">
    <vt:lpwstr>M895KiqCOggc0nqJRwNDJ+RaDgCqspuLuZPdAwGsb5w1Ori2mLrkIZoqbN02LOd7a38KHkrIlzJoqdIfs+o5V2FBiqTyxxPsn4c2m8oxUxmmJnQ54b7Fa2KY2+KU3I/D67Fy+PTMx3uFHkYxiXtEPH+9EzvTO3nWGEyJFoYB6NeQ7hY2hEXkFfxRnPv+xqo2G</vt:lpwstr>
  </property>
  <property fmtid="{D5CDD505-2E9C-101B-9397-08002B2CF9AE}" pid="7" name="_IPGFLOW_P-2E9C_E-0_FP-1_CV-60DDE677_CN-D66FDE43">
    <vt:lpwstr>DPSPMK|3|448|2|0</vt:lpwstr>
  </property>
  <property fmtid="{D5CDD505-2E9C-101B-9397-08002B2CF9AE}" pid="8" name="_IPGFLOW_P-2E9C_E-1_FP-2_SP-1_CV-226A7BE4_CN-3EB0EFF9">
    <vt:lpwstr>gZEk/3JmHvM/oaqDK4W2lNEI3KDJ5sCEtcJLo7WSKm/AU+KMj+7FzvY8z83oy5aQEhwojLUVbpKFtKM7J4CaaVvItrimz9DZb7LTMgWRdf38a16uNWrKgcJhFEZOqkzQMgrEcs04Ag917hhQ900s3WYhubgHdUoCFc60GTRB6H3jmN2zS4SjoajSM7g9qsZypzhFeRTQbQQfQmbsACybCpv5y91cqqC7vuNmh6HAQr0ouzNVPuGDfg06ZIAmPUy</vt:lpwstr>
  </property>
  <property fmtid="{D5CDD505-2E9C-101B-9397-08002B2CF9AE}" pid="9" name="_IPGFLOW_P-2E9C_E-1_FP-2_SP-2_CV-E73D64C_CN-B1949123">
    <vt:lpwstr>tmhF2EMbx94t3qUieIG1p9M66sgvWFG+Qgz/vv3YqWfXCGNkoeohqQ/ZVuKonOgrEPIzhBnOPHAy9YtBE/FSDo/+k0lJcLah8qOvz6ghmmOCBESFhqowCAhXriKzzw3+Osb+TqcYvnc/uc5KkUTOLDhNcaIegtczC169z7u4j18i0cEDSGHi41x4dazMjFNpd</vt:lpwstr>
  </property>
  <property fmtid="{D5CDD505-2E9C-101B-9397-08002B2CF9AE}" pid="10" name="_IPGFLOW_P-2E9C_E-0_FP-2_CV-60DDE677_CN-6BA5B28D">
    <vt:lpwstr>DPSPMK|3|448|2|0</vt:lpwstr>
  </property>
  <property fmtid="{D5CDD505-2E9C-101B-9397-08002B2CF9AE}" pid="11" name="_IPGFLOW_P-2E9C_E-1_FP-3_SP-1_CV-6E10B760_CN-A87454B9">
    <vt:lpwstr>BdSrsz6vqPKSoDf0z5A2ssZj/rU6tEAGHdYp3Tu5q0BR/jKGJeNmoK/r3eF/WCFRcBwCYV8484C1ClcIEJU0g36cjpnR7m6GhJeRxZZncJCFshg8kVZ0g6QBFq+tuPhYi6abOI+L+XXZ1HstWCblljoBJ1YvnJVQKEogkHnfWUAgsk1vsZU50dPCoZSwxwA8U9TSLTGWghETy8D5WY/wJx4J/5lalWiSDJ3miHAkLHA8eU5MRhYmtA9nkW9IR6o</vt:lpwstr>
  </property>
  <property fmtid="{D5CDD505-2E9C-101B-9397-08002B2CF9AE}" pid="12" name="_IPGFLOW_P-2E9C_E-1_FP-3_SP-2_CV-C6BACB68_CN-81D79EC9">
    <vt:lpwstr>7OSgySxwjm210TDtYPRIZXMlZjPgtzx+TEAMrYGbQMPnTnKmbEcwcsFL/7mDfcFgSiLg+jR197JCryiSdxfD5ON1m/byzUduSw2C94cJABZFtfV4U8wFi78jYpZYpqMFatiRCZ1BcSbqnMXfmORLJhYoGTv6JRkOv6LQpi1gXg4XwwyXQg7ZFRGL3gPDtjTJH</vt:lpwstr>
  </property>
  <property fmtid="{D5CDD505-2E9C-101B-9397-08002B2CF9AE}" pid="13" name="_IPGFLOW_P-2E9C_E-0_FP-3_CV-60DDE677_CN-B6336B08">
    <vt:lpwstr>DPSPMK|3|448|2|0</vt:lpwstr>
  </property>
  <property fmtid="{D5CDD505-2E9C-101B-9397-08002B2CF9AE}" pid="14" name="_IPGFLOW_P-2E9C_E-1_FP-4_SP-1_CV-EC59969A_CN-83B2CD3C">
    <vt:lpwstr>FOvXFD0nCf+41aQu2gGa4iyJdBv9kHm5WDUr3/Mh0Y3qAvs0eHy6iqOUuL6RvOr8cDfEzIrPNy+rLj78G4m4JGdveLHPeueAmckvOUomSOmxO3V5+I0s7LYzurS56V4xifUDhkMho/OIYuZCAE9GjUKZBQw8+drgY65LlngNitIYtEoa3iMvLxPAqPuzy4EFclI6MoPt3LN+wr16YrxQbp11iHoA/amR98zzjbT4zs5IkSR6az8S+TVjbLI2uYf</vt:lpwstr>
  </property>
  <property fmtid="{D5CDD505-2E9C-101B-9397-08002B2CF9AE}" pid="15" name="_IPGFLOW_P-2E9C_E-1_FP-4_SP-2_CV-816D3943_CN-9A487B65">
    <vt:lpwstr>ogff0sjwPYb5cKvrNN5lqcQn2m4zSF4jAu2/SuOjIxVLvijR0IJ13sock8OHHA/1V8E5nIvcxu5VpOFoGEs2ucx/KmsQ0wRknA02xoDcCKl9/K/iaCz/Euqy9kXTqKA8V0qTzyoe2ZxPLNM/U878uJI2+ulV/oELYOmSYstcE2eepYQnIHpukJRRpuPosteVi</vt:lpwstr>
  </property>
  <property fmtid="{D5CDD505-2E9C-101B-9397-08002B2CF9AE}" pid="16" name="_IPGFLOW_P-2E9C_E-0_FP-4_CV-60DDE677_CN-CB406D50">
    <vt:lpwstr>DPSPMK|3|448|2|0</vt:lpwstr>
  </property>
  <property fmtid="{D5CDD505-2E9C-101B-9397-08002B2CF9AE}" pid="17" name="_IPGFLOW_P-2E9C_E-1_FP-5_SP-1_CV-97113BA2_CN-3676F17D">
    <vt:lpwstr>FOvXFD0nCf+41aQu2gGa4rwp9xV0E2MU4Oo0xVQKWTEjn/O/y8w7A962AeIRkdrFUoTy8c8FvKPb06TCRPW6AxokxXuZIQtJ7rZW1j8ZsowBXLP1+djyLNz1hDz7QEFgLCnG/OdzhrPmZI+jKu4ZtryvGff6jBkvNYyLWZ0WLr8TLEOuWNKfwvv50bGq5Sfpdu+0bUlrLsFZ6G+k0HvFJMjmAt2OWXzgTlhiSEkr7aZ68gpaHiF2p4raNAHnP0K</vt:lpwstr>
  </property>
  <property fmtid="{D5CDD505-2E9C-101B-9397-08002B2CF9AE}" pid="18" name="_IPGFLOW_P-2E9C_E-1_FP-5_SP-2_CV-75213808_CN-AAA029">
    <vt:lpwstr>aLiTMomNik96Z74vQo2ibiib/N0Ib7GAsY0kRk9VHGtwY0yz/XMx6Eacn0H8aH7xXegYuhHvgJQCm6zzWuN4QQMRzbaWkY65k/O7mVLVn/SiZhEt5fsoFWlQyDF1KaR4DltQs3sTxMYCt7/mR8ic1p6lsAU3yJ0TVPwBXKUyjx89zTLt9Jfw6uQ/zOnvKPWb5</vt:lpwstr>
  </property>
  <property fmtid="{D5CDD505-2E9C-101B-9397-08002B2CF9AE}" pid="19" name="_IPGFLOW_P-2E9C_E-0_FP-5_CV-60DDE677_CN-16D6B4D5">
    <vt:lpwstr>DPSPMK|3|448|2|0</vt:lpwstr>
  </property>
  <property fmtid="{D5CDD505-2E9C-101B-9397-08002B2CF9AE}" pid="20" name="_IPGFLOW_P-2E9C_E-1_FP-6_SP-1_CV-56A10C2F_CN-660765EC">
    <vt:lpwstr>CZn5Gl8p/QOtQdYDsztuNEDBigHvrmCQsvz/KG1So6QVHgC8kCjkBfAupu7dvDTeKS6onjyjdPiL6GC/LQhjZJvEzC1845UPPKYkFnIqC2JIvuJsvcE5wUrnyzphYMGnW/m5M7qCOdmG7R7YHGjQgbTecJIPhh0jBRBnbhSNZEAVVdv6t0EW7VT58U5vyKg16qXITzljUwzZNKwh9TGkgvMhM8nciYskdrvEV3LfP8RJtla91eS3MQZbnzu2Od2</vt:lpwstr>
  </property>
  <property fmtid="{D5CDD505-2E9C-101B-9397-08002B2CF9AE}" pid="21" name="_IPGFLOW_P-2E9C_E-1_FP-6_SP-2_CV-3B38E7B8_CN-D9E48FC9">
    <vt:lpwstr>J1BWy5S2/IWr7HULhpXdj0gNgh6nEyCFSEXLXjIOMNI5FJ2Q+BbiDov/HacAzGh9lmDvrw7ed0eHW/hPXdnHQttSfhD752ckBCQnpO977JBARvY4/5Ajpaqn+hi6w3jNQEoBWiCzv1vHGzFn8piApoU6XJEKMFiyfs79jTDW0/0BoBuHo1is6/1K2r25EdugZ</vt:lpwstr>
  </property>
  <property fmtid="{D5CDD505-2E9C-101B-9397-08002B2CF9AE}" pid="22" name="_IPGFLOW_P-2E9C_E-0_FP-6_CV-60DDE677_CN-AB1CD81B">
    <vt:lpwstr>DPSPMK|3|448|2|0</vt:lpwstr>
  </property>
  <property fmtid="{D5CDD505-2E9C-101B-9397-08002B2CF9AE}" pid="23" name="_IPGFLOW_P-2E9C_E-1_FP-7_SP-1_CV-D910C0A9_CN-C2308978">
    <vt:lpwstr>yAJNvtvOf/mgO+6y08ciDixDthq4xwylKorlWHiRatENhCYKy0v/PT3LjlULxQ0vhQIKZaRH2MlbPf3/ZfIiNaw526jC/C0ffVs09J9Ld9unsYMFjCVdnPch+B2pzjj47X5qa4cMy5AlRpJVk2X9ZTYpYX7sLJd76/2B3K7jWt8UnPeLlAn3sA+fQv7uq4xVPzfDigdes9gxsWekEyIPBBUGLpzZT+JKkN1lEfSyKy78gUXcQbUreh1v/CqzAPv</vt:lpwstr>
  </property>
  <property fmtid="{D5CDD505-2E9C-101B-9397-08002B2CF9AE}" pid="24" name="_IPGFLOW_P-2E9C_E-1_FP-7_SP-2_CV-599909C5_CN-B3988EF0">
    <vt:lpwstr>WqWfoPTRIEtQx+b0Skv+FBN5mkJwmpv8LuUD74OcwbGjGw1s37FMfZUQR7TpfR9Kfit9JJKSK7dxcDLMJtr28V0JFM80PtXmmqzci/2A6OcNjMgRvU5V94CL41dMqA52BByRsEkgg0HOLO4vKRa8C2Z9gB3nEUnAkFl6ccZ+u6LoDy3lYkHHxB5+WCx9EjAtn</vt:lpwstr>
  </property>
  <property fmtid="{D5CDD505-2E9C-101B-9397-08002B2CF9AE}" pid="25" name="_IPGFLOW_P-2E9C_E-0_FP-7_CV-60DDE677_CN-768A019E">
    <vt:lpwstr>DPSPMK|3|448|2|0</vt:lpwstr>
  </property>
  <property fmtid="{D5CDD505-2E9C-101B-9397-08002B2CF9AE}" pid="26" name="_IPGFLOW_P-2E9C_E-1_FP-8_SP-1_CV-ABE27E46_CN-C23B640">
    <vt:lpwstr>yAJNvtvOf/mgO+6y08ciDsp1hmKqm78zqrkeinSwqC1OvP0s99upup4mbuc8cHd6qP95l0ldlIOQfxbvkKl43wiyhOL3AIpULPvWHx2TyHhFur6tPXkKnH+0u2pe1WYbX9LJpZxPIj/oD6vpFHRWkPqIY/Zt8KQ2stBRGlbq9EPY501QwXStwf0lGhI9FNUhVfyLkexPM/yssjCzTCkciIa9ZmDqdSbD5P53RljjfryJBZ/RJX1/WDjL/oJPRfy</vt:lpwstr>
  </property>
  <property fmtid="{D5CDD505-2E9C-101B-9397-08002B2CF9AE}" pid="27" name="_IPGFLOW_P-2E9C_E-1_FP-8_SP-2_CV-79898C2C_CN-DF0EA797">
    <vt:lpwstr>l57BrVVhwwOUS7t3DP5gXXZn6KIfK5Kq1Lo5UHNcNS1h/KUtTtbHLlJb25H94Hytfq62Pm8N5TA2IMiQcouN4wRr0C5eOSJaMnB3yMuMW1LqeIGVfuCrGgKKtR7cIIlr6lJbpdRGc21m1Na00z7o6R3U/IrED/mJ/uKIyCfxhsk3Z4Gj2S7u592O8sv4DkXVV</vt:lpwstr>
  </property>
  <property fmtid="{D5CDD505-2E9C-101B-9397-08002B2CF9AE}" pid="28" name="_IPGFLOW_P-2E9C_E-0_FP-8_CV-60DDE677_CN-51FAD4AB">
    <vt:lpwstr>DPSPMK|3|448|2|0</vt:lpwstr>
  </property>
  <property fmtid="{D5CDD505-2E9C-101B-9397-08002B2CF9AE}" pid="29" name="_IPGFLOW_P-2E9C_E-1_FP-9_SP-1_CV-25DCAFF8_CN-512C15C7">
    <vt:lpwstr>yAJNvtvOf/mgO+6y08ciDpkt7QniR7yBnRUW2jLzzwxzgPdz81cbmK1myAnwXqW5eXZBpq56docWdMCZkM7Id3nDQ3IPqzoNamgodnCjWZRpk5UFVEhiRuqGFCuYS8AqYzVWcOM1kCEl+qyRzegQlovJ8LC1F+/P6avBZa91JLknT+xtADBn+afyhAGfCDLgZJK0w0NtJkuSNvHPM6VVLkML+6yHIDWkk8pTNtkghH0hYisrGj9TpieccG9tBN9</vt:lpwstr>
  </property>
  <property fmtid="{D5CDD505-2E9C-101B-9397-08002B2CF9AE}" pid="30" name="_IPGFLOW_P-2E9C_E-1_FP-9_SP-2_CV-DC0EB9E3_CN-E775B4B0">
    <vt:lpwstr>7NUPID1tVX1B4XX7c6QmNpnYCkGiUeu+t2GkVxxOLRQbiXRNwqk9StXSxaM5dZ0PSRigbTc1FOQiPWVS45K9J+OkiNA6qNFKxghGcSzzJHLIXB0RpMFSEJaXNBRKq44Upzd1O4wsUs+4s1q6NsdSp2bV1udin7JaH1ZE8Z19sKssyj6oiOe6zp/4ONr/HNhmc</vt:lpwstr>
  </property>
  <property fmtid="{D5CDD505-2E9C-101B-9397-08002B2CF9AE}" pid="31" name="_IPGFLOW_P-2E9C_E-0_FP-9_CV-60DDE677_CN-8C6C0D2E">
    <vt:lpwstr>DPSPMK|3|448|2|0</vt:lpwstr>
  </property>
  <property fmtid="{D5CDD505-2E9C-101B-9397-08002B2CF9AE}" pid="32" name="_IPGFLOW_P-2E9C_E-1_FP-A_SP-1_CV-C1EDD7EA_CN-2C5FD25">
    <vt:lpwstr>yAJNvtvOf/mgO+6y08ciDk5tFXeXjjs5OBhqW5IsuSYJqw9Y4gsmihV53T1pMOgwisxHmMggs1qQvDi783/I+p7NhDiLVusxW+MqoUaMJeJN1dAjfyjTMK9Ehd/+xbfDk/s/GgdsHmCiEzLXcVkhy5sDI+LmEBei7S5CDrj5kp/2iEJja4jNHFRbIRcsPMd7lXrKhUImdfSJ8mXW0lsdN50HXtiXtkF1f6Ptie/HVOPzyHJNlO5/GbATTuOQDlj</vt:lpwstr>
  </property>
  <property fmtid="{D5CDD505-2E9C-101B-9397-08002B2CF9AE}" pid="33" name="_IPGFLOW_P-2E9C_E-1_FP-A_SP-2_CV-9B6D8FCD_CN-8043E720">
    <vt:lpwstr>YQQG1XUdkWN6d50CUjV9R7SaqFF56kKuR2NznYXP86h5vw5IdWjS78ieKhKJtCvE0n+vuD/HhrVuaNlpykgJrFEMCCM6c5RqXeovhR/7MCU1wFpcARMFHOhYJKkXAfogdkSiMUyybprDZYcgEypJbFRZtEgc6TrSrVZcQ+6Ck+cLSTnpZne2gYcefZw8w1ST1</vt:lpwstr>
  </property>
  <property fmtid="{D5CDD505-2E9C-101B-9397-08002B2CF9AE}" pid="34" name="_IPGFLOW_P-2E9C_E-0_FP-A_CV-60DDE677_CN-6C9BA2C7">
    <vt:lpwstr>DPSPMK|3|448|2|0</vt:lpwstr>
  </property>
  <property fmtid="{D5CDD505-2E9C-101B-9397-08002B2CF9AE}" pid="35" name="_IPGFLOW_P-2E9C_E-1_FP-B_SP-1_CV-84F4B5F5_CN-6EAD7D13">
    <vt:lpwstr>yAJNvtvOf/mgO+6y08ciDuKY2QyC8i4GhBRwSiZZspgxHf1UfEAdXb+/H8opL50DdOEty3Wx0t4H/Dc+CvxHo3KJDOneDseN/gykaFNN5UU6ruwgpthaigSO4KPGlxHbKy+Zn40w8/5rJpSTGe9KmkqQ0tr3Jr0ba5BsVcPZzuUiR9yMAI+jyx+fXI7NP3HLyIXygPlTlna0ngWr4yRjYd+dg7S6tQ48cOyOid/qfqvhxWnLL2JZ26FgXGAd3s0</vt:lpwstr>
  </property>
  <property fmtid="{D5CDD505-2E9C-101B-9397-08002B2CF9AE}" pid="36" name="_IPGFLOW_P-2E9C_E-1_FP-B_SP-2_CV-63E5D010_CN-8B0AE0F6">
    <vt:lpwstr>NeQrrFqvOLERIk4VoO3oyqguAKtEaalHPI/HKhDbknjDgscihdk8RJmLryQ3sYzuYyzu4fdVewjdiadpbac4YFXOWlGz46ElhfJU/D7sV4XEa2zY6CBbd7GVQmYQMXbngkfQKUTLU8w7nV5cuesNM1E5wQs34o+acnypTSmNTuQnvd3eXqfyzdR6mAR3THyUE</vt:lpwstr>
  </property>
  <property fmtid="{D5CDD505-2E9C-101B-9397-08002B2CF9AE}" pid="37" name="_IPGFLOW_P-2E9C_E-0_FP-B_CV-60DDE677_CN-D151CE09">
    <vt:lpwstr>DPSPMK|3|448|2|0</vt:lpwstr>
  </property>
  <property fmtid="{D5CDD505-2E9C-101B-9397-08002B2CF9AE}" pid="38" name="_IPGFLOW_P-2E9C_E-1_FP-C_SP-1_CV-1B0A31A5_CN-668A4D49">
    <vt:lpwstr>OaWeYr/fPTkHmMg8LVtBMipANO26J/TCVlchUe1fu9RXOxEZwjUOYxkQo4lJ4rsr3wprMacdD+nknn078Bovxe+eB3UbksvyjFRCAPbORLk4X4Dg4ikjGjfbGeLtDqjN4sLSZXkmvHvZyEygh5bBawCIdqHaaTpRq0qRYmq8puzq9y2h4Q6YiytxpZcwjLuF61giFJTAsDGMGCIrX0Hs9Js6Fl3jh86LUTrdQz6Fn1LVa/st1ri9p770H8aEOYs</vt:lpwstr>
  </property>
  <property fmtid="{D5CDD505-2E9C-101B-9397-08002B2CF9AE}" pid="39" name="_IPGFLOW_P-2E9C_E-1_FP-C_SP-2_CV-668106DC_CN-FC82723">
    <vt:lpwstr>laSoREEvQeW5mYLo2upoK9hDFJ7t+beLg0yuu6F+YO7LuDpDAccSCaw7v/hU60lwzUhKvjmLrDImZm3lwHwgORCMPD9rnUbJfWJtPhRid0BA6LmuVOrEyJOGPXv9Nth6l0OXJp2LBJ1e3amECn0oXisIyvB12twcVh9Qgw5PUvemkcbyBUVNN6TB/t8Rx7sqZ</vt:lpwstr>
  </property>
  <property fmtid="{D5CDD505-2E9C-101B-9397-08002B2CF9AE}" pid="40" name="_IPGFLOW_P-2E9C_E-0_FP-C_CV-60DDE677_CN-CC7178C">
    <vt:lpwstr>DPSPMK|3|448|2|0</vt:lpwstr>
  </property>
  <property fmtid="{D5CDD505-2E9C-101B-9397-08002B2CF9AE}" pid="41" name="_IPGFLOW_P-2E9C_E-1_FP-D_SP-1_CV-33D52E59_CN-BADEC527">
    <vt:lpwstr>OaWeYr/fPTkHmMg8LVtBMvdF9CTlPp38MhO8xvvAIsVmDcI8QkFUfNpOPdtmbV8GscMs+cbdg0Rx0J2Xtd/J0dHuiNtog1Yl939BE/80wAb2eY16sH9vaNzPWGpVWqgRwO/RZCifJhpu1flcbclbTJo2M9Iko46pvDVVgyeja4ipkQPv7rvQPMIXR1BfwqsvFoTaD95xuuGy3WMEJVCdgbFqV0u6gOrlRcmR2dgXp6EQiHvRnHaOFkEC1tIAhAb</vt:lpwstr>
  </property>
  <property fmtid="{D5CDD505-2E9C-101B-9397-08002B2CF9AE}" pid="42" name="_IPGFLOW_P-2E9C_E-1_FP-D_SP-2_CV-7E4E6FFD_CN-5994A1B6">
    <vt:lpwstr>gXQitRjzYR6TjeYpxCEtrqAPyBRFTi26jjBZ3yJI7UZWfpO2Fa6nKExX8okidAKko3a4Ir3VJxokhJf/q9GV80dGRfBdceoY9i4dk7qV6s1iqb6/my6aTQagIZwRz/WMuUi28CEYOW7vFdS6bGdTImSsm7DJ32sj0kgLG702k5Szoi+9axlY+Wu1Qd+T8vXID</vt:lpwstr>
  </property>
  <property fmtid="{D5CDD505-2E9C-101B-9397-08002B2CF9AE}" pid="43" name="_IPGFLOW_P-2E9C_E-0_FP-D_CV-60DDE677_CN-71B411D4">
    <vt:lpwstr>DPSPMK|3|448|2|0</vt:lpwstr>
  </property>
  <property fmtid="{D5CDD505-2E9C-101B-9397-08002B2CF9AE}" pid="44" name="_IPGFLOW_P-2E9C_E-1_FP-E_SP-1_CV-74000452_CN-24DA9071">
    <vt:lpwstr>QqvEE/pspjp4/J2i90ZR98ktLTh7pC5huIAUCI/BxAhqkF3+CZOlavkMwCEN+NkPBhF+WITI/bg0biF0ieDud1y2kBinc0leBOWRTOK9BwEe2xrFFdAyEqqvSafxkMPQrjjgkVDid+EUNPpJUZimNC72+1ajfYQ6KSQI0vHmw1OytlKw+Yf5aeUHueI0iUz40USI4US7UWHZJIGWY+ajZxAj1ansB/MgZbw0c4ZXMznXFMOiLwJJ5+RbZ/GOEBn</vt:lpwstr>
  </property>
  <property fmtid="{D5CDD505-2E9C-101B-9397-08002B2CF9AE}" pid="45" name="_IPGFLOW_P-2E9C_E-1_FP-E_SP-2_CV-16771D6D_CN-19C38046">
    <vt:lpwstr>iEZQ0sV1m9/klsdpqT764M6xul2j4IkWKRccXE77NGTEgnOpVLhDND1TCEXpIlnDlpVq6FwzOJCP/aovw4xCnZc/Ej2hcTIkqtzvonl3x2iF0BWlSonr+k8XV0pS369s5+09BkMSF3+4idAsRmvJwsq51AFCLcaMubRIQUIF0XbEKWhVZUbwarvOnGXjBNr2f1lnrDu4R4o+Rc6bsE2nIVPpOd3eoZfzvyiG4tqoQjDo=</vt:lpwstr>
  </property>
  <property fmtid="{D5CDD505-2E9C-101B-9397-08002B2CF9AE}" pid="46" name="_IPGFLOW_P-2E9C_E-0_FP-E_CV-96F3ED08_CN-9863457B">
    <vt:lpwstr>DPSPMK|3|492|2|0</vt:lpwstr>
  </property>
  <property fmtid="{D5CDD505-2E9C-101B-9397-08002B2CF9AE}" pid="47" name="_IPGFLOW_P-2E9C_E-0_CV-7E689538_CN-8355F175">
    <vt:lpwstr>DPFPMK|3|50|15|0</vt:lpwstr>
  </property>
  <property fmtid="{D5CDD505-2E9C-101B-9397-08002B2CF9AE}" pid="48" name="_IPGFLOW_P-2E9C_E-1_FP-F_SP-1_CV-A344A909_CN-3E2B763B">
    <vt:lpwstr>QqvEE/pspjp4/J2i90ZR9+LbDsHLrGAHdNjzk56uxYXfG1F3I3442qSWCe6QjSOST6+xCObeTo/8+18Zy8bkv5wt3nH3HQwr81j3XlnlnvJjmYvmlbhgiXtCw13dzAZmYZG9PtdZqlT0Fcy8wG4drqm3cJwbIlwqA3KkDA35B9tM6hLNm3Q/r3GwyJZHyd5Heca/LnB8QlEe6PDGGS9qlon/Esw2bUZIdG2gsF49IMGdAGlG8QGVS0IZJZk60BJ</vt:lpwstr>
  </property>
  <property fmtid="{D5CDD505-2E9C-101B-9397-08002B2CF9AE}" pid="49" name="_IPGFLOW_P-2E9C_E-1_FP-F_SP-2_CV-F709E12B_CN-6AFABD81">
    <vt:lpwstr>Jwug9KfTh0hpozYgAwrfG/IwaPLf+EEcq03qb2ivsqgUK74QWl1ia8GJhpPTH1VnaM1c0gFCNjWCuyE/VXtjkJ/UuT5gsD2kmvgEfCzDj14KGgT1MJzOLTPL++AQwFale9YZ3FQIeWvxzFeS10YYWJSNKR9+Q2mZB1Dd5yOqBzT+oiJwFuBufd3ggI5y1joNHMRJ4JbYntEvLhhVKznE9k4fZWcn8pBXhJpr9hvqqbgs=</vt:lpwstr>
  </property>
  <property fmtid="{D5CDD505-2E9C-101B-9397-08002B2CF9AE}" pid="50" name="_IPGFLOW_P-2E9C_E-0_FP-F_CV-96F3ED08_CN-25A929B5">
    <vt:lpwstr>DPSPMK|3|492|2|0</vt:lpwstr>
  </property>
</Properties>
</file>