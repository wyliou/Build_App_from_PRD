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【電子作業平台】\T-進出口部\日常表單\Invoice &amp; Packing\L026-1\114年\"/>
    </mc:Choice>
  </mc:AlternateContent>
  <bookViews>
    <workbookView xWindow="0" yWindow="0" windowWidth="20496" windowHeight="7860"/>
  </bookViews>
  <sheets>
    <sheet name="INVOICE" sheetId="1" r:id="rId1"/>
    <sheet name="PACKING" sheetId="2" r:id="rId2"/>
  </sheets>
  <definedNames>
    <definedName name="_xlnm.Print_Area" localSheetId="0">INVOICE!$A$1:$P$41</definedName>
    <definedName name="_xlnm.Print_Area" localSheetId="1">PACKING!$A$1:$J$39</definedName>
  </definedNames>
  <calcPr calcId="162913"/>
</workbook>
</file>

<file path=xl/calcChain.xml><?xml version="1.0" encoding="utf-8"?>
<calcChain xmlns="http://schemas.openxmlformats.org/spreadsheetml/2006/main">
  <c r="J35" i="2" l="1"/>
  <c r="I35" i="2"/>
  <c r="H35" i="2"/>
  <c r="F35" i="2"/>
  <c r="B35" i="2"/>
  <c r="H31" i="2"/>
  <c r="H29" i="2"/>
  <c r="I29" i="2"/>
  <c r="I28" i="2"/>
  <c r="H28" i="2"/>
  <c r="I25" i="2"/>
  <c r="H25" i="2"/>
  <c r="I24" i="2"/>
  <c r="H24" i="2"/>
  <c r="I23" i="2"/>
  <c r="H23" i="2"/>
  <c r="P31" i="1"/>
  <c r="P32" i="1"/>
  <c r="P35" i="1"/>
  <c r="P36" i="1"/>
  <c r="P37" i="1"/>
  <c r="P38" i="1"/>
  <c r="P27" i="1"/>
  <c r="P26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P29" i="1"/>
  <c r="P22" i="1"/>
  <c r="P23" i="1"/>
  <c r="P21" i="1"/>
  <c r="J21" i="1"/>
  <c r="I31" i="2" l="1"/>
  <c r="I32" i="2"/>
  <c r="H32" i="2"/>
  <c r="I30" i="2"/>
  <c r="H30" i="2"/>
  <c r="F41" i="1"/>
  <c r="P24" i="1"/>
  <c r="P25" i="1"/>
  <c r="I34" i="2" l="1"/>
  <c r="P28" i="1" l="1"/>
  <c r="P30" i="1"/>
  <c r="P41" i="1" l="1"/>
  <c r="F5" i="2"/>
  <c r="F4" i="2"/>
  <c r="D18" i="2"/>
  <c r="A18" i="2"/>
  <c r="A15" i="2"/>
  <c r="A14" i="2"/>
  <c r="A10" i="2"/>
  <c r="A9" i="2"/>
  <c r="A5" i="2"/>
  <c r="A4" i="2"/>
  <c r="J41" i="1"/>
</calcChain>
</file>

<file path=xl/comments1.xml><?xml version="1.0" encoding="utf-8"?>
<comments xmlns="http://schemas.openxmlformats.org/spreadsheetml/2006/main">
  <authors>
    <author>D000208</author>
  </authors>
  <commentList>
    <comment ref="L20" authorId="0" shapeId="0">
      <text>
        <r>
          <rPr>
            <sz val="14"/>
            <rFont val="宋体"/>
            <charset val="136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E38" authorId="0" shapeId="0">
      <text>
        <r>
          <rPr>
            <sz val="10"/>
            <rFont val="宋体"/>
            <charset val="136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<sst xmlns="http://schemas.openxmlformats.org/spreadsheetml/2006/main" count="304" uniqueCount="112">
  <si>
    <t>COMMERCIAL INVOICE</t>
  </si>
  <si>
    <t>Shipper/Exporter</t>
  </si>
  <si>
    <t>No. &amp; Date of Invoice</t>
  </si>
  <si>
    <t>Bill To:</t>
  </si>
  <si>
    <t xml:space="preserve"> Payment Term</t>
  </si>
  <si>
    <t>Ship To:</t>
  </si>
  <si>
    <t xml:space="preserve"> Trade Term</t>
  </si>
  <si>
    <t>Port of Loading</t>
  </si>
  <si>
    <t>Port of Discharge</t>
  </si>
  <si>
    <t xml:space="preserve"> Remarks:</t>
  </si>
  <si>
    <t>Carrier</t>
  </si>
  <si>
    <t>Sailing on/or About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</si>
  <si>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</si>
  <si>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</si>
  <si>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</si>
  <si>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</si>
  <si>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</si>
  <si>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</si>
  <si>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</si>
  <si>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</si>
  <si>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</si>
  <si>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</si>
  <si>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</si>
  <si>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Net WT(KGS)</t>
  </si>
  <si>
    <t>PCS</t>
  </si>
  <si>
    <t>USD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</si>
  <si>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</si>
  <si>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</si>
  <si>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</si>
  <si>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</si>
  <si>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</si>
  <si>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</si>
  <si>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</si>
  <si>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</si>
  <si>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</si>
  <si>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</si>
  <si>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</si>
  <si>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TOTAL</t>
  </si>
  <si>
    <t>LinkCom Manufacturing Co., Ltd</t>
    <phoneticPr fontId="9" type="noConversion"/>
  </si>
  <si>
    <t>5F., No.127, Ln.235, Baoqiao Rd., Xindian Dist., New Taipei City 231-45, Taiwan, China</t>
    <phoneticPr fontId="9" type="noConversion"/>
  </si>
  <si>
    <r>
      <rPr>
        <sz val="10"/>
        <rFont val="細明體"/>
        <family val="3"/>
        <charset val="136"/>
      </rPr>
      <t>中国江苏省苏州工业区唐庄路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号</t>
    </r>
  </si>
  <si>
    <r>
      <rPr>
        <sz val="10"/>
        <rFont val="細明體"/>
        <family val="3"/>
        <charset val="136"/>
      </rPr>
      <t>中国江苏省苏州工业区唐庄路</t>
    </r>
    <r>
      <rPr>
        <sz val="10"/>
        <rFont val="Arial"/>
        <family val="2"/>
      </rPr>
      <t>8</t>
    </r>
    <r>
      <rPr>
        <sz val="10"/>
        <rFont val="細明體"/>
        <family val="3"/>
        <charset val="136"/>
      </rPr>
      <t>号</t>
    </r>
    <phoneticPr fontId="9" type="noConversion"/>
  </si>
  <si>
    <t>DDU</t>
    <phoneticPr fontId="9" type="noConversion"/>
  </si>
  <si>
    <r>
      <t>1.</t>
    </r>
    <r>
      <rPr>
        <sz val="10"/>
        <rFont val="Microsoft YaHei"/>
        <family val="2"/>
        <charset val="134"/>
      </rPr>
      <t>进境口岸关别代码：</t>
    </r>
    <r>
      <rPr>
        <sz val="10"/>
        <rFont val="Arial"/>
        <family val="2"/>
      </rPr>
      <t> 2369</t>
    </r>
    <r>
      <rPr>
        <sz val="10"/>
        <rFont val="Microsoft YaHei"/>
        <family val="2"/>
        <charset val="134"/>
      </rPr>
      <t>（昆山综保）</t>
    </r>
  </si>
  <si>
    <t>CHINA</t>
    <phoneticPr fontId="9" type="noConversion"/>
  </si>
  <si>
    <t>N/A</t>
    <phoneticPr fontId="9" type="noConversion"/>
  </si>
  <si>
    <t>CHINA</t>
    <phoneticPr fontId="9" type="noConversion"/>
  </si>
  <si>
    <t>PLT</t>
    <phoneticPr fontId="9" type="noConversion"/>
  </si>
  <si>
    <r>
      <rPr>
        <sz val="10"/>
        <rFont val="宋体"/>
        <charset val="136"/>
      </rPr>
      <t>件数</t>
    </r>
  </si>
  <si>
    <r>
      <rPr>
        <sz val="10"/>
        <rFont val="宋体"/>
        <charset val="136"/>
      </rPr>
      <t>托盘材质</t>
    </r>
  </si>
  <si>
    <r>
      <rPr>
        <sz val="10"/>
        <rFont val="宋体"/>
        <charset val="136"/>
      </rPr>
      <t>包装种类</t>
    </r>
    <phoneticPr fontId="9" type="noConversion"/>
  </si>
  <si>
    <r>
      <rPr>
        <sz val="10"/>
        <rFont val="宋体"/>
        <charset val="136"/>
      </rPr>
      <t>纸箱</t>
    </r>
    <r>
      <rPr>
        <sz val="10"/>
        <rFont val="Arial"/>
        <family val="2"/>
      </rPr>
      <t>/</t>
    </r>
    <r>
      <rPr>
        <sz val="10"/>
        <rFont val="宋体"/>
        <charset val="136"/>
      </rPr>
      <t>托盘等</t>
    </r>
    <phoneticPr fontId="9" type="noConversion"/>
  </si>
  <si>
    <r>
      <rPr>
        <sz val="10"/>
        <rFont val="宋体"/>
        <charset val="136"/>
      </rPr>
      <t>塑胶托</t>
    </r>
    <phoneticPr fontId="9" type="noConversion"/>
  </si>
  <si>
    <r>
      <rPr>
        <sz val="10"/>
        <rFont val="宋体"/>
        <charset val="136"/>
      </rPr>
      <t>贸易国：</t>
    </r>
  </si>
  <si>
    <r>
      <rPr>
        <sz val="10"/>
        <rFont val="細明體"/>
        <family val="3"/>
        <charset val="136"/>
      </rPr>
      <t>中国台湾</t>
    </r>
    <phoneticPr fontId="9" type="noConversion"/>
  </si>
  <si>
    <r>
      <rPr>
        <b/>
        <sz val="10"/>
        <rFont val="宋体"/>
        <charset val="136"/>
      </rPr>
      <t>品牌</t>
    </r>
  </si>
  <si>
    <r>
      <rPr>
        <b/>
        <sz val="10"/>
        <rFont val="宋体"/>
        <charset val="136"/>
      </rPr>
      <t>品牌类型</t>
    </r>
  </si>
  <si>
    <r>
      <rPr>
        <b/>
        <sz val="10"/>
        <rFont val="宋体"/>
        <charset val="136"/>
      </rPr>
      <t>型号</t>
    </r>
  </si>
  <si>
    <r>
      <rPr>
        <sz val="10"/>
        <rFont val="細明體"/>
        <family val="3"/>
        <charset val="136"/>
      </rPr>
      <t>中磊电子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苏州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有限公司</t>
    </r>
  </si>
  <si>
    <r>
      <t>2.</t>
    </r>
    <r>
      <rPr>
        <sz val="10"/>
        <rFont val="Microsoft YaHei"/>
        <family val="2"/>
        <charset val="134"/>
      </rPr>
      <t>申报地口岸关别代码</t>
    </r>
    <r>
      <rPr>
        <sz val="10"/>
        <rFont val="Arial"/>
        <family val="2"/>
      </rPr>
      <t> </t>
    </r>
    <r>
      <rPr>
        <sz val="10"/>
        <rFont val="SimSun"/>
        <charset val="134"/>
      </rPr>
      <t>：</t>
    </r>
    <r>
      <rPr>
        <sz val="10"/>
        <rFont val="Arial"/>
        <family val="2"/>
      </rPr>
      <t>2369</t>
    </r>
    <r>
      <rPr>
        <sz val="10"/>
        <rFont val="Microsoft YaHei"/>
        <family val="2"/>
        <charset val="134"/>
      </rPr>
      <t>（昆山综保）</t>
    </r>
  </si>
  <si>
    <r>
      <t>3.</t>
    </r>
    <r>
      <rPr>
        <sz val="10"/>
        <rFont val="Microsoft YaHei"/>
        <family val="2"/>
        <charset val="134"/>
      </rPr>
      <t>报关行名称及代码</t>
    </r>
    <r>
      <rPr>
        <sz val="10"/>
        <rFont val="Arial"/>
        <family val="2"/>
      </rPr>
      <t> </t>
    </r>
    <r>
      <rPr>
        <sz val="10"/>
        <rFont val="SimSun"/>
        <charset val="134"/>
      </rPr>
      <t>：</t>
    </r>
    <r>
      <rPr>
        <sz val="10"/>
        <rFont val="Microsoft YaHei"/>
        <family val="2"/>
        <charset val="134"/>
      </rPr>
      <t>昆山天马报关</t>
    </r>
    <r>
      <rPr>
        <sz val="10"/>
        <rFont val="Arial"/>
        <family val="2"/>
      </rPr>
      <t xml:space="preserve"> 3223980034</t>
    </r>
  </si>
  <si>
    <r>
      <t>4.</t>
    </r>
    <r>
      <rPr>
        <sz val="10"/>
        <rFont val="Microsoft YaHei"/>
        <family val="2"/>
        <charset val="134"/>
      </rPr>
      <t>关联手册</t>
    </r>
    <r>
      <rPr>
        <sz val="10"/>
        <rFont val="Arial"/>
        <family val="2"/>
      </rPr>
      <t>(</t>
    </r>
    <r>
      <rPr>
        <sz val="10"/>
        <rFont val="Microsoft YaHei"/>
        <family val="2"/>
        <charset val="134"/>
      </rPr>
      <t>账册）编号</t>
    </r>
    <r>
      <rPr>
        <sz val="10"/>
        <rFont val="Arial"/>
        <family val="2"/>
      </rPr>
      <t> </t>
    </r>
    <r>
      <rPr>
        <sz val="10"/>
        <rFont val="SimSun"/>
        <charset val="134"/>
      </rPr>
      <t>：</t>
    </r>
    <r>
      <rPr>
        <sz val="10"/>
        <rFont val="Arial"/>
        <family val="2"/>
      </rPr>
      <t>T2369W000174</t>
    </r>
    <phoneticPr fontId="13" type="noConversion"/>
  </si>
  <si>
    <r>
      <rPr>
        <sz val="10"/>
        <rFont val="細明體"/>
        <family val="3"/>
        <charset val="136"/>
      </rPr>
      <t>中磊电子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苏州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有限公司</t>
    </r>
    <phoneticPr fontId="9" type="noConversion"/>
  </si>
  <si>
    <t>366004CKLC</t>
    <phoneticPr fontId="13" type="noConversion"/>
  </si>
  <si>
    <t>3660048HLC</t>
    <phoneticPr fontId="13" type="noConversion"/>
  </si>
  <si>
    <t>366004AJLC</t>
    <phoneticPr fontId="13" type="noConversion"/>
  </si>
  <si>
    <t>3660048RLC</t>
    <phoneticPr fontId="13" type="noConversion"/>
  </si>
  <si>
    <t>363003A8LC</t>
    <phoneticPr fontId="13" type="noConversion"/>
  </si>
  <si>
    <t>PPE4812-002LR</t>
    <phoneticPr fontId="13" type="noConversion"/>
  </si>
  <si>
    <t>PLAL0562-55R</t>
    <phoneticPr fontId="13" type="noConversion"/>
  </si>
  <si>
    <t>PLDT1067-50R</t>
    <phoneticPr fontId="13" type="noConversion"/>
  </si>
  <si>
    <t>PLDT8602-50R</t>
    <phoneticPr fontId="13" type="noConversion"/>
  </si>
  <si>
    <t>PLAN7241-52R</t>
    <phoneticPr fontId="13" type="noConversion"/>
  </si>
  <si>
    <t>LINKCOM Part NO.</t>
    <phoneticPr fontId="9" type="noConversion"/>
  </si>
  <si>
    <t>LINKCOM Part NO.</t>
    <phoneticPr fontId="9" type="noConversion"/>
  </si>
  <si>
    <t>120*80*89</t>
  </si>
  <si>
    <r>
      <rPr>
        <sz val="10"/>
        <rFont val="新細明體"/>
        <family val="1"/>
        <charset val="136"/>
      </rPr>
      <t>變壓器</t>
    </r>
    <phoneticPr fontId="9" type="noConversion"/>
  </si>
  <si>
    <t>363003A8LC</t>
    <phoneticPr fontId="13" type="noConversion"/>
  </si>
  <si>
    <t>PPE4812-002LR</t>
    <phoneticPr fontId="13" type="noConversion"/>
  </si>
  <si>
    <t>PLAL0562-55R</t>
    <phoneticPr fontId="13" type="noConversion"/>
  </si>
  <si>
    <t>PLDT1067-50R</t>
    <phoneticPr fontId="13" type="noConversion"/>
  </si>
  <si>
    <t>PLDT8602-50R</t>
    <phoneticPr fontId="13" type="noConversion"/>
  </si>
  <si>
    <r>
      <t>LinkCom</t>
    </r>
    <r>
      <rPr>
        <sz val="9"/>
        <rFont val="細明體"/>
        <family val="3"/>
        <charset val="136"/>
      </rPr>
      <t>牌</t>
    </r>
    <r>
      <rPr>
        <sz val="9"/>
        <rFont val="Arial"/>
        <family val="2"/>
      </rPr>
      <t>(</t>
    </r>
    <r>
      <rPr>
        <sz val="9"/>
        <rFont val="細明體"/>
        <family val="3"/>
        <charset val="136"/>
      </rPr>
      <t>無中文品牌</t>
    </r>
    <r>
      <rPr>
        <sz val="9"/>
        <rFont val="Arial"/>
        <family val="2"/>
      </rPr>
      <t>)</t>
    </r>
    <phoneticPr fontId="9" type="noConversion"/>
  </si>
  <si>
    <r>
      <rPr>
        <sz val="9"/>
        <rFont val="細明體"/>
        <family val="3"/>
        <charset val="136"/>
      </rPr>
      <t>境外品牌</t>
    </r>
    <r>
      <rPr>
        <sz val="9"/>
        <rFont val="Arial"/>
        <family val="2"/>
      </rPr>
      <t>(</t>
    </r>
    <r>
      <rPr>
        <sz val="9"/>
        <rFont val="細明體"/>
        <family val="3"/>
        <charset val="136"/>
      </rPr>
      <t>其他</t>
    </r>
    <r>
      <rPr>
        <sz val="9"/>
        <rFont val="Arial"/>
        <family val="2"/>
      </rPr>
      <t>)</t>
    </r>
    <phoneticPr fontId="9" type="noConversion"/>
  </si>
  <si>
    <r>
      <rPr>
        <sz val="9"/>
        <rFont val="細明體"/>
        <family val="3"/>
        <charset val="136"/>
      </rPr>
      <t>無型號</t>
    </r>
  </si>
  <si>
    <r>
      <rPr>
        <sz val="9"/>
        <rFont val="新細明體"/>
        <family val="1"/>
        <charset val="136"/>
      </rPr>
      <t>變壓器</t>
    </r>
    <phoneticPr fontId="9" type="noConversion"/>
  </si>
  <si>
    <t>L026-SM-250803</t>
    <phoneticPr fontId="9" type="noConversion"/>
  </si>
  <si>
    <t>2025//08/15</t>
    <phoneticPr fontId="9" type="noConversion"/>
  </si>
  <si>
    <t>PPE4505-001LR</t>
    <phoneticPr fontId="9" type="noConversion"/>
  </si>
  <si>
    <t>PLAL0562-60HR</t>
    <phoneticPr fontId="9" type="noConversion"/>
  </si>
  <si>
    <t>366004CKLC</t>
    <phoneticPr fontId="13" type="noConversion"/>
  </si>
  <si>
    <t>366004C7LC</t>
    <phoneticPr fontId="13" type="noConversion"/>
  </si>
  <si>
    <t>366004C7LC</t>
    <phoneticPr fontId="13" type="noConversion"/>
  </si>
  <si>
    <t>3660048HLC</t>
    <phoneticPr fontId="13" type="noConversion"/>
  </si>
  <si>
    <t>366004AJLC</t>
    <phoneticPr fontId="13" type="noConversion"/>
  </si>
  <si>
    <t>3660048RLC</t>
    <phoneticPr fontId="13" type="noConversion"/>
  </si>
  <si>
    <t>363003A8LC</t>
    <phoneticPr fontId="13" type="noConversion"/>
  </si>
  <si>
    <t>36600475LC</t>
    <phoneticPr fontId="13" type="noConversion"/>
  </si>
  <si>
    <t>36600475LC</t>
    <phoneticPr fontId="13" type="noConversion"/>
  </si>
  <si>
    <t>36600475LC</t>
    <phoneticPr fontId="13" type="noConversion"/>
  </si>
  <si>
    <r>
      <rPr>
        <sz val="9"/>
        <rFont val="新細明體"/>
        <family val="1"/>
        <charset val="136"/>
      </rPr>
      <t>變壓器</t>
    </r>
    <phoneticPr fontId="9" type="noConversion"/>
  </si>
  <si>
    <r>
      <t>LinkCom</t>
    </r>
    <r>
      <rPr>
        <sz val="9"/>
        <rFont val="細明體"/>
        <family val="3"/>
        <charset val="136"/>
      </rPr>
      <t>牌</t>
    </r>
    <r>
      <rPr>
        <sz val="9"/>
        <rFont val="Arial"/>
        <family val="2"/>
      </rPr>
      <t>(</t>
    </r>
    <r>
      <rPr>
        <sz val="9"/>
        <rFont val="細明體"/>
        <family val="3"/>
        <charset val="136"/>
      </rPr>
      <t>無中文品牌</t>
    </r>
    <r>
      <rPr>
        <sz val="9"/>
        <rFont val="Arial"/>
        <family val="2"/>
      </rPr>
      <t>)</t>
    </r>
    <phoneticPr fontId="9" type="noConversion"/>
  </si>
  <si>
    <r>
      <rPr>
        <sz val="9"/>
        <rFont val="細明體"/>
        <family val="3"/>
        <charset val="136"/>
      </rPr>
      <t>境外品牌</t>
    </r>
    <r>
      <rPr>
        <sz val="9"/>
        <rFont val="Arial"/>
        <family val="2"/>
      </rPr>
      <t>(</t>
    </r>
    <r>
      <rPr>
        <sz val="9"/>
        <rFont val="細明體"/>
        <family val="3"/>
        <charset val="136"/>
      </rPr>
      <t>其他</t>
    </r>
    <r>
      <rPr>
        <sz val="9"/>
        <rFont val="Arial"/>
        <family val="2"/>
      </rPr>
      <t>)</t>
    </r>
    <phoneticPr fontId="9" type="noConversion"/>
  </si>
  <si>
    <t>T1</t>
    <phoneticPr fontId="9" type="noConversion"/>
  </si>
  <si>
    <t>T2</t>
    <phoneticPr fontId="9" type="noConversion"/>
  </si>
  <si>
    <t>T3</t>
    <phoneticPr fontId="9" type="noConversion"/>
  </si>
  <si>
    <t>T4</t>
    <phoneticPr fontId="9" type="noConversion"/>
  </si>
  <si>
    <t>T5</t>
    <phoneticPr fontId="9" type="noConversion"/>
  </si>
  <si>
    <t>120*80*89</t>
    <phoneticPr fontId="9" type="noConversion"/>
  </si>
  <si>
    <t>120*80*104</t>
    <phoneticPr fontId="9" type="noConversion"/>
  </si>
  <si>
    <t>120*80*104</t>
    <phoneticPr fontId="9" type="noConversion"/>
  </si>
  <si>
    <t>120*80*104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</si>
</sst>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yyyy/m/d;@"/>
    <numFmt numFmtId="177" formatCode="0.00_ "/>
    <numFmt numFmtId="178" formatCode="0.00_);[Red]\(0.00\)"/>
    <numFmt numFmtId="179" formatCode="0_ "/>
    <numFmt numFmtId="180" formatCode="0.000_ "/>
    <numFmt numFmtId="181" formatCode="#,##0.00_ "/>
    <numFmt numFmtId="182" formatCode="0.0000_);[Red]\(0.0000\)"/>
    <numFmt numFmtId="183" formatCode="#,##0_ ;\-#,##0\ "/>
    <numFmt numFmtId="184" formatCode="0.000_);[Red]\(0.000\)"/>
  </numFmts>
  <fonts count="26">
    <font>
      <sz val="11"/>
      <color theme="1"/>
      <name val="新細明體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宋体"/>
      <charset val="136"/>
    </font>
    <font>
      <b/>
      <sz val="18"/>
      <name val="Arial"/>
      <family val="2"/>
    </font>
    <font>
      <sz val="12"/>
      <name val="宋体"/>
      <charset val="136"/>
    </font>
    <font>
      <sz val="12"/>
      <name val="新細明體"/>
      <family val="1"/>
      <charset val="136"/>
    </font>
    <font>
      <sz val="14"/>
      <name val="宋体"/>
      <charset val="136"/>
    </font>
    <font>
      <sz val="9"/>
      <name val="新細明體"/>
      <family val="3"/>
      <charset val="136"/>
      <scheme val="minor"/>
    </font>
    <font>
      <sz val="10"/>
      <name val="細明體"/>
      <family val="3"/>
      <charset val="136"/>
    </font>
    <font>
      <sz val="10"/>
      <name val="Microsoft YaHei"/>
      <family val="2"/>
      <charset val="134"/>
    </font>
    <font>
      <sz val="10"/>
      <name val="SimSun"/>
      <charset val="134"/>
    </font>
    <font>
      <sz val="9"/>
      <name val="新細明體"/>
      <family val="1"/>
      <charset val="136"/>
    </font>
    <font>
      <sz val="10"/>
      <color theme="1"/>
      <name val="Arial"/>
      <family val="2"/>
    </font>
    <font>
      <sz val="18"/>
      <color theme="1"/>
      <name val="Arial"/>
      <family val="2"/>
    </font>
    <font>
      <sz val="10"/>
      <color indexed="12"/>
      <name val="Arial"/>
      <family val="2"/>
    </font>
    <font>
      <sz val="10"/>
      <name val="宋体"/>
      <charset val="136"/>
    </font>
    <font>
      <sz val="10"/>
      <name val="Helv"/>
      <family val="2"/>
    </font>
    <font>
      <sz val="10"/>
      <color theme="0" tint="-0.249977111117893"/>
      <name val="Arial"/>
      <family val="2"/>
    </font>
    <font>
      <sz val="10"/>
      <color theme="0" tint="-0.34998626667073579"/>
      <name val="Arial"/>
      <family val="2"/>
    </font>
    <font>
      <sz val="10"/>
      <name val="新細明體"/>
      <family val="1"/>
      <charset val="136"/>
    </font>
    <font>
      <sz val="9"/>
      <color theme="1"/>
      <name val="Arial"/>
      <family val="2"/>
    </font>
    <font>
      <sz val="9"/>
      <name val="Arial"/>
      <family val="2"/>
    </font>
    <font>
      <sz val="9"/>
      <name val="細明體"/>
      <family val="3"/>
      <charset val="136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>
      <alignment vertical="center"/>
    </xf>
    <xf numFmtId="0" fontId="18" fillId="0" borderId="0"/>
  </cellStyleXfs>
  <cellXfs count="223">
    <xf numFmtId="0" fontId="0" fillId="0" borderId="0" xfId="0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2" fillId="0" borderId="2" xfId="1" applyFont="1" applyBorder="1"/>
    <xf numFmtId="0" fontId="2" fillId="2" borderId="0" xfId="1" applyFont="1" applyFill="1" applyBorder="1" applyAlignment="1">
      <alignment horizontal="left"/>
    </xf>
    <xf numFmtId="0" fontId="2" fillId="0" borderId="0" xfId="1" applyFont="1" applyBorder="1"/>
    <xf numFmtId="0" fontId="2" fillId="0" borderId="5" xfId="1" applyFont="1" applyBorder="1"/>
    <xf numFmtId="0" fontId="2" fillId="3" borderId="3" xfId="0" applyFont="1" applyFill="1" applyBorder="1" applyAlignment="1"/>
    <xf numFmtId="176" fontId="2" fillId="3" borderId="3" xfId="0" applyNumberFormat="1" applyFont="1" applyFill="1" applyBorder="1" applyAlignment="1"/>
    <xf numFmtId="0" fontId="2" fillId="0" borderId="3" xfId="1" applyFont="1" applyBorder="1"/>
    <xf numFmtId="0" fontId="2" fillId="0" borderId="6" xfId="2" applyFont="1" applyBorder="1" applyAlignment="1">
      <alignment horizontal="left"/>
    </xf>
    <xf numFmtId="0" fontId="2" fillId="0" borderId="7" xfId="2" applyFont="1" applyBorder="1"/>
    <xf numFmtId="0" fontId="2" fillId="0" borderId="7" xfId="4" applyFont="1" applyBorder="1"/>
    <xf numFmtId="0" fontId="2" fillId="0" borderId="8" xfId="4" applyFont="1" applyBorder="1"/>
    <xf numFmtId="0" fontId="2" fillId="0" borderId="6" xfId="1" applyFont="1" applyBorder="1"/>
    <xf numFmtId="0" fontId="2" fillId="0" borderId="7" xfId="1" applyFont="1" applyBorder="1"/>
    <xf numFmtId="0" fontId="1" fillId="2" borderId="1" xfId="2" applyFont="1" applyFill="1" applyBorder="1"/>
    <xf numFmtId="0" fontId="2" fillId="2" borderId="2" xfId="1" applyFont="1" applyFill="1" applyBorder="1"/>
    <xf numFmtId="0" fontId="2" fillId="2" borderId="4" xfId="1" applyFont="1" applyFill="1" applyBorder="1"/>
    <xf numFmtId="0" fontId="1" fillId="0" borderId="2" xfId="1" applyFont="1" applyBorder="1"/>
    <xf numFmtId="0" fontId="2" fillId="0" borderId="0" xfId="1" applyFont="1"/>
    <xf numFmtId="0" fontId="2" fillId="3" borderId="3" xfId="1" applyFont="1" applyFill="1" applyBorder="1" applyAlignment="1">
      <alignment horizontal="left"/>
    </xf>
    <xf numFmtId="0" fontId="2" fillId="2" borderId="0" xfId="1" applyFont="1" applyFill="1" applyBorder="1"/>
    <xf numFmtId="0" fontId="2" fillId="2" borderId="5" xfId="1" applyFont="1" applyFill="1" applyBorder="1"/>
    <xf numFmtId="0" fontId="1" fillId="0" borderId="0" xfId="1" applyFont="1"/>
    <xf numFmtId="0" fontId="2" fillId="0" borderId="0" xfId="2" applyFo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8" xfId="1" applyFont="1" applyBorder="1"/>
    <xf numFmtId="0" fontId="2" fillId="0" borderId="0" xfId="0" applyFont="1" applyFill="1" applyBorder="1" applyAlignment="1"/>
    <xf numFmtId="0" fontId="2" fillId="0" borderId="0" xfId="1" applyFont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1" fillId="0" borderId="1" xfId="1" applyFont="1" applyBorder="1"/>
    <xf numFmtId="177" fontId="2" fillId="0" borderId="0" xfId="0" applyNumberFormat="1" applyFont="1" applyFill="1" applyBorder="1" applyAlignment="1">
      <alignment horizontal="center" vertical="center"/>
    </xf>
    <xf numFmtId="0" fontId="1" fillId="0" borderId="0" xfId="1" applyFont="1" applyBorder="1"/>
    <xf numFmtId="0" fontId="3" fillId="0" borderId="5" xfId="1" applyFont="1" applyBorder="1" applyAlignment="1">
      <alignment horizontal="right"/>
    </xf>
    <xf numFmtId="0" fontId="1" fillId="2" borderId="0" xfId="1" applyFont="1" applyFill="1" applyBorder="1" applyAlignment="1">
      <alignment horizontal="center"/>
    </xf>
    <xf numFmtId="0" fontId="2" fillId="3" borderId="0" xfId="1" applyFont="1" applyFill="1"/>
    <xf numFmtId="0" fontId="2" fillId="0" borderId="0" xfId="1" applyFont="1" applyAlignment="1">
      <alignment horizontal="center" vertical="center"/>
    </xf>
    <xf numFmtId="0" fontId="1" fillId="2" borderId="2" xfId="2" applyFont="1" applyFill="1" applyBorder="1"/>
    <xf numFmtId="0" fontId="2" fillId="0" borderId="2" xfId="2" applyFont="1" applyBorder="1"/>
    <xf numFmtId="0" fontId="2" fillId="2" borderId="2" xfId="2" applyFont="1" applyFill="1" applyBorder="1"/>
    <xf numFmtId="0" fontId="2" fillId="0" borderId="0" xfId="2" applyFont="1" applyBorder="1"/>
    <xf numFmtId="0" fontId="2" fillId="0" borderId="5" xfId="2" applyFont="1" applyBorder="1"/>
    <xf numFmtId="0" fontId="2" fillId="2" borderId="0" xfId="2" applyFont="1" applyFill="1" applyBorder="1"/>
    <xf numFmtId="49" fontId="2" fillId="2" borderId="0" xfId="2" applyNumberFormat="1" applyFont="1" applyFill="1" applyBorder="1" applyAlignment="1">
      <alignment horizontal="center"/>
    </xf>
    <xf numFmtId="49" fontId="2" fillId="0" borderId="0" xfId="2" applyNumberFormat="1" applyFont="1" applyBorder="1" applyAlignment="1">
      <alignment horizontal="center"/>
    </xf>
    <xf numFmtId="176" fontId="2" fillId="2" borderId="0" xfId="0" applyNumberFormat="1" applyFont="1" applyFill="1" applyBorder="1" applyAlignment="1"/>
    <xf numFmtId="176" fontId="2" fillId="0" borderId="0" xfId="0" applyNumberFormat="1" applyFont="1" applyFill="1" applyBorder="1" applyAlignment="1">
      <alignment horizontal="left"/>
    </xf>
    <xf numFmtId="0" fontId="2" fillId="0" borderId="3" xfId="2" applyFont="1" applyBorder="1"/>
    <xf numFmtId="0" fontId="2" fillId="0" borderId="7" xfId="2" applyFont="1" applyBorder="1" applyAlignment="1">
      <alignment horizontal="left"/>
    </xf>
    <xf numFmtId="0" fontId="2" fillId="0" borderId="8" xfId="2" applyFont="1" applyBorder="1"/>
    <xf numFmtId="0" fontId="2" fillId="0" borderId="6" xfId="2" applyFont="1" applyBorder="1"/>
    <xf numFmtId="0" fontId="2" fillId="2" borderId="4" xfId="2" applyFont="1" applyFill="1" applyBorder="1"/>
    <xf numFmtId="0" fontId="1" fillId="0" borderId="1" xfId="2" applyFont="1" applyBorder="1"/>
    <xf numFmtId="0" fontId="1" fillId="2" borderId="0" xfId="1" applyFont="1" applyFill="1" applyBorder="1" applyAlignment="1">
      <alignment horizontal="left"/>
    </xf>
    <xf numFmtId="0" fontId="1" fillId="2" borderId="5" xfId="1" applyFont="1" applyFill="1" applyBorder="1" applyAlignment="1">
      <alignment horizontal="left"/>
    </xf>
    <xf numFmtId="0" fontId="2" fillId="0" borderId="4" xfId="2" applyFont="1" applyBorder="1"/>
    <xf numFmtId="0" fontId="2" fillId="0" borderId="0" xfId="1" applyFont="1" applyBorder="1" applyAlignment="1">
      <alignment horizontal="left"/>
    </xf>
    <xf numFmtId="0" fontId="2" fillId="2" borderId="0" xfId="0" applyFont="1" applyFill="1" applyBorder="1" applyAlignment="1"/>
    <xf numFmtId="0" fontId="1" fillId="0" borderId="0" xfId="2" applyFont="1" applyBorder="1"/>
    <xf numFmtId="0" fontId="2" fillId="0" borderId="8" xfId="2" applyFont="1" applyBorder="1" applyAlignment="1"/>
    <xf numFmtId="0" fontId="1" fillId="0" borderId="3" xfId="2" applyFont="1" applyBorder="1"/>
    <xf numFmtId="0" fontId="2" fillId="0" borderId="8" xfId="0" applyFont="1" applyFill="1" applyBorder="1" applyAlignment="1">
      <alignment horizontal="center"/>
    </xf>
    <xf numFmtId="0" fontId="2" fillId="3" borderId="7" xfId="2" applyFont="1" applyFill="1" applyBorder="1"/>
    <xf numFmtId="0" fontId="1" fillId="0" borderId="3" xfId="2" applyFont="1" applyBorder="1" applyAlignment="1">
      <alignment horizontal="center" vertical="center"/>
    </xf>
    <xf numFmtId="0" fontId="1" fillId="0" borderId="0" xfId="2" applyFont="1" applyBorder="1" applyAlignment="1">
      <alignment horizontal="center" vertical="center" wrapText="1"/>
    </xf>
    <xf numFmtId="0" fontId="2" fillId="0" borderId="12" xfId="2" applyFont="1" applyBorder="1"/>
    <xf numFmtId="0" fontId="2" fillId="0" borderId="13" xfId="2" applyFont="1" applyBorder="1"/>
    <xf numFmtId="180" fontId="1" fillId="3" borderId="13" xfId="2" applyNumberFormat="1" applyFont="1" applyFill="1" applyBorder="1" applyAlignment="1">
      <alignment horizontal="center"/>
    </xf>
    <xf numFmtId="0" fontId="1" fillId="0" borderId="13" xfId="2" applyFont="1" applyFill="1" applyBorder="1"/>
    <xf numFmtId="182" fontId="1" fillId="0" borderId="13" xfId="2" applyNumberFormat="1" applyFont="1" applyBorder="1" applyAlignment="1">
      <alignment horizontal="center"/>
    </xf>
    <xf numFmtId="178" fontId="1" fillId="3" borderId="13" xfId="2" applyNumberFormat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0" xfId="0" applyFont="1">
      <alignment vertical="center"/>
    </xf>
    <xf numFmtId="0" fontId="14" fillId="0" borderId="5" xfId="0" applyFont="1" applyBorder="1">
      <alignment vertical="center"/>
    </xf>
    <xf numFmtId="0" fontId="3" fillId="0" borderId="4" xfId="1" applyFont="1" applyBorder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3" fillId="0" borderId="4" xfId="2" applyFont="1" applyBorder="1" applyAlignment="1"/>
    <xf numFmtId="0" fontId="3" fillId="0" borderId="5" xfId="1" applyFont="1" applyBorder="1"/>
    <xf numFmtId="0" fontId="2" fillId="3" borderId="0" xfId="1" applyFont="1" applyFill="1" applyAlignment="1">
      <alignment horizontal="center"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8" xfId="0" applyFont="1" applyBorder="1">
      <alignment vertical="center"/>
    </xf>
    <xf numFmtId="0" fontId="15" fillId="0" borderId="0" xfId="0" applyFont="1">
      <alignment vertical="center"/>
    </xf>
    <xf numFmtId="0" fontId="2" fillId="0" borderId="2" xfId="0" applyFont="1" applyFill="1" applyBorder="1" applyAlignment="1"/>
    <xf numFmtId="0" fontId="2" fillId="0" borderId="7" xfId="0" applyFont="1" applyFill="1" applyBorder="1" applyAlignment="1">
      <alignment vertical="center"/>
    </xf>
    <xf numFmtId="0" fontId="16" fillId="0" borderId="8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16" fillId="0" borderId="5" xfId="0" applyFont="1" applyFill="1" applyBorder="1" applyAlignment="1">
      <alignment vertical="center"/>
    </xf>
    <xf numFmtId="0" fontId="3" fillId="0" borderId="7" xfId="1" applyFont="1" applyBorder="1"/>
    <xf numFmtId="0" fontId="2" fillId="3" borderId="6" xfId="2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5" fillId="0" borderId="3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8" xfId="0" applyFont="1" applyBorder="1">
      <alignment vertical="center"/>
    </xf>
    <xf numFmtId="0" fontId="1" fillId="0" borderId="7" xfId="0" applyFont="1" applyFill="1" applyBorder="1" applyAlignment="1"/>
    <xf numFmtId="0" fontId="2" fillId="0" borderId="7" xfId="0" applyFont="1" applyFill="1" applyBorder="1" applyAlignment="1">
      <alignment horizontal="center"/>
    </xf>
    <xf numFmtId="49" fontId="1" fillId="2" borderId="0" xfId="2" applyNumberFormat="1" applyFont="1" applyFill="1" applyBorder="1" applyAlignment="1">
      <alignment horizontal="center" vertical="center" wrapText="1"/>
    </xf>
    <xf numFmtId="0" fontId="14" fillId="0" borderId="0" xfId="0" applyFont="1" applyBorder="1">
      <alignment vertical="center"/>
    </xf>
    <xf numFmtId="0" fontId="2" fillId="2" borderId="0" xfId="6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shrinkToFit="1"/>
    </xf>
    <xf numFmtId="0" fontId="14" fillId="2" borderId="2" xfId="5" applyFont="1" applyFill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center" vertical="center" wrapText="1" shrinkToFit="1"/>
    </xf>
    <xf numFmtId="0" fontId="2" fillId="2" borderId="0" xfId="0" applyFont="1" applyFill="1" applyBorder="1" applyAlignment="1">
      <alignment horizontal="center" vertical="center" wrapText="1" shrinkToFit="1"/>
    </xf>
    <xf numFmtId="178" fontId="2" fillId="2" borderId="0" xfId="0" applyNumberFormat="1" applyFont="1" applyFill="1" applyBorder="1" applyAlignment="1">
      <alignment horizontal="center" vertical="center" wrapText="1" shrinkToFit="1"/>
    </xf>
    <xf numFmtId="0" fontId="14" fillId="2" borderId="0" xfId="6" applyFont="1" applyFill="1" applyBorder="1" applyAlignment="1">
      <alignment horizontal="center" vertical="center"/>
    </xf>
    <xf numFmtId="0" fontId="19" fillId="0" borderId="0" xfId="0" applyFont="1" applyBorder="1">
      <alignment vertical="center"/>
    </xf>
    <xf numFmtId="0" fontId="19" fillId="0" borderId="0" xfId="0" applyFont="1">
      <alignment vertical="center"/>
    </xf>
    <xf numFmtId="0" fontId="2" fillId="0" borderId="6" xfId="0" applyFont="1" applyFill="1" applyBorder="1" applyAlignment="1">
      <alignment horizontal="left"/>
    </xf>
    <xf numFmtId="0" fontId="1" fillId="2" borderId="0" xfId="2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14" fillId="2" borderId="7" xfId="6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 shrinkToFit="1"/>
    </xf>
    <xf numFmtId="0" fontId="14" fillId="2" borderId="7" xfId="0" applyFont="1" applyFill="1" applyBorder="1" applyAlignment="1">
      <alignment horizontal="center" vertical="center"/>
    </xf>
    <xf numFmtId="183" fontId="14" fillId="2" borderId="7" xfId="0" applyNumberFormat="1" applyFont="1" applyFill="1" applyBorder="1" applyAlignment="1">
      <alignment horizontal="center" vertical="center"/>
    </xf>
    <xf numFmtId="0" fontId="14" fillId="2" borderId="13" xfId="6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 wrapText="1" shrinkToFit="1"/>
    </xf>
    <xf numFmtId="180" fontId="2" fillId="2" borderId="0" xfId="0" applyNumberFormat="1" applyFont="1" applyFill="1" applyBorder="1" applyAlignment="1">
      <alignment horizontal="center" vertical="center" wrapText="1" shrinkToFit="1"/>
    </xf>
    <xf numFmtId="180" fontId="2" fillId="2" borderId="7" xfId="0" applyNumberFormat="1" applyFont="1" applyFill="1" applyBorder="1" applyAlignment="1">
      <alignment horizontal="center" vertical="center" wrapText="1" shrinkToFit="1"/>
    </xf>
    <xf numFmtId="178" fontId="2" fillId="2" borderId="7" xfId="0" applyNumberFormat="1" applyFont="1" applyFill="1" applyBorder="1" applyAlignment="1">
      <alignment horizontal="center" vertical="center" wrapText="1" shrinkToFit="1"/>
    </xf>
    <xf numFmtId="180" fontId="2" fillId="2" borderId="13" xfId="0" applyNumberFormat="1" applyFont="1" applyFill="1" applyBorder="1" applyAlignment="1">
      <alignment horizontal="center" vertical="center" wrapText="1" shrinkToFit="1"/>
    </xf>
    <xf numFmtId="178" fontId="2" fillId="2" borderId="13" xfId="0" applyNumberFormat="1" applyFont="1" applyFill="1" applyBorder="1" applyAlignment="1">
      <alignment horizontal="center" vertical="center" wrapText="1" shrinkToFit="1"/>
    </xf>
    <xf numFmtId="0" fontId="2" fillId="2" borderId="14" xfId="0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 wrapText="1" shrinkToFit="1"/>
    </xf>
    <xf numFmtId="0" fontId="2" fillId="2" borderId="9" xfId="3" applyFont="1" applyFill="1" applyBorder="1" applyAlignment="1">
      <alignment horizontal="center" vertical="center" wrapText="1" shrinkToFit="1"/>
    </xf>
    <xf numFmtId="0" fontId="2" fillId="2" borderId="10" xfId="1" applyFont="1" applyFill="1" applyBorder="1" applyAlignment="1">
      <alignment horizontal="center" vertical="center" wrapText="1" shrinkToFit="1"/>
    </xf>
    <xf numFmtId="180" fontId="3" fillId="2" borderId="10" xfId="1" applyNumberFormat="1" applyFont="1" applyFill="1" applyBorder="1" applyAlignment="1">
      <alignment horizontal="center" vertical="center" wrapText="1" shrinkToFit="1"/>
    </xf>
    <xf numFmtId="178" fontId="2" fillId="2" borderId="10" xfId="1" applyNumberFormat="1" applyFont="1" applyFill="1" applyBorder="1" applyAlignment="1">
      <alignment horizontal="center" vertical="center" wrapText="1" shrinkToFit="1"/>
    </xf>
    <xf numFmtId="178" fontId="1" fillId="2" borderId="10" xfId="1" applyNumberFormat="1" applyFont="1" applyFill="1" applyBorder="1" applyAlignment="1">
      <alignment horizontal="center" vertical="center" wrapText="1" shrinkToFit="1"/>
    </xf>
    <xf numFmtId="178" fontId="1" fillId="2" borderId="11" xfId="1" applyNumberFormat="1" applyFont="1" applyFill="1" applyBorder="1" applyAlignment="1">
      <alignment horizontal="center" vertical="center" wrapText="1" shrinkToFit="1"/>
    </xf>
    <xf numFmtId="179" fontId="1" fillId="2" borderId="3" xfId="1" applyNumberFormat="1" applyFont="1" applyFill="1" applyBorder="1" applyAlignment="1">
      <alignment horizontal="center"/>
    </xf>
    <xf numFmtId="0" fontId="1" fillId="2" borderId="0" xfId="1" applyFont="1" applyFill="1" applyBorder="1"/>
    <xf numFmtId="180" fontId="1" fillId="2" borderId="0" xfId="1" applyNumberFormat="1" applyFont="1" applyFill="1" applyBorder="1" applyAlignment="1">
      <alignment horizontal="center"/>
    </xf>
    <xf numFmtId="178" fontId="1" fillId="2" borderId="0" xfId="1" applyNumberFormat="1" applyFont="1" applyFill="1" applyBorder="1" applyAlignment="1">
      <alignment horizontal="center"/>
    </xf>
    <xf numFmtId="178" fontId="1" fillId="2" borderId="5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5" fillId="0" borderId="0" xfId="0" applyFont="1" applyBorder="1">
      <alignment vertical="center"/>
    </xf>
    <xf numFmtId="178" fontId="1" fillId="3" borderId="14" xfId="2" applyNumberFormat="1" applyFont="1" applyFill="1" applyBorder="1" applyAlignment="1">
      <alignment horizontal="center"/>
    </xf>
    <xf numFmtId="0" fontId="14" fillId="2" borderId="0" xfId="5" applyFont="1" applyFill="1" applyBorder="1" applyAlignment="1">
      <alignment horizontal="center" vertical="center"/>
    </xf>
    <xf numFmtId="0" fontId="22" fillId="2" borderId="0" xfId="5" applyFont="1" applyFill="1" applyBorder="1" applyAlignment="1">
      <alignment horizontal="center" vertical="center"/>
    </xf>
    <xf numFmtId="0" fontId="22" fillId="2" borderId="0" xfId="6" applyFont="1" applyFill="1" applyBorder="1" applyAlignment="1">
      <alignment horizontal="center" vertical="center"/>
    </xf>
    <xf numFmtId="182" fontId="22" fillId="2" borderId="0" xfId="5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 shrinkToFit="1"/>
    </xf>
    <xf numFmtId="181" fontId="23" fillId="2" borderId="0" xfId="0" applyNumberFormat="1" applyFont="1" applyFill="1" applyBorder="1" applyAlignment="1">
      <alignment horizontal="center" vertical="center" wrapText="1" shrinkToFit="1"/>
    </xf>
    <xf numFmtId="0" fontId="23" fillId="2" borderId="0" xfId="0" applyNumberFormat="1" applyFont="1" applyFill="1" applyBorder="1" applyAlignment="1">
      <alignment horizontal="center" vertical="center" wrapText="1" shrinkToFit="1"/>
    </xf>
    <xf numFmtId="178" fontId="23" fillId="2" borderId="0" xfId="0" applyNumberFormat="1" applyFont="1" applyFill="1" applyBorder="1" applyAlignment="1">
      <alignment horizontal="center" vertical="center" wrapText="1" shrinkToFit="1"/>
    </xf>
    <xf numFmtId="0" fontId="23" fillId="2" borderId="5" xfId="0" applyFont="1" applyFill="1" applyBorder="1" applyAlignment="1">
      <alignment horizontal="center" vertical="center" wrapText="1" shrinkToFit="1"/>
    </xf>
    <xf numFmtId="0" fontId="25" fillId="2" borderId="5" xfId="0" applyFont="1" applyFill="1" applyBorder="1" applyAlignment="1">
      <alignment horizontal="center" vertical="center" wrapText="1" shrinkToFit="1"/>
    </xf>
    <xf numFmtId="0" fontId="23" fillId="2" borderId="0" xfId="6" applyFont="1" applyFill="1" applyBorder="1" applyAlignment="1">
      <alignment horizontal="center" vertical="center"/>
    </xf>
    <xf numFmtId="184" fontId="23" fillId="2" borderId="0" xfId="6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183" fontId="22" fillId="2" borderId="0" xfId="0" applyNumberFormat="1" applyFont="1" applyFill="1" applyBorder="1" applyAlignment="1">
      <alignment horizontal="center" vertical="center"/>
    </xf>
    <xf numFmtId="184" fontId="22" fillId="2" borderId="0" xfId="6" applyNumberFormat="1" applyFont="1" applyFill="1" applyBorder="1" applyAlignment="1">
      <alignment horizontal="center" vertical="center"/>
    </xf>
    <xf numFmtId="0" fontId="2" fillId="2" borderId="7" xfId="6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 shrinkToFit="1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 shrinkToFit="1"/>
    </xf>
    <xf numFmtId="179" fontId="1" fillId="2" borderId="0" xfId="1" applyNumberFormat="1" applyFont="1" applyFill="1" applyBorder="1" applyAlignment="1">
      <alignment horizontal="center"/>
    </xf>
    <xf numFmtId="0" fontId="14" fillId="2" borderId="13" xfId="5" applyFont="1" applyFill="1" applyBorder="1" applyAlignment="1">
      <alignment horizontal="center" vertical="center"/>
    </xf>
    <xf numFmtId="183" fontId="14" fillId="2" borderId="2" xfId="0" applyNumberFormat="1" applyFont="1" applyFill="1" applyBorder="1" applyAlignment="1">
      <alignment horizontal="center" vertical="center"/>
    </xf>
    <xf numFmtId="0" fontId="2" fillId="2" borderId="12" xfId="2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" fillId="0" borderId="13" xfId="2" applyFont="1" applyBorder="1" applyAlignment="1">
      <alignment horizontal="left"/>
    </xf>
    <xf numFmtId="0" fontId="2" fillId="0" borderId="3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176" fontId="2" fillId="0" borderId="6" xfId="0" applyNumberFormat="1" applyFont="1" applyFill="1" applyBorder="1" applyAlignment="1">
      <alignment horizontal="left"/>
    </xf>
    <xf numFmtId="176" fontId="2" fillId="0" borderId="8" xfId="0" applyNumberFormat="1" applyFont="1" applyFill="1" applyBorder="1" applyAlignment="1">
      <alignment horizontal="left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0" fontId="1" fillId="2" borderId="0" xfId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 shrinkToFi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0" xfId="2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/>
    </xf>
    <xf numFmtId="0" fontId="2" fillId="0" borderId="3" xfId="2" applyFont="1" applyBorder="1" applyAlignment="1">
      <alignment horizontal="left" vertical="top" wrapText="1"/>
    </xf>
    <xf numFmtId="0" fontId="2" fillId="0" borderId="0" xfId="2" applyFont="1" applyBorder="1" applyAlignment="1">
      <alignment horizontal="left" vertical="top" wrapText="1"/>
    </xf>
    <xf numFmtId="0" fontId="2" fillId="0" borderId="5" xfId="2" applyFont="1" applyBorder="1" applyAlignment="1">
      <alignment horizontal="left" vertical="top" wrapText="1"/>
    </xf>
    <xf numFmtId="0" fontId="2" fillId="2" borderId="3" xfId="1" applyFont="1" applyFill="1" applyBorder="1" applyAlignment="1">
      <alignment vertical="top" wrapText="1"/>
    </xf>
    <xf numFmtId="0" fontId="2" fillId="2" borderId="0" xfId="1" applyFont="1" applyFill="1" applyBorder="1" applyAlignment="1">
      <alignment vertical="top" wrapText="1"/>
    </xf>
    <xf numFmtId="0" fontId="2" fillId="2" borderId="5" xfId="1" applyFont="1" applyFill="1" applyBorder="1" applyAlignment="1">
      <alignment vertical="top" wrapText="1"/>
    </xf>
  </cellXfs>
  <cellStyles count="7">
    <cellStyle name="一般" xfId="0" builtinId="0"/>
    <cellStyle name="一般_OMRON" xfId="2"/>
    <cellStyle name="一般_OMRON海運出口" xfId="1"/>
    <cellStyle name="一般_排程_1" xfId="5"/>
    <cellStyle name="一般_排程5.10" xfId="6"/>
    <cellStyle name="常规_Sheet1_1" xfId="3"/>
    <cellStyle name="常规_啟德一般貿易" xfId="4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41"/>
  <sheetViews>
    <sheetView tabSelected="1" workbookViewId="0">
      <selection activeCell="C8" sqref="C8"/>
    </sheetView>
  </sheetViews>
  <sheetFormatPr defaultColWidth="9" defaultRowHeight="22.8"/>
  <cols>
    <col min="1" max="1" width="9" style="87"/>
    <col min="2" max="2" width="12.75" style="87" bestFit="1" customWidth="1"/>
    <col min="3" max="3" width="24.375" style="87" customWidth="1"/>
    <col min="4" max="4" width="16" style="87" customWidth="1"/>
    <col min="5" max="5" width="15.25" style="87" customWidth="1"/>
    <col min="6" max="6" width="12.125" style="87" bestFit="1" customWidth="1"/>
    <col min="7" max="9" width="9" style="87"/>
    <col min="10" max="10" width="11.125" style="87" bestFit="1" customWidth="1"/>
    <col min="11" max="12" width="9" style="87"/>
    <col min="13" max="13" width="24.875" style="87" customWidth="1"/>
    <col min="14" max="14" width="17.625" style="87" customWidth="1"/>
    <col min="15" max="15" width="9" style="87"/>
    <col min="16" max="16" width="11.5" style="87" customWidth="1"/>
    <col min="17" max="16384" width="9" style="87"/>
  </cols>
  <sheetData>
    <row r="1" spans="1:16">
      <c r="A1" s="183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5"/>
    </row>
    <row r="2" spans="1:16">
      <c r="A2" s="16" t="s">
        <v>1</v>
      </c>
      <c r="B2" s="41"/>
      <c r="C2" s="41"/>
      <c r="D2" s="42"/>
      <c r="E2" s="78"/>
      <c r="F2" s="16" t="s">
        <v>2</v>
      </c>
      <c r="G2" s="43"/>
      <c r="H2" s="43"/>
      <c r="I2" s="42"/>
      <c r="J2" s="42"/>
      <c r="K2" s="88"/>
      <c r="L2" s="88"/>
      <c r="M2" s="88"/>
      <c r="N2" s="88"/>
      <c r="O2" s="88"/>
      <c r="P2" s="80"/>
    </row>
    <row r="3" spans="1:16">
      <c r="A3" s="7" t="s">
        <v>38</v>
      </c>
      <c r="B3" s="4"/>
      <c r="C3" s="4"/>
      <c r="D3" s="44"/>
      <c r="E3" s="45"/>
      <c r="F3" s="7" t="s">
        <v>86</v>
      </c>
      <c r="G3" s="46"/>
      <c r="H3" s="47"/>
      <c r="I3" s="48"/>
      <c r="J3" s="44"/>
      <c r="K3" s="29"/>
      <c r="L3" s="29"/>
      <c r="M3" s="29"/>
      <c r="N3" s="29"/>
      <c r="O3" s="29"/>
      <c r="P3" s="80"/>
    </row>
    <row r="4" spans="1:16">
      <c r="A4" s="177" t="s">
        <v>39</v>
      </c>
      <c r="B4" s="178"/>
      <c r="C4" s="178"/>
      <c r="D4" s="178"/>
      <c r="E4" s="179"/>
      <c r="F4" s="8" t="s">
        <v>87</v>
      </c>
      <c r="G4" s="49"/>
      <c r="H4" s="49"/>
      <c r="I4" s="50"/>
      <c r="J4" s="44"/>
      <c r="K4" s="29"/>
      <c r="L4" s="29"/>
      <c r="M4" s="29"/>
      <c r="N4" s="29"/>
      <c r="O4" s="29"/>
      <c r="P4" s="80"/>
    </row>
    <row r="5" spans="1:16">
      <c r="A5" s="177"/>
      <c r="B5" s="178"/>
      <c r="C5" s="178"/>
      <c r="D5" s="178"/>
      <c r="E5" s="179"/>
      <c r="F5" s="51"/>
      <c r="G5" s="44"/>
      <c r="H5" s="44"/>
      <c r="I5" s="44"/>
      <c r="J5" s="44"/>
      <c r="K5" s="29"/>
      <c r="L5" s="29"/>
      <c r="M5" s="29"/>
      <c r="N5" s="29"/>
      <c r="O5" s="29"/>
      <c r="P5" s="80"/>
    </row>
    <row r="6" spans="1:16">
      <c r="A6" s="10"/>
      <c r="B6" s="52"/>
      <c r="C6" s="52"/>
      <c r="D6" s="11"/>
      <c r="E6" s="53"/>
      <c r="F6" s="54"/>
      <c r="G6" s="11"/>
      <c r="H6" s="11"/>
      <c r="I6" s="11"/>
      <c r="J6" s="11"/>
      <c r="K6" s="89"/>
      <c r="L6" s="89"/>
      <c r="M6" s="89"/>
      <c r="N6" s="89"/>
      <c r="O6" s="89"/>
      <c r="P6" s="90"/>
    </row>
    <row r="7" spans="1:16">
      <c r="A7" s="16" t="s">
        <v>3</v>
      </c>
      <c r="B7" s="41"/>
      <c r="C7" s="41"/>
      <c r="D7" s="43"/>
      <c r="E7" s="55"/>
      <c r="F7" s="56" t="s">
        <v>4</v>
      </c>
      <c r="G7" s="42"/>
      <c r="H7" s="42"/>
      <c r="I7" s="42"/>
      <c r="J7" s="42"/>
      <c r="K7" s="91"/>
      <c r="L7" s="144"/>
      <c r="M7" s="144"/>
      <c r="N7" s="144"/>
      <c r="O7" s="144"/>
      <c r="P7" s="92"/>
    </row>
    <row r="8" spans="1:16">
      <c r="A8" s="21" t="s">
        <v>62</v>
      </c>
      <c r="B8" s="4"/>
      <c r="C8" s="4"/>
      <c r="D8" s="57"/>
      <c r="E8" s="58"/>
      <c r="F8" s="51"/>
      <c r="G8" s="44"/>
      <c r="H8" s="44"/>
      <c r="I8" s="44"/>
      <c r="J8" s="44"/>
      <c r="K8" s="144"/>
      <c r="L8" s="144"/>
      <c r="M8" s="144"/>
      <c r="N8" s="144"/>
      <c r="O8" s="144"/>
      <c r="P8" s="92"/>
    </row>
    <row r="9" spans="1:16">
      <c r="A9" s="180" t="s">
        <v>41</v>
      </c>
      <c r="B9" s="181"/>
      <c r="C9" s="181"/>
      <c r="D9" s="181"/>
      <c r="E9" s="182"/>
      <c r="F9" s="186"/>
      <c r="G9" s="187"/>
      <c r="H9" s="187"/>
      <c r="I9" s="187"/>
      <c r="J9" s="187"/>
      <c r="K9" s="145"/>
      <c r="L9" s="145"/>
      <c r="M9" s="145"/>
      <c r="N9" s="145"/>
      <c r="O9" s="145"/>
      <c r="P9" s="93"/>
    </row>
    <row r="10" spans="1:16">
      <c r="A10" s="180"/>
      <c r="B10" s="181"/>
      <c r="C10" s="181"/>
      <c r="D10" s="181"/>
      <c r="E10" s="182"/>
      <c r="F10" s="51"/>
      <c r="G10" s="44"/>
      <c r="H10" s="44"/>
      <c r="I10" s="44"/>
      <c r="J10" s="44"/>
      <c r="K10" s="145"/>
      <c r="L10" s="145"/>
      <c r="M10" s="145"/>
      <c r="N10" s="145"/>
      <c r="O10" s="145"/>
      <c r="P10" s="93"/>
    </row>
    <row r="11" spans="1:16">
      <c r="A11" s="16" t="s">
        <v>5</v>
      </c>
      <c r="B11" s="42"/>
      <c r="C11" s="42"/>
      <c r="D11" s="42"/>
      <c r="E11" s="59"/>
      <c r="F11" s="16" t="s">
        <v>6</v>
      </c>
      <c r="G11" s="43"/>
      <c r="H11" s="43"/>
      <c r="I11" s="43"/>
      <c r="J11" s="43"/>
      <c r="K11" s="42"/>
      <c r="L11" s="42"/>
      <c r="M11" s="42"/>
      <c r="N11" s="42"/>
      <c r="O11" s="42"/>
      <c r="P11" s="59"/>
    </row>
    <row r="12" spans="1:16">
      <c r="A12" s="21" t="s">
        <v>58</v>
      </c>
      <c r="B12" s="60"/>
      <c r="C12" s="60"/>
      <c r="D12" s="60"/>
      <c r="E12" s="45"/>
      <c r="F12" s="7" t="s">
        <v>42</v>
      </c>
      <c r="G12" s="61"/>
      <c r="H12" s="61"/>
      <c r="I12" s="61"/>
      <c r="J12" s="61"/>
      <c r="K12" s="29"/>
      <c r="L12" s="29"/>
      <c r="M12" s="29"/>
      <c r="N12" s="29"/>
      <c r="O12" s="29"/>
      <c r="P12" s="80"/>
    </row>
    <row r="13" spans="1:16">
      <c r="A13" s="14" t="s">
        <v>40</v>
      </c>
      <c r="B13" s="15"/>
      <c r="C13" s="15"/>
      <c r="D13" s="15"/>
      <c r="E13" s="53"/>
      <c r="F13" s="54"/>
      <c r="G13" s="11"/>
      <c r="H13" s="11"/>
      <c r="I13" s="11"/>
      <c r="J13" s="94"/>
      <c r="K13" s="29"/>
      <c r="L13" s="29"/>
      <c r="M13" s="29"/>
      <c r="N13" s="29"/>
      <c r="O13" s="29"/>
      <c r="P13" s="90"/>
    </row>
    <row r="14" spans="1:16">
      <c r="A14" s="56" t="s">
        <v>7</v>
      </c>
      <c r="B14" s="42"/>
      <c r="C14" s="42"/>
      <c r="D14" s="56" t="s">
        <v>8</v>
      </c>
      <c r="E14" s="59"/>
      <c r="F14" s="62" t="s">
        <v>9</v>
      </c>
      <c r="G14" s="5"/>
      <c r="H14" s="5"/>
      <c r="I14" s="5"/>
      <c r="J14" s="44"/>
      <c r="K14" s="88"/>
      <c r="L14" s="88"/>
      <c r="M14" s="88"/>
      <c r="N14" s="88"/>
      <c r="O14" s="88"/>
      <c r="P14" s="80"/>
    </row>
    <row r="15" spans="1:16">
      <c r="A15" s="188" t="s">
        <v>44</v>
      </c>
      <c r="B15" s="189"/>
      <c r="C15" s="117"/>
      <c r="D15" s="188" t="s">
        <v>44</v>
      </c>
      <c r="E15" s="189"/>
      <c r="F15" s="146" t="s">
        <v>43</v>
      </c>
      <c r="G15" s="44"/>
      <c r="H15" s="44"/>
      <c r="I15" s="44"/>
      <c r="J15" s="44"/>
      <c r="K15" s="29"/>
      <c r="L15" s="29"/>
      <c r="M15" s="29"/>
      <c r="N15" s="29"/>
      <c r="O15" s="29"/>
      <c r="P15" s="80"/>
    </row>
    <row r="16" spans="1:16">
      <c r="A16" s="26"/>
      <c r="B16" s="27"/>
      <c r="C16" s="27"/>
      <c r="D16" s="26"/>
      <c r="E16" s="63"/>
      <c r="F16" s="146" t="s">
        <v>59</v>
      </c>
      <c r="G16" s="29"/>
      <c r="H16" s="44"/>
      <c r="I16" s="44"/>
      <c r="J16" s="44"/>
      <c r="K16" s="29"/>
      <c r="L16" s="29"/>
      <c r="M16" s="29"/>
      <c r="N16" s="29"/>
      <c r="O16" s="29"/>
      <c r="P16" s="80"/>
    </row>
    <row r="17" spans="1:18">
      <c r="A17" s="56" t="s">
        <v>10</v>
      </c>
      <c r="B17" s="59"/>
      <c r="C17" s="44"/>
      <c r="D17" s="64" t="s">
        <v>11</v>
      </c>
      <c r="E17" s="37"/>
      <c r="F17" s="146" t="s">
        <v>60</v>
      </c>
      <c r="G17" s="29"/>
      <c r="H17" s="44"/>
      <c r="I17" s="44"/>
      <c r="J17" s="44"/>
      <c r="K17" s="29"/>
      <c r="L17" s="29"/>
      <c r="M17" s="29"/>
      <c r="N17" s="29"/>
      <c r="O17" s="29"/>
      <c r="P17" s="80"/>
    </row>
    <row r="18" spans="1:18">
      <c r="A18" s="64"/>
      <c r="B18" s="45"/>
      <c r="C18" s="44"/>
      <c r="D18" s="64"/>
      <c r="E18" s="37"/>
      <c r="F18" s="146" t="s">
        <v>61</v>
      </c>
      <c r="G18" s="29"/>
      <c r="H18" s="44"/>
      <c r="I18" s="44"/>
      <c r="J18" s="44"/>
      <c r="K18" s="29"/>
      <c r="L18" s="29"/>
      <c r="M18" s="29"/>
      <c r="N18" s="29"/>
      <c r="O18" s="29"/>
      <c r="P18" s="80"/>
    </row>
    <row r="19" spans="1:18">
      <c r="A19" s="115"/>
      <c r="B19" s="65"/>
      <c r="C19" s="102"/>
      <c r="D19" s="190"/>
      <c r="E19" s="191"/>
      <c r="F19" s="95" t="s">
        <v>53</v>
      </c>
      <c r="G19" s="66" t="s">
        <v>54</v>
      </c>
      <c r="H19" s="11"/>
      <c r="I19" s="11"/>
      <c r="J19" s="11"/>
      <c r="K19" s="27"/>
      <c r="L19" s="29"/>
      <c r="M19" s="29"/>
      <c r="N19" s="29"/>
      <c r="O19" s="29"/>
      <c r="P19" s="80"/>
    </row>
    <row r="20" spans="1:18" ht="26.4">
      <c r="A20" s="67" t="s">
        <v>12</v>
      </c>
      <c r="B20" s="116" t="s">
        <v>13</v>
      </c>
      <c r="C20" s="103" t="s">
        <v>73</v>
      </c>
      <c r="D20" s="116" t="s">
        <v>14</v>
      </c>
      <c r="E20" s="68" t="s">
        <v>15</v>
      </c>
      <c r="F20" s="116" t="s">
        <v>16</v>
      </c>
      <c r="G20" s="116" t="s">
        <v>17</v>
      </c>
      <c r="H20" s="116" t="s">
        <v>18</v>
      </c>
      <c r="I20" s="116" t="s">
        <v>19</v>
      </c>
      <c r="J20" s="116" t="s">
        <v>20</v>
      </c>
      <c r="K20" s="96" t="s">
        <v>21</v>
      </c>
      <c r="L20" s="96" t="s">
        <v>22</v>
      </c>
      <c r="M20" s="96" t="s">
        <v>55</v>
      </c>
      <c r="N20" s="96" t="s">
        <v>56</v>
      </c>
      <c r="O20" s="96" t="s">
        <v>57</v>
      </c>
      <c r="P20" s="97" t="s">
        <v>23</v>
      </c>
    </row>
    <row r="21" spans="1:18" s="104" customFormat="1" ht="18.600000000000001" customHeight="1">
      <c r="A21" s="153">
        <v>1</v>
      </c>
      <c r="B21" s="150" t="s">
        <v>63</v>
      </c>
      <c r="C21" s="151" t="s">
        <v>68</v>
      </c>
      <c r="D21" s="151">
        <v>2240903084</v>
      </c>
      <c r="E21" s="153" t="s">
        <v>85</v>
      </c>
      <c r="F21" s="151">
        <v>1200</v>
      </c>
      <c r="G21" s="154" t="s">
        <v>24</v>
      </c>
      <c r="H21" s="161">
        <v>0.45</v>
      </c>
      <c r="I21" s="155" t="s">
        <v>25</v>
      </c>
      <c r="J21" s="156">
        <f t="shared" ref="J21:J38" si="0">ROUND(F21*H21,2)</f>
        <v>540</v>
      </c>
      <c r="K21" s="153" t="s">
        <v>46</v>
      </c>
      <c r="L21" s="153" t="s">
        <v>45</v>
      </c>
      <c r="M21" s="153" t="s">
        <v>101</v>
      </c>
      <c r="N21" s="153" t="s">
        <v>102</v>
      </c>
      <c r="O21" s="153" t="s">
        <v>84</v>
      </c>
      <c r="P21" s="157">
        <f t="shared" ref="P21:P27" si="1">Q21*R21</f>
        <v>11.04</v>
      </c>
      <c r="Q21" s="113">
        <v>4</v>
      </c>
      <c r="R21" s="113">
        <v>2.76</v>
      </c>
    </row>
    <row r="22" spans="1:18" s="104" customFormat="1" ht="18.600000000000001" customHeight="1">
      <c r="A22" s="153">
        <v>2</v>
      </c>
      <c r="B22" s="150" t="s">
        <v>63</v>
      </c>
      <c r="C22" s="151" t="s">
        <v>68</v>
      </c>
      <c r="D22" s="151">
        <v>2241000424</v>
      </c>
      <c r="E22" s="153" t="s">
        <v>85</v>
      </c>
      <c r="F22" s="151">
        <v>3000</v>
      </c>
      <c r="G22" s="154" t="s">
        <v>24</v>
      </c>
      <c r="H22" s="161">
        <v>0.45</v>
      </c>
      <c r="I22" s="155" t="s">
        <v>25</v>
      </c>
      <c r="J22" s="156">
        <f t="shared" si="0"/>
        <v>1350</v>
      </c>
      <c r="K22" s="153" t="s">
        <v>46</v>
      </c>
      <c r="L22" s="153" t="s">
        <v>45</v>
      </c>
      <c r="M22" s="153" t="s">
        <v>101</v>
      </c>
      <c r="N22" s="153" t="s">
        <v>83</v>
      </c>
      <c r="O22" s="153" t="s">
        <v>84</v>
      </c>
      <c r="P22" s="157">
        <f t="shared" si="1"/>
        <v>27.599999999999998</v>
      </c>
      <c r="Q22" s="113">
        <v>10</v>
      </c>
      <c r="R22" s="113">
        <v>2.76</v>
      </c>
    </row>
    <row r="23" spans="1:18" s="104" customFormat="1" ht="18.600000000000001" customHeight="1">
      <c r="A23" s="153">
        <v>3</v>
      </c>
      <c r="B23" s="150" t="s">
        <v>63</v>
      </c>
      <c r="C23" s="151" t="s">
        <v>68</v>
      </c>
      <c r="D23" s="151">
        <v>2250100356</v>
      </c>
      <c r="E23" s="153" t="s">
        <v>100</v>
      </c>
      <c r="F23" s="151">
        <v>3000</v>
      </c>
      <c r="G23" s="154" t="s">
        <v>24</v>
      </c>
      <c r="H23" s="161">
        <v>0.45</v>
      </c>
      <c r="I23" s="155" t="s">
        <v>25</v>
      </c>
      <c r="J23" s="156">
        <f t="shared" si="0"/>
        <v>1350</v>
      </c>
      <c r="K23" s="153" t="s">
        <v>46</v>
      </c>
      <c r="L23" s="153" t="s">
        <v>45</v>
      </c>
      <c r="M23" s="153" t="s">
        <v>82</v>
      </c>
      <c r="N23" s="153" t="s">
        <v>102</v>
      </c>
      <c r="O23" s="153" t="s">
        <v>84</v>
      </c>
      <c r="P23" s="157">
        <f t="shared" si="1"/>
        <v>27.599999999999998</v>
      </c>
      <c r="Q23" s="113">
        <v>10</v>
      </c>
      <c r="R23" s="113">
        <v>2.76</v>
      </c>
    </row>
    <row r="24" spans="1:18" s="104" customFormat="1" ht="18.600000000000001" customHeight="1">
      <c r="A24" s="153">
        <v>4</v>
      </c>
      <c r="B24" s="150" t="s">
        <v>63</v>
      </c>
      <c r="C24" s="151" t="s">
        <v>78</v>
      </c>
      <c r="D24" s="151">
        <v>2250602826</v>
      </c>
      <c r="E24" s="153" t="s">
        <v>85</v>
      </c>
      <c r="F24" s="151">
        <v>3000</v>
      </c>
      <c r="G24" s="154" t="s">
        <v>24</v>
      </c>
      <c r="H24" s="161">
        <v>0.45</v>
      </c>
      <c r="I24" s="155" t="s">
        <v>25</v>
      </c>
      <c r="J24" s="156">
        <f t="shared" si="0"/>
        <v>1350</v>
      </c>
      <c r="K24" s="153" t="s">
        <v>46</v>
      </c>
      <c r="L24" s="153" t="s">
        <v>45</v>
      </c>
      <c r="M24" s="153" t="s">
        <v>101</v>
      </c>
      <c r="N24" s="153" t="s">
        <v>83</v>
      </c>
      <c r="O24" s="153" t="s">
        <v>84</v>
      </c>
      <c r="P24" s="157">
        <f t="shared" si="1"/>
        <v>27.599999999999998</v>
      </c>
      <c r="Q24" s="113">
        <v>10</v>
      </c>
      <c r="R24" s="113">
        <v>2.76</v>
      </c>
    </row>
    <row r="25" spans="1:18" s="104" customFormat="1" ht="18.600000000000001" customHeight="1">
      <c r="A25" s="153">
        <v>5</v>
      </c>
      <c r="B25" s="150" t="s">
        <v>90</v>
      </c>
      <c r="C25" s="151" t="s">
        <v>78</v>
      </c>
      <c r="D25" s="151">
        <v>2250700675</v>
      </c>
      <c r="E25" s="153" t="s">
        <v>85</v>
      </c>
      <c r="F25" s="151">
        <v>1500</v>
      </c>
      <c r="G25" s="154" t="s">
        <v>24</v>
      </c>
      <c r="H25" s="161">
        <v>0.45</v>
      </c>
      <c r="I25" s="155" t="s">
        <v>25</v>
      </c>
      <c r="J25" s="156">
        <f t="shared" si="0"/>
        <v>675</v>
      </c>
      <c r="K25" s="153" t="s">
        <v>46</v>
      </c>
      <c r="L25" s="153" t="s">
        <v>45</v>
      </c>
      <c r="M25" s="153" t="s">
        <v>82</v>
      </c>
      <c r="N25" s="153" t="s">
        <v>83</v>
      </c>
      <c r="O25" s="153" t="s">
        <v>84</v>
      </c>
      <c r="P25" s="157">
        <f t="shared" si="1"/>
        <v>13.799999999999999</v>
      </c>
      <c r="Q25" s="113">
        <v>5</v>
      </c>
      <c r="R25" s="113">
        <v>2.76</v>
      </c>
    </row>
    <row r="26" spans="1:18" s="104" customFormat="1" ht="18.600000000000001" customHeight="1">
      <c r="A26" s="153">
        <v>6</v>
      </c>
      <c r="B26" s="150" t="s">
        <v>91</v>
      </c>
      <c r="C26" s="151" t="s">
        <v>88</v>
      </c>
      <c r="D26" s="151">
        <v>2250400162</v>
      </c>
      <c r="E26" s="153" t="s">
        <v>85</v>
      </c>
      <c r="F26" s="151">
        <v>300</v>
      </c>
      <c r="G26" s="154" t="s">
        <v>24</v>
      </c>
      <c r="H26" s="152">
        <v>0.52500000000000002</v>
      </c>
      <c r="I26" s="155" t="s">
        <v>25</v>
      </c>
      <c r="J26" s="156">
        <f t="shared" si="0"/>
        <v>157.5</v>
      </c>
      <c r="K26" s="153" t="s">
        <v>46</v>
      </c>
      <c r="L26" s="153" t="s">
        <v>45</v>
      </c>
      <c r="M26" s="153" t="s">
        <v>82</v>
      </c>
      <c r="N26" s="153" t="s">
        <v>83</v>
      </c>
      <c r="O26" s="153" t="s">
        <v>84</v>
      </c>
      <c r="P26" s="157">
        <f t="shared" si="1"/>
        <v>2.73</v>
      </c>
      <c r="Q26" s="113">
        <v>1</v>
      </c>
      <c r="R26" s="113">
        <v>2.73</v>
      </c>
    </row>
    <row r="27" spans="1:18" s="104" customFormat="1" ht="18.600000000000001" customHeight="1">
      <c r="A27" s="153">
        <v>7</v>
      </c>
      <c r="B27" s="150" t="s">
        <v>92</v>
      </c>
      <c r="C27" s="151" t="s">
        <v>88</v>
      </c>
      <c r="D27" s="151">
        <v>2250703091</v>
      </c>
      <c r="E27" s="153" t="s">
        <v>85</v>
      </c>
      <c r="F27" s="151">
        <v>300</v>
      </c>
      <c r="G27" s="154" t="s">
        <v>24</v>
      </c>
      <c r="H27" s="152">
        <v>0.52500000000000002</v>
      </c>
      <c r="I27" s="155" t="s">
        <v>25</v>
      </c>
      <c r="J27" s="156">
        <f t="shared" si="0"/>
        <v>157.5</v>
      </c>
      <c r="K27" s="153" t="s">
        <v>46</v>
      </c>
      <c r="L27" s="153" t="s">
        <v>45</v>
      </c>
      <c r="M27" s="153" t="s">
        <v>82</v>
      </c>
      <c r="N27" s="153" t="s">
        <v>83</v>
      </c>
      <c r="O27" s="153" t="s">
        <v>84</v>
      </c>
      <c r="P27" s="157">
        <f t="shared" si="1"/>
        <v>2.73</v>
      </c>
      <c r="Q27" s="113">
        <v>1</v>
      </c>
      <c r="R27" s="113">
        <v>2.73</v>
      </c>
    </row>
    <row r="28" spans="1:18" s="104" customFormat="1" ht="19.2" customHeight="1">
      <c r="A28" s="153">
        <v>8</v>
      </c>
      <c r="B28" s="159" t="s">
        <v>93</v>
      </c>
      <c r="C28" s="159" t="s">
        <v>79</v>
      </c>
      <c r="D28" s="159">
        <v>2250400852</v>
      </c>
      <c r="E28" s="153" t="s">
        <v>85</v>
      </c>
      <c r="F28" s="159">
        <v>5400</v>
      </c>
      <c r="G28" s="154" t="s">
        <v>24</v>
      </c>
      <c r="H28" s="160">
        <v>0.375</v>
      </c>
      <c r="I28" s="155" t="s">
        <v>25</v>
      </c>
      <c r="J28" s="156">
        <f t="shared" si="0"/>
        <v>2025</v>
      </c>
      <c r="K28" s="153" t="s">
        <v>46</v>
      </c>
      <c r="L28" s="153" t="s">
        <v>45</v>
      </c>
      <c r="M28" s="153" t="s">
        <v>82</v>
      </c>
      <c r="N28" s="153" t="s">
        <v>83</v>
      </c>
      <c r="O28" s="153" t="s">
        <v>84</v>
      </c>
      <c r="P28" s="157">
        <f t="shared" ref="P28:P38" si="2">Q28*R28</f>
        <v>32.1</v>
      </c>
      <c r="Q28" s="113">
        <v>10</v>
      </c>
      <c r="R28" s="113">
        <v>3.21</v>
      </c>
    </row>
    <row r="29" spans="1:18" s="104" customFormat="1" ht="19.2" customHeight="1">
      <c r="A29" s="153">
        <v>9</v>
      </c>
      <c r="B29" s="151" t="s">
        <v>94</v>
      </c>
      <c r="C29" s="151" t="s">
        <v>80</v>
      </c>
      <c r="D29" s="151">
        <v>2250500220</v>
      </c>
      <c r="E29" s="153" t="s">
        <v>85</v>
      </c>
      <c r="F29" s="151">
        <v>3000</v>
      </c>
      <c r="G29" s="154" t="s">
        <v>24</v>
      </c>
      <c r="H29" s="151">
        <v>0.47</v>
      </c>
      <c r="I29" s="155" t="s">
        <v>25</v>
      </c>
      <c r="J29" s="156">
        <f t="shared" si="0"/>
        <v>1410</v>
      </c>
      <c r="K29" s="153" t="s">
        <v>46</v>
      </c>
      <c r="L29" s="153" t="s">
        <v>45</v>
      </c>
      <c r="M29" s="153" t="s">
        <v>82</v>
      </c>
      <c r="N29" s="153" t="s">
        <v>83</v>
      </c>
      <c r="O29" s="153" t="s">
        <v>84</v>
      </c>
      <c r="P29" s="157">
        <f t="shared" ref="P29" si="3">Q29*R29</f>
        <v>28.1</v>
      </c>
      <c r="Q29" s="113">
        <v>10</v>
      </c>
      <c r="R29" s="113">
        <v>2.81</v>
      </c>
    </row>
    <row r="30" spans="1:18" s="104" customFormat="1" ht="19.2" customHeight="1">
      <c r="A30" s="153">
        <v>10</v>
      </c>
      <c r="B30" s="151" t="s">
        <v>65</v>
      </c>
      <c r="C30" s="151" t="s">
        <v>80</v>
      </c>
      <c r="D30" s="151">
        <v>2250501386</v>
      </c>
      <c r="E30" s="153" t="s">
        <v>85</v>
      </c>
      <c r="F30" s="151">
        <v>5400</v>
      </c>
      <c r="G30" s="154" t="s">
        <v>24</v>
      </c>
      <c r="H30" s="151">
        <v>0.47</v>
      </c>
      <c r="I30" s="155" t="s">
        <v>25</v>
      </c>
      <c r="J30" s="156">
        <f t="shared" si="0"/>
        <v>2538</v>
      </c>
      <c r="K30" s="153" t="s">
        <v>46</v>
      </c>
      <c r="L30" s="153" t="s">
        <v>45</v>
      </c>
      <c r="M30" s="153" t="s">
        <v>82</v>
      </c>
      <c r="N30" s="153" t="s">
        <v>83</v>
      </c>
      <c r="O30" s="153" t="s">
        <v>84</v>
      </c>
      <c r="P30" s="157">
        <f t="shared" si="2"/>
        <v>50.58</v>
      </c>
      <c r="Q30" s="113">
        <v>18</v>
      </c>
      <c r="R30" s="113">
        <v>2.81</v>
      </c>
    </row>
    <row r="31" spans="1:18" s="104" customFormat="1" ht="19.2" customHeight="1">
      <c r="A31" s="153">
        <v>11</v>
      </c>
      <c r="B31" s="151" t="s">
        <v>66</v>
      </c>
      <c r="C31" s="151" t="s">
        <v>71</v>
      </c>
      <c r="D31" s="151">
        <v>2250701487</v>
      </c>
      <c r="E31" s="153" t="s">
        <v>85</v>
      </c>
      <c r="F31" s="151">
        <v>5700</v>
      </c>
      <c r="G31" s="154" t="s">
        <v>24</v>
      </c>
      <c r="H31" s="151">
        <v>0.45500000000000002</v>
      </c>
      <c r="I31" s="155" t="s">
        <v>25</v>
      </c>
      <c r="J31" s="156">
        <f t="shared" si="0"/>
        <v>2593.5</v>
      </c>
      <c r="K31" s="153" t="s">
        <v>46</v>
      </c>
      <c r="L31" s="153" t="s">
        <v>45</v>
      </c>
      <c r="M31" s="153" t="s">
        <v>82</v>
      </c>
      <c r="N31" s="153" t="s">
        <v>83</v>
      </c>
      <c r="O31" s="153" t="s">
        <v>84</v>
      </c>
      <c r="P31" s="157">
        <f t="shared" si="2"/>
        <v>76.665000000000006</v>
      </c>
      <c r="Q31" s="113">
        <v>19</v>
      </c>
      <c r="R31" s="113">
        <v>4.0350000000000001</v>
      </c>
    </row>
    <row r="32" spans="1:18" s="104" customFormat="1" ht="19.2" customHeight="1">
      <c r="A32" s="153">
        <v>12</v>
      </c>
      <c r="B32" s="151" t="s">
        <v>95</v>
      </c>
      <c r="C32" s="151" t="s">
        <v>81</v>
      </c>
      <c r="D32" s="151">
        <v>2250702111</v>
      </c>
      <c r="E32" s="153" t="s">
        <v>85</v>
      </c>
      <c r="F32" s="151">
        <v>4500</v>
      </c>
      <c r="G32" s="154" t="s">
        <v>24</v>
      </c>
      <c r="H32" s="164">
        <v>0.45500000000000002</v>
      </c>
      <c r="I32" s="155" t="s">
        <v>25</v>
      </c>
      <c r="J32" s="156">
        <f t="shared" si="0"/>
        <v>2047.5</v>
      </c>
      <c r="K32" s="153" t="s">
        <v>46</v>
      </c>
      <c r="L32" s="153" t="s">
        <v>45</v>
      </c>
      <c r="M32" s="153" t="s">
        <v>82</v>
      </c>
      <c r="N32" s="153" t="s">
        <v>83</v>
      </c>
      <c r="O32" s="153" t="s">
        <v>84</v>
      </c>
      <c r="P32" s="157">
        <f t="shared" si="2"/>
        <v>60.525000000000006</v>
      </c>
      <c r="Q32" s="113">
        <v>15</v>
      </c>
      <c r="R32" s="113">
        <v>4.0350000000000001</v>
      </c>
    </row>
    <row r="33" spans="1:18" s="104" customFormat="1" ht="19.2" customHeight="1">
      <c r="A33" s="153">
        <v>13</v>
      </c>
      <c r="B33" s="162" t="s">
        <v>77</v>
      </c>
      <c r="C33" s="162" t="s">
        <v>72</v>
      </c>
      <c r="D33" s="162">
        <v>2250303987</v>
      </c>
      <c r="E33" s="153" t="s">
        <v>85</v>
      </c>
      <c r="F33" s="163">
        <v>15000</v>
      </c>
      <c r="G33" s="154" t="s">
        <v>24</v>
      </c>
      <c r="H33" s="161">
        <v>0.18</v>
      </c>
      <c r="I33" s="155" t="s">
        <v>25</v>
      </c>
      <c r="J33" s="156">
        <f t="shared" si="0"/>
        <v>2700</v>
      </c>
      <c r="K33" s="153" t="s">
        <v>46</v>
      </c>
      <c r="L33" s="153" t="s">
        <v>45</v>
      </c>
      <c r="M33" s="153" t="s">
        <v>82</v>
      </c>
      <c r="N33" s="153" t="s">
        <v>83</v>
      </c>
      <c r="O33" s="153" t="s">
        <v>84</v>
      </c>
      <c r="P33" s="158">
        <v>23.13</v>
      </c>
      <c r="Q33" s="113">
        <v>12</v>
      </c>
      <c r="R33" s="113">
        <v>1.85</v>
      </c>
    </row>
    <row r="34" spans="1:18" s="104" customFormat="1" ht="19.2" customHeight="1">
      <c r="A34" s="153">
        <v>14</v>
      </c>
      <c r="B34" s="162" t="s">
        <v>96</v>
      </c>
      <c r="C34" s="162" t="s">
        <v>72</v>
      </c>
      <c r="D34" s="162">
        <v>2250400162</v>
      </c>
      <c r="E34" s="153" t="s">
        <v>85</v>
      </c>
      <c r="F34" s="163">
        <v>600</v>
      </c>
      <c r="G34" s="154" t="s">
        <v>24</v>
      </c>
      <c r="H34" s="161">
        <v>0.18</v>
      </c>
      <c r="I34" s="155" t="s">
        <v>25</v>
      </c>
      <c r="J34" s="156">
        <f t="shared" si="0"/>
        <v>108</v>
      </c>
      <c r="K34" s="153" t="s">
        <v>46</v>
      </c>
      <c r="L34" s="153" t="s">
        <v>45</v>
      </c>
      <c r="M34" s="153" t="s">
        <v>82</v>
      </c>
      <c r="N34" s="153" t="s">
        <v>83</v>
      </c>
      <c r="O34" s="153" t="s">
        <v>84</v>
      </c>
      <c r="P34" s="158">
        <v>0.92</v>
      </c>
      <c r="Q34" s="113">
        <v>1</v>
      </c>
      <c r="R34" s="113">
        <v>1.85</v>
      </c>
    </row>
    <row r="35" spans="1:18" s="104" customFormat="1" ht="19.2" customHeight="1">
      <c r="A35" s="153">
        <v>15</v>
      </c>
      <c r="B35" s="159" t="s">
        <v>97</v>
      </c>
      <c r="C35" s="162" t="s">
        <v>89</v>
      </c>
      <c r="D35" s="159">
        <v>2241102232</v>
      </c>
      <c r="E35" s="153" t="s">
        <v>85</v>
      </c>
      <c r="F35" s="159">
        <v>10800</v>
      </c>
      <c r="G35" s="154" t="s">
        <v>24</v>
      </c>
      <c r="H35" s="159">
        <v>0.45</v>
      </c>
      <c r="I35" s="155" t="s">
        <v>25</v>
      </c>
      <c r="J35" s="156">
        <f t="shared" si="0"/>
        <v>4860</v>
      </c>
      <c r="K35" s="153" t="s">
        <v>46</v>
      </c>
      <c r="L35" s="153" t="s">
        <v>45</v>
      </c>
      <c r="M35" s="153" t="s">
        <v>82</v>
      </c>
      <c r="N35" s="153" t="s">
        <v>83</v>
      </c>
      <c r="O35" s="153" t="s">
        <v>84</v>
      </c>
      <c r="P35" s="157">
        <f t="shared" si="2"/>
        <v>65.199999999999989</v>
      </c>
      <c r="Q35" s="113">
        <v>20</v>
      </c>
      <c r="R35" s="113">
        <v>3.26</v>
      </c>
    </row>
    <row r="36" spans="1:18" s="104" customFormat="1" ht="19.2" customHeight="1">
      <c r="A36" s="153">
        <v>16</v>
      </c>
      <c r="B36" s="159" t="s">
        <v>98</v>
      </c>
      <c r="C36" s="162" t="s">
        <v>89</v>
      </c>
      <c r="D36" s="159">
        <v>2241203769</v>
      </c>
      <c r="E36" s="153" t="s">
        <v>85</v>
      </c>
      <c r="F36" s="159">
        <v>2160</v>
      </c>
      <c r="G36" s="154" t="s">
        <v>24</v>
      </c>
      <c r="H36" s="159">
        <v>0.45</v>
      </c>
      <c r="I36" s="155" t="s">
        <v>25</v>
      </c>
      <c r="J36" s="156">
        <f t="shared" si="0"/>
        <v>972</v>
      </c>
      <c r="K36" s="153" t="s">
        <v>46</v>
      </c>
      <c r="L36" s="153" t="s">
        <v>45</v>
      </c>
      <c r="M36" s="153" t="s">
        <v>82</v>
      </c>
      <c r="N36" s="153" t="s">
        <v>83</v>
      </c>
      <c r="O36" s="153" t="s">
        <v>84</v>
      </c>
      <c r="P36" s="157">
        <f t="shared" si="2"/>
        <v>13.04</v>
      </c>
      <c r="Q36" s="113">
        <v>4</v>
      </c>
      <c r="R36" s="113">
        <v>3.26</v>
      </c>
    </row>
    <row r="37" spans="1:18" s="104" customFormat="1" ht="19.2" customHeight="1">
      <c r="A37" s="153">
        <v>17</v>
      </c>
      <c r="B37" s="159" t="s">
        <v>98</v>
      </c>
      <c r="C37" s="162" t="s">
        <v>89</v>
      </c>
      <c r="D37" s="159">
        <v>2250303987</v>
      </c>
      <c r="E37" s="153" t="s">
        <v>85</v>
      </c>
      <c r="F37" s="159">
        <v>3780</v>
      </c>
      <c r="G37" s="154" t="s">
        <v>24</v>
      </c>
      <c r="H37" s="159">
        <v>0.45</v>
      </c>
      <c r="I37" s="155" t="s">
        <v>25</v>
      </c>
      <c r="J37" s="156">
        <f t="shared" si="0"/>
        <v>1701</v>
      </c>
      <c r="K37" s="153" t="s">
        <v>46</v>
      </c>
      <c r="L37" s="153" t="s">
        <v>45</v>
      </c>
      <c r="M37" s="153" t="s">
        <v>82</v>
      </c>
      <c r="N37" s="153" t="s">
        <v>83</v>
      </c>
      <c r="O37" s="153" t="s">
        <v>84</v>
      </c>
      <c r="P37" s="157">
        <f t="shared" si="2"/>
        <v>22.82</v>
      </c>
      <c r="Q37" s="113">
        <v>7</v>
      </c>
      <c r="R37" s="113">
        <v>3.26</v>
      </c>
    </row>
    <row r="38" spans="1:18" s="104" customFormat="1" ht="19.2" customHeight="1">
      <c r="A38" s="153">
        <v>18</v>
      </c>
      <c r="B38" s="159" t="s">
        <v>99</v>
      </c>
      <c r="C38" s="162" t="s">
        <v>89</v>
      </c>
      <c r="D38" s="159">
        <v>2250400852</v>
      </c>
      <c r="E38" s="153" t="s">
        <v>85</v>
      </c>
      <c r="F38" s="159">
        <v>2160</v>
      </c>
      <c r="G38" s="154" t="s">
        <v>24</v>
      </c>
      <c r="H38" s="159">
        <v>0.45</v>
      </c>
      <c r="I38" s="155" t="s">
        <v>25</v>
      </c>
      <c r="J38" s="156">
        <f t="shared" si="0"/>
        <v>972</v>
      </c>
      <c r="K38" s="153" t="s">
        <v>46</v>
      </c>
      <c r="L38" s="153" t="s">
        <v>45</v>
      </c>
      <c r="M38" s="153" t="s">
        <v>82</v>
      </c>
      <c r="N38" s="153" t="s">
        <v>83</v>
      </c>
      <c r="O38" s="153" t="s">
        <v>84</v>
      </c>
      <c r="P38" s="157">
        <f t="shared" si="2"/>
        <v>13.04</v>
      </c>
      <c r="Q38" s="113">
        <v>4</v>
      </c>
      <c r="R38" s="113">
        <v>3.26</v>
      </c>
    </row>
    <row r="39" spans="1:18" s="104" customFormat="1" ht="19.2" customHeight="1">
      <c r="A39" s="153"/>
      <c r="B39" s="162"/>
      <c r="C39" s="162"/>
      <c r="D39" s="162"/>
      <c r="E39" s="153"/>
      <c r="F39" s="163"/>
      <c r="G39" s="154"/>
      <c r="H39" s="161"/>
      <c r="I39" s="155"/>
      <c r="J39" s="156"/>
      <c r="K39" s="153"/>
      <c r="L39" s="153"/>
      <c r="M39" s="153"/>
      <c r="N39" s="153"/>
      <c r="O39" s="153"/>
      <c r="P39" s="158"/>
      <c r="Q39" s="113"/>
      <c r="R39" s="113"/>
    </row>
    <row r="40" spans="1:18">
      <c r="A40" s="98"/>
      <c r="B40" s="147"/>
      <c r="C40" s="147"/>
      <c r="D40" s="147"/>
      <c r="E40" s="147"/>
      <c r="F40" s="147"/>
      <c r="G40" s="147"/>
      <c r="H40" s="147"/>
      <c r="I40" s="147"/>
      <c r="J40" s="147"/>
      <c r="K40" s="99"/>
      <c r="L40" s="99"/>
      <c r="M40" s="99"/>
      <c r="N40" s="99"/>
      <c r="O40" s="99"/>
      <c r="P40" s="100"/>
    </row>
    <row r="41" spans="1:18">
      <c r="A41" s="69"/>
      <c r="B41" s="70"/>
      <c r="C41" s="70"/>
      <c r="D41" s="176" t="s">
        <v>26</v>
      </c>
      <c r="E41" s="176"/>
      <c r="F41" s="71">
        <f>SUM(F21:F40)</f>
        <v>70800</v>
      </c>
      <c r="G41" s="72"/>
      <c r="H41" s="73"/>
      <c r="I41" s="73"/>
      <c r="J41" s="74">
        <f>SUM(J21:J40)</f>
        <v>27507</v>
      </c>
      <c r="K41" s="101"/>
      <c r="L41" s="101"/>
      <c r="M41" s="101"/>
      <c r="N41" s="101"/>
      <c r="O41" s="101"/>
      <c r="P41" s="148">
        <f>SUM(P21:P40)</f>
        <v>499.22000000000008</v>
      </c>
    </row>
  </sheetData>
  <mergeCells count="8">
    <mergeCell ref="D41:E41"/>
    <mergeCell ref="A4:E5"/>
    <mergeCell ref="A9:E10"/>
    <mergeCell ref="A1:P1"/>
    <mergeCell ref="F9:J9"/>
    <mergeCell ref="A15:B15"/>
    <mergeCell ref="D15:E15"/>
    <mergeCell ref="D19:E19"/>
  </mergeCells>
  <phoneticPr fontId="9" type="noConversion"/>
  <pageMargins left="0.25" right="0.25" top="0.75" bottom="0.75" header="0.3" footer="0.3"/>
  <pageSetup paperSize="9" scale="5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M39"/>
  <sheetViews>
    <sheetView workbookViewId="0">
      <selection activeCell="I15" sqref="I15"/>
    </sheetView>
  </sheetViews>
  <sheetFormatPr defaultColWidth="9" defaultRowHeight="13.2"/>
  <cols>
    <col min="1" max="2" width="9" style="76"/>
    <col min="3" max="3" width="21.75" style="76" customWidth="1"/>
    <col min="4" max="4" width="21.75" style="76" bestFit="1" customWidth="1"/>
    <col min="5" max="5" width="21" style="76" customWidth="1"/>
    <col min="6" max="6" width="13.625" style="76" customWidth="1"/>
    <col min="7" max="7" width="9" style="76"/>
    <col min="8" max="8" width="13.25" style="76" customWidth="1"/>
    <col min="9" max="9" width="14" style="76" customWidth="1"/>
    <col min="10" max="10" width="18.25" style="76" customWidth="1"/>
    <col min="11" max="16384" width="9" style="76"/>
  </cols>
  <sheetData>
    <row r="1" spans="1:10" ht="22.8">
      <c r="A1" s="212" t="s">
        <v>27</v>
      </c>
      <c r="B1" s="213"/>
      <c r="C1" s="213"/>
      <c r="D1" s="213"/>
      <c r="E1" s="213"/>
      <c r="F1" s="213"/>
      <c r="G1" s="213"/>
      <c r="H1" s="213"/>
      <c r="I1" s="213"/>
      <c r="J1" s="214"/>
    </row>
    <row r="2" spans="1:10">
      <c r="A2" s="75"/>
      <c r="J2" s="77"/>
    </row>
    <row r="3" spans="1:10">
      <c r="A3" s="1" t="s">
        <v>1</v>
      </c>
      <c r="B3" s="2"/>
      <c r="C3" s="3"/>
      <c r="D3" s="3"/>
      <c r="E3" s="78"/>
      <c r="F3" s="2" t="s">
        <v>28</v>
      </c>
      <c r="G3" s="3"/>
      <c r="H3" s="3"/>
      <c r="I3" s="3"/>
      <c r="J3" s="79"/>
    </row>
    <row r="4" spans="1:10">
      <c r="A4" s="7" t="str">
        <f>INVOICE!A3</f>
        <v>LinkCom Manufacturing Co., Ltd</v>
      </c>
      <c r="B4" s="4"/>
      <c r="C4" s="5"/>
      <c r="D4" s="5"/>
      <c r="E4" s="6"/>
      <c r="F4" s="7" t="str">
        <f>INVOICE!F3</f>
        <v>L026-SM-250803</v>
      </c>
      <c r="G4" s="5"/>
      <c r="H4" s="5"/>
      <c r="I4" s="5"/>
      <c r="J4" s="80"/>
    </row>
    <row r="5" spans="1:10">
      <c r="A5" s="217" t="str">
        <f>INVOICE!A4</f>
        <v>5F., No.127, Ln.235, Baoqiao Rd., Xindian Dist., New Taipei City 231-45, Taiwan, China</v>
      </c>
      <c r="B5" s="218"/>
      <c r="C5" s="218"/>
      <c r="D5" s="218"/>
      <c r="E5" s="219"/>
      <c r="F5" s="8" t="str">
        <f>INVOICE!F4</f>
        <v>2025//08/15</v>
      </c>
      <c r="G5" s="5"/>
      <c r="H5" s="5"/>
      <c r="I5" s="5"/>
      <c r="J5" s="80"/>
    </row>
    <row r="6" spans="1:10">
      <c r="A6" s="217"/>
      <c r="B6" s="218"/>
      <c r="C6" s="218"/>
      <c r="D6" s="218"/>
      <c r="E6" s="219"/>
      <c r="F6" s="9"/>
      <c r="G6" s="5"/>
      <c r="H6" s="5"/>
      <c r="I6" s="5"/>
      <c r="J6" s="80"/>
    </row>
    <row r="7" spans="1:10">
      <c r="A7" s="10"/>
      <c r="B7" s="11"/>
      <c r="C7" s="12"/>
      <c r="D7" s="12"/>
      <c r="E7" s="13"/>
      <c r="F7" s="14"/>
      <c r="G7" s="15"/>
      <c r="H7" s="15"/>
      <c r="I7" s="15"/>
      <c r="J7" s="28"/>
    </row>
    <row r="8" spans="1:10">
      <c r="A8" s="16" t="s">
        <v>3</v>
      </c>
      <c r="B8" s="2"/>
      <c r="C8" s="17"/>
      <c r="D8" s="17"/>
      <c r="E8" s="18"/>
      <c r="F8" s="19" t="s">
        <v>29</v>
      </c>
      <c r="G8" s="20"/>
      <c r="H8" s="20"/>
      <c r="I8" s="20"/>
      <c r="J8" s="80"/>
    </row>
    <row r="9" spans="1:10">
      <c r="A9" s="21" t="str">
        <f>INVOICE!A8</f>
        <v>中磊电子(苏州)有限公司</v>
      </c>
      <c r="B9" s="4"/>
      <c r="C9" s="22"/>
      <c r="D9" s="22"/>
      <c r="E9" s="23"/>
      <c r="F9" s="24"/>
      <c r="G9" s="25"/>
      <c r="H9" s="25"/>
      <c r="I9" s="25"/>
      <c r="J9" s="80"/>
    </row>
    <row r="10" spans="1:10">
      <c r="A10" s="220" t="str">
        <f>INVOICE!A9</f>
        <v>中国江苏省苏州工业区唐庄路8号</v>
      </c>
      <c r="B10" s="221"/>
      <c r="C10" s="221"/>
      <c r="D10" s="221"/>
      <c r="E10" s="222"/>
      <c r="F10" s="24"/>
      <c r="G10" s="20"/>
      <c r="H10" s="5"/>
      <c r="I10" s="25"/>
      <c r="J10" s="80"/>
    </row>
    <row r="11" spans="1:10">
      <c r="A11" s="220"/>
      <c r="B11" s="221"/>
      <c r="C11" s="221"/>
      <c r="D11" s="221"/>
      <c r="E11" s="222"/>
      <c r="F11" s="24"/>
      <c r="G11" s="20"/>
      <c r="H11" s="5"/>
      <c r="I11" s="25"/>
      <c r="J11" s="80"/>
    </row>
    <row r="12" spans="1:10">
      <c r="A12" s="26"/>
      <c r="B12" s="27"/>
      <c r="C12" s="15"/>
      <c r="D12" s="15"/>
      <c r="E12" s="28"/>
      <c r="F12" s="5"/>
      <c r="G12" s="20"/>
      <c r="H12" s="20"/>
      <c r="I12" s="20"/>
      <c r="J12" s="80"/>
    </row>
    <row r="13" spans="1:10">
      <c r="A13" s="16" t="s">
        <v>5</v>
      </c>
      <c r="B13" s="24"/>
      <c r="C13" s="20"/>
      <c r="D13" s="20"/>
      <c r="E13" s="6"/>
      <c r="F13" s="5"/>
      <c r="G13" s="29"/>
      <c r="H13" s="5"/>
      <c r="I13" s="20"/>
      <c r="J13" s="80"/>
    </row>
    <row r="14" spans="1:10">
      <c r="A14" s="21" t="str">
        <f>INVOICE!A12</f>
        <v>中磊电子(苏州)有限公司</v>
      </c>
      <c r="B14" s="30"/>
      <c r="C14" s="30"/>
      <c r="D14" s="30"/>
      <c r="E14" s="6"/>
      <c r="F14" s="5"/>
      <c r="G14" s="29"/>
      <c r="H14" s="5"/>
      <c r="I14" s="20"/>
      <c r="J14" s="80"/>
    </row>
    <row r="15" spans="1:10">
      <c r="A15" s="31" t="str">
        <f>INVOICE!A13</f>
        <v>中国江苏省苏州工业区唐庄路8号</v>
      </c>
      <c r="B15" s="30"/>
      <c r="C15" s="5"/>
      <c r="D15" s="5"/>
      <c r="E15" s="32"/>
      <c r="F15" s="20"/>
      <c r="G15" s="20"/>
      <c r="H15" s="20"/>
      <c r="I15" s="20"/>
      <c r="J15" s="80"/>
    </row>
    <row r="16" spans="1:10">
      <c r="A16" s="14"/>
      <c r="B16" s="15"/>
      <c r="C16" s="15"/>
      <c r="D16" s="15"/>
      <c r="E16" s="28"/>
      <c r="F16" s="215"/>
      <c r="G16" s="215"/>
      <c r="H16" s="33"/>
      <c r="I16" s="40"/>
      <c r="J16" s="80"/>
    </row>
    <row r="17" spans="1:13">
      <c r="A17" s="34" t="s">
        <v>30</v>
      </c>
      <c r="B17" s="19"/>
      <c r="C17" s="78"/>
      <c r="D17" s="19" t="s">
        <v>31</v>
      </c>
      <c r="E17" s="81"/>
      <c r="F17" s="215"/>
      <c r="G17" s="215"/>
      <c r="H17" s="35"/>
      <c r="I17" s="20"/>
      <c r="J17" s="80"/>
    </row>
    <row r="18" spans="1:13">
      <c r="A18" s="205" t="str">
        <f>INVOICE!A15</f>
        <v>CHINA</v>
      </c>
      <c r="B18" s="216"/>
      <c r="C18" s="207"/>
      <c r="D18" s="205" t="str">
        <f>INVOICE!D15</f>
        <v>CHINA</v>
      </c>
      <c r="E18" s="207"/>
      <c r="F18" s="215"/>
      <c r="G18" s="215"/>
      <c r="H18" s="35"/>
      <c r="I18" s="20"/>
      <c r="J18" s="80"/>
    </row>
    <row r="19" spans="1:13">
      <c r="A19" s="34" t="s">
        <v>10</v>
      </c>
      <c r="B19" s="36"/>
      <c r="C19" s="82"/>
      <c r="D19" s="19" t="s">
        <v>11</v>
      </c>
      <c r="E19" s="37"/>
      <c r="F19" s="5"/>
      <c r="G19" s="20"/>
      <c r="H19" s="20"/>
      <c r="I19" s="20"/>
      <c r="J19" s="80"/>
    </row>
    <row r="20" spans="1:13">
      <c r="A20" s="205"/>
      <c r="B20" s="206"/>
      <c r="C20" s="207"/>
      <c r="D20" s="190"/>
      <c r="E20" s="191"/>
      <c r="F20" s="15"/>
      <c r="G20" s="15"/>
      <c r="H20" s="15"/>
      <c r="I20" s="15"/>
      <c r="J20" s="80"/>
    </row>
    <row r="21" spans="1:13">
      <c r="A21" s="208" t="s">
        <v>47</v>
      </c>
      <c r="B21" s="210" t="s">
        <v>32</v>
      </c>
      <c r="C21" s="211" t="s">
        <v>13</v>
      </c>
      <c r="D21" s="210" t="s">
        <v>74</v>
      </c>
      <c r="E21" s="210" t="s">
        <v>15</v>
      </c>
      <c r="F21" s="194" t="s">
        <v>16</v>
      </c>
      <c r="G21" s="194" t="s">
        <v>17</v>
      </c>
      <c r="H21" s="38" t="s">
        <v>33</v>
      </c>
      <c r="I21" s="38" t="s">
        <v>34</v>
      </c>
      <c r="J21" s="195" t="s">
        <v>35</v>
      </c>
    </row>
    <row r="22" spans="1:13">
      <c r="A22" s="209"/>
      <c r="B22" s="211"/>
      <c r="C22" s="211"/>
      <c r="D22" s="211"/>
      <c r="E22" s="211"/>
      <c r="F22" s="194"/>
      <c r="G22" s="194"/>
      <c r="H22" s="38" t="s">
        <v>36</v>
      </c>
      <c r="I22" s="38" t="s">
        <v>36</v>
      </c>
      <c r="J22" s="196"/>
    </row>
    <row r="23" spans="1:13" ht="17.399999999999999" customHeight="1">
      <c r="A23" s="174" t="s">
        <v>103</v>
      </c>
      <c r="B23" s="123">
        <v>30</v>
      </c>
      <c r="C23" s="172" t="s">
        <v>63</v>
      </c>
      <c r="D23" s="122" t="s">
        <v>68</v>
      </c>
      <c r="E23" s="123" t="s">
        <v>76</v>
      </c>
      <c r="F23" s="122">
        <v>9000</v>
      </c>
      <c r="G23" s="129" t="s">
        <v>24</v>
      </c>
      <c r="H23" s="130">
        <f t="shared" ref="H23" si="0">B23*K23</f>
        <v>82.8</v>
      </c>
      <c r="I23" s="130">
        <f t="shared" ref="I23" si="1">B23*L23</f>
        <v>127.8</v>
      </c>
      <c r="J23" s="131" t="s">
        <v>75</v>
      </c>
      <c r="K23" s="114">
        <v>2.76</v>
      </c>
      <c r="L23" s="114">
        <v>4.26</v>
      </c>
      <c r="M23" s="175">
        <v>0.85</v>
      </c>
    </row>
    <row r="24" spans="1:13" ht="17.399999999999999" customHeight="1">
      <c r="A24" s="197" t="s">
        <v>104</v>
      </c>
      <c r="B24" s="110">
        <v>9</v>
      </c>
      <c r="C24" s="149" t="s">
        <v>63</v>
      </c>
      <c r="D24" s="112" t="s">
        <v>68</v>
      </c>
      <c r="E24" s="110" t="s">
        <v>76</v>
      </c>
      <c r="F24" s="112">
        <v>2700</v>
      </c>
      <c r="G24" s="126" t="s">
        <v>24</v>
      </c>
      <c r="H24" s="111">
        <f t="shared" ref="H24:H28" si="2">B24*K24</f>
        <v>24.839999999999996</v>
      </c>
      <c r="I24" s="111">
        <f t="shared" ref="I24:I28" si="3">B24*L24</f>
        <v>38.339999999999996</v>
      </c>
      <c r="J24" s="202" t="s">
        <v>109</v>
      </c>
      <c r="K24" s="114">
        <v>2.76</v>
      </c>
      <c r="L24" s="114">
        <v>4.26</v>
      </c>
      <c r="M24" s="192">
        <v>1</v>
      </c>
    </row>
    <row r="25" spans="1:13" ht="17.399999999999999" customHeight="1">
      <c r="A25" s="198"/>
      <c r="B25" s="110">
        <v>9</v>
      </c>
      <c r="C25" s="105" t="s">
        <v>64</v>
      </c>
      <c r="D25" s="105" t="s">
        <v>69</v>
      </c>
      <c r="E25" s="110" t="s">
        <v>76</v>
      </c>
      <c r="F25" s="105">
        <v>4860</v>
      </c>
      <c r="G25" s="126" t="s">
        <v>24</v>
      </c>
      <c r="H25" s="111">
        <f t="shared" si="2"/>
        <v>28.89</v>
      </c>
      <c r="I25" s="111">
        <f t="shared" si="3"/>
        <v>44.1</v>
      </c>
      <c r="J25" s="203"/>
      <c r="K25" s="114">
        <v>3.21</v>
      </c>
      <c r="L25" s="114">
        <v>4.9000000000000004</v>
      </c>
      <c r="M25" s="192"/>
    </row>
    <row r="26" spans="1:13" ht="17.399999999999999" customHeight="1">
      <c r="A26" s="198"/>
      <c r="B26" s="110">
        <v>1</v>
      </c>
      <c r="C26" s="105" t="s">
        <v>64</v>
      </c>
      <c r="D26" s="105" t="s">
        <v>69</v>
      </c>
      <c r="E26" s="110" t="s">
        <v>76</v>
      </c>
      <c r="F26" s="105">
        <v>360</v>
      </c>
      <c r="G26" s="126" t="s">
        <v>24</v>
      </c>
      <c r="H26" s="132">
        <v>2.14</v>
      </c>
      <c r="I26" s="132">
        <v>3.9</v>
      </c>
      <c r="J26" s="203"/>
      <c r="K26" s="114">
        <v>3.21</v>
      </c>
      <c r="L26" s="114">
        <v>4.9000000000000004</v>
      </c>
      <c r="M26" s="192"/>
    </row>
    <row r="27" spans="1:13" ht="17.399999999999999" customHeight="1">
      <c r="A27" s="198"/>
      <c r="B27" s="110">
        <v>1</v>
      </c>
      <c r="C27" s="105" t="s">
        <v>64</v>
      </c>
      <c r="D27" s="105" t="s">
        <v>69</v>
      </c>
      <c r="E27" s="110" t="s">
        <v>76</v>
      </c>
      <c r="F27" s="105">
        <v>180</v>
      </c>
      <c r="G27" s="126" t="s">
        <v>24</v>
      </c>
      <c r="H27" s="132">
        <v>1.07</v>
      </c>
      <c r="I27" s="132">
        <v>2.7</v>
      </c>
      <c r="J27" s="203"/>
      <c r="K27" s="114">
        <v>3.21</v>
      </c>
      <c r="L27" s="114">
        <v>4.9000000000000004</v>
      </c>
      <c r="M27" s="192"/>
    </row>
    <row r="28" spans="1:13" ht="17.399999999999999" customHeight="1">
      <c r="A28" s="199"/>
      <c r="B28" s="119">
        <v>13</v>
      </c>
      <c r="C28" s="120" t="s">
        <v>67</v>
      </c>
      <c r="D28" s="120" t="s">
        <v>72</v>
      </c>
      <c r="E28" s="119" t="s">
        <v>76</v>
      </c>
      <c r="F28" s="121">
        <v>15600</v>
      </c>
      <c r="G28" s="126" t="s">
        <v>24</v>
      </c>
      <c r="H28" s="128">
        <f t="shared" si="2"/>
        <v>24.05</v>
      </c>
      <c r="I28" s="128">
        <f t="shared" si="3"/>
        <v>49.4</v>
      </c>
      <c r="J28" s="204"/>
      <c r="K28" s="114">
        <v>1.85</v>
      </c>
      <c r="L28" s="114">
        <v>3.8</v>
      </c>
      <c r="M28" s="192"/>
    </row>
    <row r="29" spans="1:13" ht="17.399999999999999" customHeight="1">
      <c r="A29" s="200" t="s">
        <v>105</v>
      </c>
      <c r="B29" s="106">
        <v>2</v>
      </c>
      <c r="C29" s="107" t="s">
        <v>91</v>
      </c>
      <c r="D29" s="108" t="s">
        <v>88</v>
      </c>
      <c r="E29" s="110" t="s">
        <v>76</v>
      </c>
      <c r="F29" s="173">
        <v>600</v>
      </c>
      <c r="G29" s="125" t="s">
        <v>24</v>
      </c>
      <c r="H29" s="109">
        <f t="shared" ref="H29" si="4">B29*K29</f>
        <v>5.46</v>
      </c>
      <c r="I29" s="109">
        <f t="shared" ref="I29" si="5">B29*L29</f>
        <v>8.1999999999999993</v>
      </c>
      <c r="J29" s="202" t="s">
        <v>108</v>
      </c>
      <c r="K29" s="114">
        <v>2.73</v>
      </c>
      <c r="L29" s="114">
        <v>4.0999999999999996</v>
      </c>
      <c r="M29" s="193">
        <v>0.85</v>
      </c>
    </row>
    <row r="30" spans="1:13" ht="17.399999999999999" customHeight="1">
      <c r="A30" s="201"/>
      <c r="B30" s="119">
        <v>28</v>
      </c>
      <c r="C30" s="118" t="s">
        <v>65</v>
      </c>
      <c r="D30" s="118" t="s">
        <v>70</v>
      </c>
      <c r="E30" s="110" t="s">
        <v>76</v>
      </c>
      <c r="F30" s="118">
        <v>8400</v>
      </c>
      <c r="G30" s="127" t="s">
        <v>24</v>
      </c>
      <c r="H30" s="128">
        <f t="shared" ref="H30" si="6">B30*K30</f>
        <v>78.680000000000007</v>
      </c>
      <c r="I30" s="128">
        <f t="shared" ref="I30" si="7">B30*L30</f>
        <v>117.60000000000001</v>
      </c>
      <c r="J30" s="204"/>
      <c r="K30" s="114">
        <v>2.81</v>
      </c>
      <c r="L30" s="114">
        <v>4.2</v>
      </c>
      <c r="M30" s="193"/>
    </row>
    <row r="31" spans="1:13" ht="17.399999999999999" customHeight="1">
      <c r="A31" s="168" t="s">
        <v>106</v>
      </c>
      <c r="B31" s="123">
        <v>34</v>
      </c>
      <c r="C31" s="122" t="s">
        <v>66</v>
      </c>
      <c r="D31" s="122" t="s">
        <v>71</v>
      </c>
      <c r="E31" s="123" t="s">
        <v>76</v>
      </c>
      <c r="F31" s="122">
        <v>10200</v>
      </c>
      <c r="G31" s="129" t="s">
        <v>24</v>
      </c>
      <c r="H31" s="130">
        <f>B31*K31</f>
        <v>137.19</v>
      </c>
      <c r="I31" s="130">
        <f t="shared" ref="I31:I32" si="8">B31*L31</f>
        <v>184.62</v>
      </c>
      <c r="J31" s="131" t="s">
        <v>110</v>
      </c>
      <c r="K31" s="114">
        <v>4.0350000000000001</v>
      </c>
      <c r="L31" s="114">
        <v>5.43</v>
      </c>
      <c r="M31" s="175">
        <v>1</v>
      </c>
    </row>
    <row r="32" spans="1:13" ht="17.399999999999999" customHeight="1">
      <c r="A32" s="170" t="s">
        <v>107</v>
      </c>
      <c r="B32" s="119">
        <v>35</v>
      </c>
      <c r="C32" s="165" t="s">
        <v>97</v>
      </c>
      <c r="D32" s="120" t="s">
        <v>89</v>
      </c>
      <c r="E32" s="119" t="s">
        <v>76</v>
      </c>
      <c r="F32" s="118">
        <v>18900</v>
      </c>
      <c r="G32" s="127" t="s">
        <v>24</v>
      </c>
      <c r="H32" s="128">
        <f t="shared" ref="H32" si="9">B32*K32</f>
        <v>114.1</v>
      </c>
      <c r="I32" s="128">
        <f t="shared" si="8"/>
        <v>171.5</v>
      </c>
      <c r="J32" s="167" t="s">
        <v>111</v>
      </c>
      <c r="K32" s="114">
        <v>3.26</v>
      </c>
      <c r="L32" s="114">
        <v>4.9000000000000004</v>
      </c>
      <c r="M32" s="175">
        <v>1</v>
      </c>
    </row>
    <row r="33" spans="1:13" ht="17.399999999999999" customHeight="1">
      <c r="A33" s="169"/>
      <c r="B33" s="110"/>
      <c r="C33" s="112"/>
      <c r="D33" s="112"/>
      <c r="E33" s="110"/>
      <c r="F33" s="112"/>
      <c r="G33" s="126"/>
      <c r="H33" s="111"/>
      <c r="I33" s="111"/>
      <c r="J33" s="166"/>
      <c r="K33" s="114"/>
      <c r="L33" s="114"/>
      <c r="M33" s="124"/>
    </row>
    <row r="34" spans="1:13" ht="13.8" thickBot="1">
      <c r="A34" s="133"/>
      <c r="B34" s="134"/>
      <c r="C34" s="134"/>
      <c r="D34" s="134"/>
      <c r="E34" s="134"/>
      <c r="F34" s="135"/>
      <c r="G34" s="134"/>
      <c r="H34" s="136"/>
      <c r="I34" s="137">
        <f>A35*10</f>
        <v>50</v>
      </c>
      <c r="J34" s="138"/>
    </row>
    <row r="35" spans="1:13">
      <c r="A35" s="139">
        <v>5</v>
      </c>
      <c r="B35" s="171">
        <f>SUM(B23:B32)</f>
        <v>162</v>
      </c>
      <c r="C35" s="140"/>
      <c r="D35" s="57"/>
      <c r="E35" s="38" t="s">
        <v>37</v>
      </c>
      <c r="F35" s="141">
        <f>SUM(F23:F34)</f>
        <v>70800</v>
      </c>
      <c r="G35" s="38"/>
      <c r="H35" s="142">
        <f>SUM(H23:H34)</f>
        <v>499.22</v>
      </c>
      <c r="I35" s="142">
        <f>SUM(I23:I34)</f>
        <v>798.16</v>
      </c>
      <c r="J35" s="143">
        <f>SUM(M23:M32)</f>
        <v>4.7</v>
      </c>
    </row>
    <row r="36" spans="1:13">
      <c r="A36" s="75"/>
      <c r="E36" s="83" t="s">
        <v>48</v>
      </c>
      <c r="F36" s="39">
        <v>5</v>
      </c>
      <c r="J36" s="77"/>
    </row>
    <row r="37" spans="1:13">
      <c r="A37" s="75"/>
      <c r="E37" s="83" t="s">
        <v>50</v>
      </c>
      <c r="F37" s="39" t="s">
        <v>51</v>
      </c>
      <c r="J37" s="77"/>
    </row>
    <row r="38" spans="1:13">
      <c r="A38" s="75"/>
      <c r="E38" s="83" t="s">
        <v>49</v>
      </c>
      <c r="F38" s="39" t="s">
        <v>52</v>
      </c>
      <c r="J38" s="77"/>
    </row>
    <row r="39" spans="1:13">
      <c r="A39" s="84"/>
      <c r="B39" s="85"/>
      <c r="C39" s="85"/>
      <c r="D39" s="85"/>
      <c r="E39" s="85"/>
      <c r="F39" s="85"/>
      <c r="G39" s="85"/>
      <c r="H39" s="85"/>
      <c r="I39" s="85"/>
      <c r="J39" s="86"/>
    </row>
  </sheetData>
  <mergeCells count="24">
    <mergeCell ref="A1:J1"/>
    <mergeCell ref="F16:G16"/>
    <mergeCell ref="F17:G17"/>
    <mergeCell ref="A18:C18"/>
    <mergeCell ref="D18:E18"/>
    <mergeCell ref="F18:G18"/>
    <mergeCell ref="A5:E6"/>
    <mergeCell ref="A10:E11"/>
    <mergeCell ref="A24:A28"/>
    <mergeCell ref="A29:A30"/>
    <mergeCell ref="J24:J28"/>
    <mergeCell ref="J29:J30"/>
    <mergeCell ref="A20:C20"/>
    <mergeCell ref="D20:E20"/>
    <mergeCell ref="A21:A22"/>
    <mergeCell ref="B21:B22"/>
    <mergeCell ref="C21:C22"/>
    <mergeCell ref="E21:E22"/>
    <mergeCell ref="D21:D22"/>
    <mergeCell ref="M24:M28"/>
    <mergeCell ref="M29:M30"/>
    <mergeCell ref="F21:F22"/>
    <mergeCell ref="G21:G22"/>
    <mergeCell ref="J21:J22"/>
  </mergeCells>
  <phoneticPr fontId="9" type="noConversion"/>
  <pageMargins left="0.25" right="0.25" top="0.75" bottom="0.75" header="0.3" footer="0.3"/>
  <pageSetup paperSize="9" scale="8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INVOICE!Print_Area</vt:lpstr>
      <vt:lpstr>PACKING!Print_Area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Irene Chan</cp:lastModifiedBy>
  <cp:lastPrinted>2025-08-14T07:21:44Z</cp:lastPrinted>
  <dcterms:created xsi:type="dcterms:W3CDTF">2025-07-17T08:11:00Z</dcterms:created>
  <dcterms:modified xsi:type="dcterms:W3CDTF">2025-08-14T07:21:47Z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