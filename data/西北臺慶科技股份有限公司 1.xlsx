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12"/>
  <workbookPr codeName="ThisWorkbook"/>
  <xr:revisionPtr revIDLastSave="0" documentId="11_F130DBFA983FDE363C07C9958B68CF240D25F8B4" xr6:coauthVersionLast="47" xr6:coauthVersionMax="47" xr10:uidLastSave="{00000000-0000-0000-0000-000000000000}"/>
  <bookViews>
    <workbookView xWindow="0" yWindow="0" windowWidth="20490" windowHeight="7860" xr2:uid="{00000000-000D-0000-FFFF-FFFF00000000}"/>
  </bookViews>
  <sheets>
    <sheet name="INVOICE" sheetId="1" r:id="rId1"/>
    <sheet name="PACKING" sheetId="2" r:id="rId2"/>
    <sheet name="Sheet1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" i="3" l="1"/>
  <c r="H27" i="3"/>
  <c r="G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89" i="2"/>
  <c r="H89" i="2"/>
  <c r="F89" i="2"/>
  <c r="G6" i="2"/>
  <c r="G5" i="2"/>
  <c r="G4" i="2"/>
  <c r="I87" i="1"/>
  <c r="E87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</calcChain>
</file>

<file path=xl/sharedStrings.xml><?xml version="1.0" encoding="utf-8"?>
<sst xmlns="http://schemas.openxmlformats.org/spreadsheetml/2006/main" count="989" uniqueCount="232">
  <si>
    <t>COMMERCIAL INVOICE</t>
  </si>
  <si>
    <t>Shipper/Exporter</t>
  </si>
  <si>
    <t>No. &amp; Date of Invoice</t>
  </si>
  <si>
    <t>TAI-TECH ADVANCED ELECTRONICS CO., LTD.</t>
  </si>
  <si>
    <t>Date：</t>
  </si>
  <si>
    <t>No. 1, You 4th Rd., Yangmei Dist., Taoyuan City 32661, Taiwan, CHINA</t>
  </si>
  <si>
    <t>NO.</t>
  </si>
  <si>
    <t>TSI03-250800067</t>
  </si>
  <si>
    <t>TEL：886-3-4641148    FAX：886-3-4643565</t>
  </si>
  <si>
    <t>ASN NO.</t>
  </si>
  <si>
    <t>TSI03-2508110875</t>
  </si>
  <si>
    <t>Bill To:</t>
  </si>
  <si>
    <t xml:space="preserve"> Payment Term</t>
  </si>
  <si>
    <t>中磊電子(蘇州)有限公司</t>
  </si>
  <si>
    <t>TT120</t>
  </si>
  <si>
    <t xml:space="preserve">Sernet (Suzhou) Technologies Corporation          </t>
  </si>
  <si>
    <t>蘇州工業園區唐庒路8號</t>
  </si>
  <si>
    <t>No.8,Tangzhuang Road, Suzhou Industrial Park, Jiangsu, China</t>
  </si>
  <si>
    <t>ATTN：Emily liu</t>
  </si>
  <si>
    <t xml:space="preserve">Tel : +86-512 6761 3993 ext: 7505 / Mobile : +86-183 6275 2768 </t>
  </si>
  <si>
    <t>Ship To:</t>
  </si>
  <si>
    <t xml:space="preserve"> Trade Term</t>
  </si>
  <si>
    <t>香港元朗上竹園竹攸路104地段 LOT 1515 &amp; 1516
（YTAD  Logistics Centre内）</t>
  </si>
  <si>
    <t>FOB HK</t>
  </si>
  <si>
    <t>（行車路線：元朗大生圍迴旋處往上竹園方向馬公亭直入200米左邊）</t>
  </si>
  <si>
    <r>
      <rPr>
        <sz val="10"/>
        <rFont val="Arial Unicode MS"/>
        <charset val="136"/>
      </rPr>
      <t xml:space="preserve">ATTN：沈祖勝 +852 25313772  90977889 /  鄒建標 Bill Chau  +852-61216290
</t>
    </r>
  </si>
  <si>
    <t>Port of Loading</t>
  </si>
  <si>
    <t>Port of Discharge</t>
  </si>
  <si>
    <t xml:space="preserve"> Remarks:</t>
  </si>
  <si>
    <t>無中文品牌</t>
  </si>
  <si>
    <t>Carrier</t>
  </si>
  <si>
    <t>Sailing on/or About</t>
  </si>
  <si>
    <t>原產地 : 中国</t>
  </si>
  <si>
    <t>贸易国：中国台湾</t>
  </si>
  <si>
    <t>ITEM</t>
  </si>
  <si>
    <t>PO No.</t>
  </si>
  <si>
    <t>Part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</si>
  <si>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</si>
  <si>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</si>
  <si>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</si>
  <si>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</si>
  <si>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</si>
  <si>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</si>
  <si>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</si>
  <si>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</si>
  <si>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</si>
  <si>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</si>
  <si>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</si>
  <si>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1</t>
  </si>
  <si>
    <t>2250100383</t>
  </si>
  <si>
    <t>362002L0TT</t>
  </si>
  <si>
    <t>PCS</t>
  </si>
  <si>
    <t>USD</t>
  </si>
  <si>
    <t>中國</t>
  </si>
  <si>
    <t xml:space="preserve">TAI-TECH </t>
  </si>
  <si>
    <t>境外品牌（其他）</t>
  </si>
  <si>
    <t>HCB 1608KF-300T30</t>
  </si>
  <si>
    <t>2</t>
  </si>
  <si>
    <t>2250101719</t>
  </si>
  <si>
    <t>362000AVTT</t>
  </si>
  <si>
    <t>HFZ1005PF-471T11</t>
  </si>
  <si>
    <t>3</t>
  </si>
  <si>
    <t>2250102973</t>
  </si>
  <si>
    <t>36200224TT</t>
  </si>
  <si>
    <t>HCB 1608KF-221T20</t>
  </si>
  <si>
    <t>4</t>
  </si>
  <si>
    <t>2250200299</t>
  </si>
  <si>
    <t>36200086TT</t>
  </si>
  <si>
    <t>FCM 1005KF-221T03</t>
  </si>
  <si>
    <t>5</t>
  </si>
  <si>
    <t>2250200483</t>
  </si>
  <si>
    <t>3620006VTT</t>
  </si>
  <si>
    <t>HCB 2012KF-601T20</t>
  </si>
  <si>
    <t>6</t>
  </si>
  <si>
    <t>7</t>
  </si>
  <si>
    <t>36200232TT</t>
  </si>
  <si>
    <t>HCB 2012KF-221T30</t>
  </si>
  <si>
    <t>8</t>
  </si>
  <si>
    <t>9</t>
  </si>
  <si>
    <t>2250200994</t>
  </si>
  <si>
    <t>10</t>
  </si>
  <si>
    <t>2250301471</t>
  </si>
  <si>
    <t>3620008LTT</t>
  </si>
  <si>
    <t>FCM1005KF-750T03</t>
  </si>
  <si>
    <t>11</t>
  </si>
  <si>
    <t>2250301430</t>
  </si>
  <si>
    <t>12</t>
  </si>
  <si>
    <t>13</t>
  </si>
  <si>
    <t>2250302345</t>
  </si>
  <si>
    <t>362000B7TT</t>
  </si>
  <si>
    <t>HCB2012KF-101T60</t>
  </si>
  <si>
    <t>14</t>
  </si>
  <si>
    <t>2250302422</t>
  </si>
  <si>
    <t>3620009ATT</t>
  </si>
  <si>
    <t>MBP15P331-12A</t>
  </si>
  <si>
    <t>15</t>
  </si>
  <si>
    <t>2250400170</t>
  </si>
  <si>
    <t>16</t>
  </si>
  <si>
    <t>36200617TT</t>
  </si>
  <si>
    <t>FCM 1005KF-601T03</t>
  </si>
  <si>
    <t>17</t>
  </si>
  <si>
    <t>2250400731</t>
  </si>
  <si>
    <t>18</t>
  </si>
  <si>
    <t>2250401265</t>
  </si>
  <si>
    <t>19</t>
  </si>
  <si>
    <t>2250401361</t>
  </si>
  <si>
    <t>36200131TT</t>
  </si>
  <si>
    <t>HCB2012KF-800T30</t>
  </si>
  <si>
    <t>20</t>
  </si>
  <si>
    <t>2250401545</t>
  </si>
  <si>
    <t>21</t>
  </si>
  <si>
    <t>22</t>
  </si>
  <si>
    <t>2250402102</t>
  </si>
  <si>
    <t>23</t>
  </si>
  <si>
    <t>24</t>
  </si>
  <si>
    <t>25</t>
  </si>
  <si>
    <t>26</t>
  </si>
  <si>
    <t>2250402218</t>
  </si>
  <si>
    <t>27</t>
  </si>
  <si>
    <t>28</t>
  </si>
  <si>
    <t>2250402448</t>
  </si>
  <si>
    <t>36200616TT</t>
  </si>
  <si>
    <t>HCB 1005KF-121T15</t>
  </si>
  <si>
    <t>29</t>
  </si>
  <si>
    <t>2250402930</t>
  </si>
  <si>
    <t>3604756GTT</t>
  </si>
  <si>
    <t>TMHC0603S-4R7MN-D</t>
  </si>
  <si>
    <t>30</t>
  </si>
  <si>
    <t>3670006WTT</t>
  </si>
  <si>
    <t>WCM2012F2SF-121T04</t>
  </si>
  <si>
    <t>31</t>
  </si>
  <si>
    <t>2250403354</t>
  </si>
  <si>
    <t>32</t>
  </si>
  <si>
    <t>2250500283</t>
  </si>
  <si>
    <t>36200613TT</t>
  </si>
  <si>
    <t>FCM 1005KF-102T03</t>
  </si>
  <si>
    <t>33</t>
  </si>
  <si>
    <t>34</t>
  </si>
  <si>
    <t>35</t>
  </si>
  <si>
    <t>36</t>
  </si>
  <si>
    <t>37</t>
  </si>
  <si>
    <t>2250501006</t>
  </si>
  <si>
    <t>36200611TT</t>
  </si>
  <si>
    <t>HCB 1608KF-121T30</t>
  </si>
  <si>
    <t>38</t>
  </si>
  <si>
    <t>39</t>
  </si>
  <si>
    <t>40</t>
  </si>
  <si>
    <t>41</t>
  </si>
  <si>
    <t>3620007ATT</t>
  </si>
  <si>
    <t>HCB 1005KF-300T25</t>
  </si>
  <si>
    <t>42</t>
  </si>
  <si>
    <t>2250501398</t>
  </si>
  <si>
    <t>43</t>
  </si>
  <si>
    <t>44</t>
  </si>
  <si>
    <t>2250501418</t>
  </si>
  <si>
    <t>45</t>
  </si>
  <si>
    <t>46</t>
  </si>
  <si>
    <t>47</t>
  </si>
  <si>
    <t>48</t>
  </si>
  <si>
    <t>2250501986</t>
  </si>
  <si>
    <t>49</t>
  </si>
  <si>
    <t>2250502020</t>
  </si>
  <si>
    <t>50</t>
  </si>
  <si>
    <t>2250502967</t>
  </si>
  <si>
    <t>51</t>
  </si>
  <si>
    <t>2250502932</t>
  </si>
  <si>
    <t>52</t>
  </si>
  <si>
    <t>2250503762</t>
  </si>
  <si>
    <t>53</t>
  </si>
  <si>
    <t>2250601460</t>
  </si>
  <si>
    <t>3603322GTT</t>
  </si>
  <si>
    <t>HPC 6045NF-3R3M-P</t>
  </si>
  <si>
    <t>54</t>
  </si>
  <si>
    <t>2250601390</t>
  </si>
  <si>
    <t>3620009JTT</t>
  </si>
  <si>
    <t>HCB 3216KF-121T40</t>
  </si>
  <si>
    <t>55</t>
  </si>
  <si>
    <t>2250601844</t>
  </si>
  <si>
    <t>3620007JTT</t>
  </si>
  <si>
    <t>HCB1005KF-221T15</t>
  </si>
  <si>
    <t>56</t>
  </si>
  <si>
    <t>2250700686</t>
  </si>
  <si>
    <t>57</t>
  </si>
  <si>
    <t>3604743QTT</t>
  </si>
  <si>
    <t>TMPA 0603S-R47MN-D</t>
  </si>
  <si>
    <t>58</t>
  </si>
  <si>
    <t>2250700712</t>
  </si>
  <si>
    <t>3670004NTT</t>
  </si>
  <si>
    <t>HDMI 2012F2SF-900T04</t>
  </si>
  <si>
    <t>59</t>
  </si>
  <si>
    <t>2250701068</t>
  </si>
  <si>
    <t>60</t>
  </si>
  <si>
    <t>2250702724</t>
  </si>
  <si>
    <t>3604756VTT</t>
  </si>
  <si>
    <t>FPI 0403BM-4R7M</t>
  </si>
  <si>
    <t>61</t>
  </si>
  <si>
    <t>2250703879</t>
  </si>
  <si>
    <t>36047434TT</t>
  </si>
  <si>
    <t>TMHC 0603S-R47MN-D</t>
  </si>
  <si>
    <t xml:space="preserve">                  TOTAL</t>
  </si>
  <si>
    <t>PACKING LIST</t>
  </si>
  <si>
    <t>No &amp; Date of Invoice</t>
  </si>
  <si>
    <t>Remarks:</t>
  </si>
  <si>
    <t>Port of Departure</t>
  </si>
  <si>
    <t>Port of Arrival</t>
  </si>
  <si>
    <t>CTN NO.</t>
  </si>
  <si>
    <t>Net WT</t>
  </si>
  <si>
    <t>Gross WT</t>
  </si>
  <si>
    <t>PLT NO.</t>
  </si>
  <si>
    <t>MEASUREMENT  L*W*H(CM)</t>
  </si>
  <si>
    <t>KGS</t>
  </si>
  <si>
    <t>栈板一</t>
  </si>
  <si>
    <t>100*120*80  /  100*120*80 / 100*120*66</t>
  </si>
  <si>
    <t>14-16</t>
  </si>
  <si>
    <t>19-20</t>
  </si>
  <si>
    <t>21-22</t>
  </si>
  <si>
    <t>23-24</t>
  </si>
  <si>
    <t>栈板三</t>
  </si>
  <si>
    <t>栈板二</t>
  </si>
  <si>
    <t>47-48</t>
  </si>
  <si>
    <t>49-50</t>
  </si>
  <si>
    <t>50栈板一，49栈板三</t>
  </si>
  <si>
    <t>51-52</t>
  </si>
  <si>
    <t>53-54</t>
  </si>
  <si>
    <t>59-60</t>
  </si>
  <si>
    <t>60栈板一，59栈板三</t>
  </si>
  <si>
    <t>68-70</t>
  </si>
  <si>
    <t>TOTAL</t>
  </si>
  <si>
    <t xml:space="preserve">包装种类 : </t>
  </si>
  <si>
    <t>纸箱</t>
  </si>
  <si>
    <t xml:space="preserve">托盘材质 : </t>
  </si>
  <si>
    <t>塑料栈板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</si>
</sst>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9" formatCode="_-* #,##0_-;\-* #,##0_-;_-* &quot;-&quot;??_-;_-@_-"/>
    <numFmt numFmtId="180" formatCode="0.0000000_ "/>
    <numFmt numFmtId="181" formatCode="0.00_ "/>
    <numFmt numFmtId="182" formatCode="yyyy/m/d;@"/>
    <numFmt numFmtId="183" formatCode="0.000_ "/>
    <numFmt numFmtId="184" formatCode="0.00_);[Red]\(0.00\)"/>
    <numFmt numFmtId="185" formatCode="#,##0.00_ "/>
    <numFmt numFmtId="186" formatCode="&quot;S004&quot;000000"/>
    <numFmt numFmtId="187" formatCode="0.0000_);[Red]\(0.0000\)"/>
  </numFmts>
  <fonts count="12">
    <font>
      <sz val="11"/>
      <color theme="1"/>
      <name val="宋体"/>
      <charset val="134"/>
      <scheme val="minor"/>
    </font>
    <font>
      <sz val="12"/>
      <name val="Arial Unicode MS"/>
      <charset val="136"/>
    </font>
    <font>
      <sz val="11"/>
      <name val="Arial Unicode MS"/>
      <charset val="136"/>
    </font>
    <font>
      <b/>
      <sz val="20"/>
      <name val="Arial Unicode MS"/>
      <charset val="136"/>
    </font>
    <font>
      <b/>
      <sz val="10"/>
      <name val="Arial Unicode MS"/>
      <charset val="136"/>
    </font>
    <font>
      <sz val="10"/>
      <name val="Arial Unicode MS"/>
      <charset val="136"/>
    </font>
    <font>
      <sz val="10"/>
      <color rgb="FFFF0000"/>
      <name val="Arial Unicode MS"/>
      <charset val="136"/>
    </font>
    <font>
      <b/>
      <sz val="11"/>
      <name val="Arial Unicode MS"/>
      <charset val="136"/>
    </font>
    <font>
      <b/>
      <sz val="11"/>
      <color rgb="FFFF0000"/>
      <name val="Arial Unicode MS"/>
      <charset val="136"/>
    </font>
    <font>
      <sz val="11"/>
      <color theme="1"/>
      <name val="宋体"/>
      <charset val="136"/>
      <scheme val="minor"/>
    </font>
    <font>
      <sz val="12"/>
      <name val="宋体"/>
      <charset val="134"/>
    </font>
    <font>
      <sz val="12"/>
      <name val="新細明體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1" fillId="0" borderId="0"/>
  </cellStyleXfs>
  <cellXfs count="155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1" fillId="0" borderId="1" xfId="0" applyFont="1" applyBorder="1">
      <alignment vertical="center"/>
    </xf>
    <xf numFmtId="179" fontId="1" fillId="0" borderId="1" xfId="1" applyNumberFormat="1" applyFont="1" applyFill="1" applyBorder="1" applyAlignment="1">
      <alignment vertical="center"/>
    </xf>
    <xf numFmtId="181" fontId="1" fillId="0" borderId="1" xfId="1" applyNumberFormat="1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5" fillId="0" borderId="3" xfId="2" applyFont="1" applyBorder="1" applyAlignment="1">
      <alignment vertical="center"/>
    </xf>
    <xf numFmtId="0" fontId="5" fillId="0" borderId="0" xfId="0" applyFont="1">
      <alignment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/>
    </xf>
    <xf numFmtId="0" fontId="6" fillId="2" borderId="6" xfId="0" applyFont="1" applyFill="1" applyBorder="1">
      <alignment vertical="center"/>
    </xf>
    <xf numFmtId="58" fontId="6" fillId="2" borderId="0" xfId="2" applyNumberFormat="1" applyFont="1" applyFill="1" applyAlignment="1">
      <alignment horizontal="left" vertical="center"/>
    </xf>
    <xf numFmtId="0" fontId="6" fillId="2" borderId="0" xfId="2" applyFont="1" applyFill="1" applyAlignment="1">
      <alignment vertical="center"/>
    </xf>
    <xf numFmtId="0" fontId="5" fillId="0" borderId="6" xfId="0" applyFont="1" applyBorder="1">
      <alignment vertical="center"/>
    </xf>
    <xf numFmtId="0" fontId="5" fillId="0" borderId="0" xfId="3" applyFont="1" applyAlignment="1">
      <alignment vertical="center" wrapText="1"/>
    </xf>
    <xf numFmtId="0" fontId="6" fillId="2" borderId="0" xfId="2" applyFont="1" applyFill="1" applyAlignment="1">
      <alignment horizontal="left" vertical="center"/>
    </xf>
    <xf numFmtId="0" fontId="5" fillId="0" borderId="4" xfId="3" applyFont="1" applyBorder="1" applyAlignment="1">
      <alignment horizontal="left" vertical="center"/>
    </xf>
    <xf numFmtId="0" fontId="5" fillId="0" borderId="5" xfId="3" applyFont="1" applyBorder="1" applyAlignment="1">
      <alignment vertical="center"/>
    </xf>
    <xf numFmtId="0" fontId="5" fillId="0" borderId="5" xfId="5" applyFont="1" applyBorder="1" applyAlignment="1">
      <alignment vertical="center"/>
    </xf>
    <xf numFmtId="0" fontId="5" fillId="0" borderId="6" xfId="2" applyFont="1" applyBorder="1" applyAlignment="1">
      <alignment vertical="center"/>
    </xf>
    <xf numFmtId="0" fontId="4" fillId="0" borderId="2" xfId="3" applyFont="1" applyBorder="1" applyAlignment="1">
      <alignment vertical="center"/>
    </xf>
    <xf numFmtId="0" fontId="5" fillId="0" borderId="7" xfId="0" applyFont="1" applyBorder="1" applyAlignment="1">
      <alignment horizontal="left" vertical="center"/>
    </xf>
    <xf numFmtId="0" fontId="4" fillId="0" borderId="0" xfId="2" applyFont="1" applyAlignment="1">
      <alignment vertical="center"/>
    </xf>
    <xf numFmtId="0" fontId="5" fillId="0" borderId="0" xfId="3" applyFont="1" applyAlignment="1">
      <alignment vertical="center"/>
    </xf>
    <xf numFmtId="0" fontId="5" fillId="0" borderId="0" xfId="2" applyFont="1" applyAlignment="1">
      <alignment vertical="center" wrapText="1"/>
    </xf>
    <xf numFmtId="0" fontId="5" fillId="0" borderId="7" xfId="0" applyFont="1" applyBorder="1">
      <alignment vertical="center"/>
    </xf>
    <xf numFmtId="0" fontId="4" fillId="0" borderId="6" xfId="2" applyFont="1" applyBorder="1" applyAlignment="1">
      <alignment vertical="center"/>
    </xf>
    <xf numFmtId="0" fontId="5" fillId="0" borderId="5" xfId="0" applyFont="1" applyBorder="1">
      <alignment vertical="center"/>
    </xf>
    <xf numFmtId="0" fontId="5" fillId="0" borderId="5" xfId="2" applyFont="1" applyBorder="1" applyAlignment="1">
      <alignment vertical="center"/>
    </xf>
    <xf numFmtId="0" fontId="5" fillId="0" borderId="8" xfId="0" applyFont="1" applyBorder="1">
      <alignment vertical="center"/>
    </xf>
    <xf numFmtId="0" fontId="5" fillId="0" borderId="0" xfId="0" applyFont="1" applyAlignment="1">
      <alignment horizontal="left" vertical="center"/>
    </xf>
    <xf numFmtId="0" fontId="5" fillId="0" borderId="4" xfId="2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9" xfId="2" applyFont="1" applyBorder="1" applyAlignment="1">
      <alignment vertical="center"/>
    </xf>
    <xf numFmtId="0" fontId="5" fillId="0" borderId="3" xfId="3" applyFont="1" applyBorder="1" applyAlignment="1">
      <alignment vertical="center"/>
    </xf>
    <xf numFmtId="181" fontId="5" fillId="0" borderId="0" xfId="0" applyNumberFormat="1" applyFont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1" xfId="2" applyFont="1" applyBorder="1" applyAlignment="1">
      <alignment vertical="center"/>
    </xf>
    <xf numFmtId="0" fontId="5" fillId="0" borderId="0" xfId="2" applyFont="1" applyAlignment="1">
      <alignment horizontal="right" vertical="center"/>
    </xf>
    <xf numFmtId="0" fontId="4" fillId="2" borderId="1" xfId="3" applyFont="1" applyFill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 wrapText="1" shrinkToFit="1"/>
    </xf>
    <xf numFmtId="49" fontId="1" fillId="0" borderId="1" xfId="1" applyNumberFormat="1" applyFont="1" applyFill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9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0" xfId="2" applyFont="1" applyAlignment="1">
      <alignment horizontal="center" vertical="center"/>
    </xf>
    <xf numFmtId="0" fontId="5" fillId="0" borderId="10" xfId="0" applyFont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5" xfId="4" applyFont="1" applyBorder="1" applyAlignment="1">
      <alignment horizontal="center" vertical="center" wrapText="1" shrinkToFit="1"/>
    </xf>
    <xf numFmtId="0" fontId="5" fillId="0" borderId="16" xfId="4" applyFont="1" applyBorder="1" applyAlignment="1">
      <alignment horizontal="center" vertical="center" wrapText="1" shrinkToFit="1"/>
    </xf>
    <xf numFmtId="0" fontId="5" fillId="0" borderId="16" xfId="2" applyFont="1" applyBorder="1" applyAlignment="1">
      <alignment horizontal="center" vertical="center" wrapText="1" shrinkToFit="1"/>
    </xf>
    <xf numFmtId="38" fontId="5" fillId="0" borderId="16" xfId="2" applyNumberFormat="1" applyFont="1" applyBorder="1" applyAlignment="1">
      <alignment horizontal="center" vertical="center" wrapText="1" shrinkToFit="1"/>
    </xf>
    <xf numFmtId="184" fontId="5" fillId="0" borderId="1" xfId="2" applyNumberFormat="1" applyFont="1" applyBorder="1" applyAlignment="1">
      <alignment horizontal="center" vertical="center" wrapText="1" shrinkToFit="1"/>
    </xf>
    <xf numFmtId="0" fontId="2" fillId="0" borderId="6" xfId="0" applyFont="1" applyBorder="1">
      <alignment vertical="center"/>
    </xf>
    <xf numFmtId="38" fontId="4" fillId="2" borderId="12" xfId="2" applyNumberFormat="1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184" fontId="4" fillId="2" borderId="12" xfId="2" applyNumberFormat="1" applyFont="1" applyFill="1" applyBorder="1" applyAlignment="1">
      <alignment horizontal="center" vertical="center"/>
    </xf>
    <xf numFmtId="0" fontId="4" fillId="0" borderId="0" xfId="2" applyFont="1" applyAlignment="1">
      <alignment horizontal="left" vertical="center"/>
    </xf>
    <xf numFmtId="38" fontId="4" fillId="0" borderId="0" xfId="2" applyNumberFormat="1" applyFont="1" applyAlignment="1">
      <alignment horizontal="center" vertical="center"/>
    </xf>
    <xf numFmtId="184" fontId="4" fillId="0" borderId="0" xfId="2" applyNumberFormat="1" applyFont="1" applyAlignment="1">
      <alignment horizontal="center" vertical="center"/>
    </xf>
    <xf numFmtId="38" fontId="5" fillId="0" borderId="0" xfId="2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184" fontId="4" fillId="0" borderId="1" xfId="2" applyNumberFormat="1" applyFont="1" applyBorder="1" applyAlignment="1">
      <alignment horizontal="center" vertical="center" wrapText="1" shrinkToFit="1"/>
    </xf>
    <xf numFmtId="184" fontId="4" fillId="0" borderId="17" xfId="2" applyNumberFormat="1" applyFont="1" applyBorder="1" applyAlignment="1">
      <alignment horizontal="center" vertical="center" wrapText="1" shrinkToFit="1"/>
    </xf>
    <xf numFmtId="184" fontId="4" fillId="0" borderId="11" xfId="2" applyNumberFormat="1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10" xfId="0" applyFont="1" applyBorder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4" fillId="0" borderId="3" xfId="3" applyFont="1" applyBorder="1" applyAlignment="1">
      <alignment vertical="center"/>
    </xf>
    <xf numFmtId="0" fontId="5" fillId="0" borderId="11" xfId="3" applyFont="1" applyBorder="1" applyAlignment="1">
      <alignment vertical="center"/>
    </xf>
    <xf numFmtId="58" fontId="6" fillId="2" borderId="0" xfId="3" applyNumberFormat="1" applyFont="1" applyFill="1" applyAlignment="1">
      <alignment horizontal="left" vertical="center"/>
    </xf>
    <xf numFmtId="49" fontId="6" fillId="2" borderId="0" xfId="3" applyNumberFormat="1" applyFont="1" applyFill="1" applyAlignment="1">
      <alignment horizontal="center" vertical="center"/>
    </xf>
    <xf numFmtId="49" fontId="5" fillId="0" borderId="0" xfId="3" applyNumberFormat="1" applyFont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6" fillId="2" borderId="0" xfId="0" applyFont="1" applyFill="1">
      <alignment vertical="center"/>
    </xf>
    <xf numFmtId="186" fontId="6" fillId="2" borderId="0" xfId="0" applyNumberFormat="1" applyFont="1" applyFill="1">
      <alignment vertical="center"/>
    </xf>
    <xf numFmtId="182" fontId="6" fillId="2" borderId="0" xfId="0" applyNumberFormat="1" applyFont="1" applyFill="1">
      <alignment vertical="center"/>
    </xf>
    <xf numFmtId="182" fontId="5" fillId="0" borderId="0" xfId="0" applyNumberFormat="1" applyFont="1" applyAlignment="1">
      <alignment horizontal="left" vertical="center"/>
    </xf>
    <xf numFmtId="0" fontId="6" fillId="2" borderId="0" xfId="3" applyFont="1" applyFill="1" applyAlignment="1">
      <alignment vertical="center"/>
    </xf>
    <xf numFmtId="0" fontId="5" fillId="0" borderId="5" xfId="3" applyFont="1" applyBorder="1" applyAlignment="1">
      <alignment horizontal="left" vertical="center"/>
    </xf>
    <xf numFmtId="0" fontId="5" fillId="0" borderId="10" xfId="3" applyFont="1" applyBorder="1" applyAlignment="1">
      <alignment vertical="center"/>
    </xf>
    <xf numFmtId="0" fontId="5" fillId="0" borderId="4" xfId="3" applyFont="1" applyBorder="1" applyAlignment="1">
      <alignment vertical="center"/>
    </xf>
    <xf numFmtId="0" fontId="5" fillId="0" borderId="9" xfId="3" applyFont="1" applyBorder="1" applyAlignment="1">
      <alignment vertical="center"/>
    </xf>
    <xf numFmtId="0" fontId="4" fillId="0" borderId="11" xfId="2" applyFont="1" applyBorder="1" applyAlignment="1">
      <alignment horizontal="left" vertical="center"/>
    </xf>
    <xf numFmtId="0" fontId="5" fillId="0" borderId="6" xfId="3" applyFont="1" applyBorder="1" applyAlignment="1">
      <alignment vertical="center"/>
    </xf>
    <xf numFmtId="0" fontId="5" fillId="0" borderId="6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3" applyFont="1" applyAlignment="1">
      <alignment vertical="center"/>
    </xf>
    <xf numFmtId="0" fontId="5" fillId="0" borderId="4" xfId="0" applyFont="1" applyBorder="1">
      <alignment vertical="center"/>
    </xf>
    <xf numFmtId="0" fontId="4" fillId="0" borderId="6" xfId="3" applyFont="1" applyBorder="1" applyAlignment="1">
      <alignment vertical="center"/>
    </xf>
    <xf numFmtId="0" fontId="5" fillId="0" borderId="11" xfId="2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shrinkToFit="1"/>
    </xf>
    <xf numFmtId="38" fontId="5" fillId="0" borderId="1" xfId="0" applyNumberFormat="1" applyFont="1" applyBorder="1" applyAlignment="1">
      <alignment horizontal="center" vertical="center" wrapText="1" shrinkToFit="1"/>
    </xf>
    <xf numFmtId="185" fontId="5" fillId="0" borderId="1" xfId="0" applyNumberFormat="1" applyFont="1" applyBorder="1" applyAlignment="1">
      <alignment horizontal="center" vertical="center" wrapText="1" shrinkToFit="1"/>
    </xf>
    <xf numFmtId="187" fontId="5" fillId="0" borderId="1" xfId="0" applyNumberFormat="1" applyFont="1" applyBorder="1" applyAlignment="1">
      <alignment horizontal="center" vertical="center" wrapText="1" shrinkToFit="1"/>
    </xf>
    <xf numFmtId="0" fontId="5" fillId="0" borderId="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3" xfId="3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84" fontId="5" fillId="0" borderId="1" xfId="0" applyNumberFormat="1" applyFont="1" applyBorder="1" applyAlignment="1">
      <alignment horizontal="center" vertical="center" wrapText="1" shrinkToFit="1"/>
    </xf>
    <xf numFmtId="38" fontId="5" fillId="0" borderId="0" xfId="0" applyNumberFormat="1" applyFont="1">
      <alignment vertical="center"/>
    </xf>
    <xf numFmtId="0" fontId="7" fillId="0" borderId="15" xfId="3" applyFont="1" applyBorder="1" applyAlignment="1">
      <alignment vertical="center"/>
    </xf>
    <xf numFmtId="0" fontId="7" fillId="0" borderId="16" xfId="3" applyFont="1" applyBorder="1" applyAlignment="1">
      <alignment vertical="center"/>
    </xf>
    <xf numFmtId="38" fontId="8" fillId="2" borderId="16" xfId="3" applyNumberFormat="1" applyFont="1" applyFill="1" applyBorder="1" applyAlignment="1">
      <alignment horizontal="center" vertical="center"/>
    </xf>
    <xf numFmtId="187" fontId="7" fillId="0" borderId="16" xfId="3" applyNumberFormat="1" applyFont="1" applyBorder="1" applyAlignment="1">
      <alignment horizontal="center" vertical="center"/>
    </xf>
    <xf numFmtId="40" fontId="8" fillId="2" borderId="16" xfId="3" applyNumberFormat="1" applyFont="1" applyFill="1" applyBorder="1" applyAlignment="1">
      <alignment horizontal="center" vertical="center"/>
    </xf>
    <xf numFmtId="0" fontId="7" fillId="0" borderId="5" xfId="0" applyFont="1" applyBorder="1">
      <alignment vertical="center"/>
    </xf>
    <xf numFmtId="0" fontId="7" fillId="0" borderId="5" xfId="0" applyFont="1" applyBorder="1" applyAlignment="1">
      <alignment vertical="center" wrapText="1"/>
    </xf>
    <xf numFmtId="184" fontId="7" fillId="0" borderId="17" xfId="3" applyNumberFormat="1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182" fontId="5" fillId="0" borderId="4" xfId="0" applyNumberFormat="1" applyFont="1" applyBorder="1" applyAlignment="1">
      <alignment horizontal="left" vertical="center"/>
    </xf>
    <xf numFmtId="182" fontId="5" fillId="0" borderId="10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82" fontId="5" fillId="0" borderId="5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12" xfId="2" applyFont="1" applyBorder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4" fillId="2" borderId="1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2" borderId="12" xfId="3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5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11" xfId="2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</cellXfs>
  <cellStyles count="6">
    <cellStyle name="一般_OMRON" xfId="3" xr:uid="{00000000-0005-0000-0000-000032000000}"/>
    <cellStyle name="一般_OMRON海運出口" xfId="2" xr:uid="{00000000-0005-0000-0000-00001F000000}"/>
    <cellStyle name="千位分隔" xfId="1" builtinId="3"/>
    <cellStyle name="常规" xfId="0" builtinId="0"/>
    <cellStyle name="常规_Sheet1_1" xfId="4" xr:uid="{00000000-0005-0000-0000-000033000000}"/>
    <cellStyle name="常规_啟德一般貿易" xfId="5" xr:uid="{00000000-0005-0000-0000-000034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zoomScale="90" zoomScaleNormal="90" workbookViewId="0">
      <selection activeCell="A24" sqref="A24"/>
    </sheetView>
  </sheetViews>
  <sheetFormatPr defaultColWidth="9" defaultRowHeight="12"/>
  <cols>
    <col min="1" max="1" width="9" style="10"/>
    <col min="2" max="3" width="20.875" style="10" customWidth="1"/>
    <col min="4" max="4" width="25.375" style="10" customWidth="1"/>
    <col min="5" max="5" width="14" style="10" customWidth="1"/>
    <col min="6" max="6" width="10.875" style="10" customWidth="1"/>
    <col min="7" max="7" width="12.25" style="10" customWidth="1"/>
    <col min="8" max="8" width="11.75" style="10" customWidth="1"/>
    <col min="9" max="9" width="12.25" style="10" customWidth="1"/>
    <col min="10" max="10" width="6.5" style="10" customWidth="1"/>
    <col min="11" max="11" width="6.375" style="10" customWidth="1"/>
    <col min="12" max="12" width="10.75" style="10" customWidth="1"/>
    <col min="13" max="13" width="20.75" style="10" customWidth="1"/>
    <col min="14" max="14" width="29.25" style="78" customWidth="1"/>
    <col min="15" max="15" width="4.25" style="10" customWidth="1"/>
    <col min="16" max="16" width="11.125" style="10"/>
    <col min="17" max="16384" width="9" style="10"/>
  </cols>
  <sheetData>
    <row r="1" spans="1:15" s="5" customFormat="1" ht="37.15" customHeight="1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5"/>
    </row>
    <row r="2" spans="1:15">
      <c r="A2" s="23" t="s">
        <v>1</v>
      </c>
      <c r="B2" s="79"/>
      <c r="C2" s="37"/>
      <c r="D2" s="36"/>
      <c r="E2" s="23" t="s">
        <v>2</v>
      </c>
      <c r="F2" s="37"/>
      <c r="G2" s="37"/>
      <c r="H2" s="37"/>
      <c r="I2" s="37"/>
      <c r="J2" s="49"/>
      <c r="K2" s="49"/>
      <c r="L2" s="49"/>
      <c r="M2" s="49"/>
      <c r="N2" s="108"/>
      <c r="O2" s="51"/>
    </row>
    <row r="3" spans="1:15">
      <c r="A3" s="10" t="s">
        <v>3</v>
      </c>
      <c r="B3" s="11"/>
      <c r="C3" s="26"/>
      <c r="D3" s="80"/>
      <c r="E3" s="13" t="s">
        <v>4</v>
      </c>
      <c r="F3" s="81">
        <v>45880</v>
      </c>
      <c r="G3" s="82"/>
      <c r="H3" s="83"/>
      <c r="I3" s="26"/>
      <c r="O3" s="51"/>
    </row>
    <row r="4" spans="1:15">
      <c r="A4" s="16" t="s">
        <v>5</v>
      </c>
      <c r="B4" s="78"/>
      <c r="C4" s="78"/>
      <c r="D4" s="84"/>
      <c r="E4" s="85" t="s">
        <v>6</v>
      </c>
      <c r="F4" s="86" t="s">
        <v>7</v>
      </c>
      <c r="G4" s="87"/>
      <c r="H4" s="88"/>
      <c r="I4" s="26"/>
      <c r="O4" s="51"/>
    </row>
    <row r="5" spans="1:15">
      <c r="A5" s="16" t="s">
        <v>8</v>
      </c>
      <c r="B5" s="78"/>
      <c r="C5" s="78"/>
      <c r="D5" s="84"/>
      <c r="E5" s="85" t="s">
        <v>9</v>
      </c>
      <c r="F5" s="86" t="s">
        <v>10</v>
      </c>
      <c r="G5" s="89"/>
      <c r="H5" s="26"/>
      <c r="I5" s="26"/>
      <c r="O5" s="51"/>
    </row>
    <row r="6" spans="1:15">
      <c r="A6" s="19"/>
      <c r="B6" s="90"/>
      <c r="C6" s="20"/>
      <c r="D6" s="91"/>
      <c r="E6" s="92"/>
      <c r="F6" s="20"/>
      <c r="G6" s="20"/>
      <c r="H6" s="20"/>
      <c r="I6" s="20"/>
      <c r="J6" s="30"/>
      <c r="K6" s="30"/>
      <c r="L6" s="30"/>
      <c r="M6" s="30"/>
      <c r="N6" s="109"/>
      <c r="O6" s="53"/>
    </row>
    <row r="7" spans="1:15">
      <c r="A7" s="23" t="s">
        <v>11</v>
      </c>
      <c r="B7" s="79"/>
      <c r="C7" s="37"/>
      <c r="D7" s="93"/>
      <c r="E7" s="23" t="s">
        <v>12</v>
      </c>
      <c r="F7" s="37"/>
      <c r="G7" s="37"/>
      <c r="H7" s="37"/>
      <c r="I7" s="37"/>
      <c r="J7" s="49"/>
      <c r="O7" s="51"/>
    </row>
    <row r="8" spans="1:15">
      <c r="A8" s="24" t="s">
        <v>13</v>
      </c>
      <c r="B8" s="11"/>
      <c r="C8" s="65"/>
      <c r="D8" s="94"/>
      <c r="E8" s="95" t="s">
        <v>14</v>
      </c>
      <c r="F8" s="26"/>
      <c r="G8" s="26"/>
      <c r="H8" s="26"/>
      <c r="I8" s="26"/>
      <c r="O8" s="51"/>
    </row>
    <row r="9" spans="1:15">
      <c r="A9" s="24" t="s">
        <v>15</v>
      </c>
      <c r="B9" s="11"/>
      <c r="C9" s="65"/>
      <c r="D9" s="94"/>
      <c r="E9" s="95"/>
      <c r="F9" s="26"/>
      <c r="G9" s="26"/>
      <c r="H9" s="26"/>
      <c r="I9" s="26"/>
      <c r="O9" s="51"/>
    </row>
    <row r="10" spans="1:15">
      <c r="A10" s="24" t="s">
        <v>16</v>
      </c>
      <c r="B10" s="11"/>
      <c r="C10" s="65"/>
      <c r="D10" s="94"/>
      <c r="E10" s="95"/>
      <c r="F10" s="26"/>
      <c r="G10" s="26"/>
      <c r="H10" s="26"/>
      <c r="I10" s="26"/>
      <c r="O10" s="51"/>
    </row>
    <row r="11" spans="1:15">
      <c r="A11" s="24" t="s">
        <v>17</v>
      </c>
      <c r="B11" s="11"/>
      <c r="C11" s="65"/>
      <c r="D11" s="94"/>
      <c r="E11" s="95"/>
      <c r="F11" s="26"/>
      <c r="G11" s="26"/>
      <c r="H11" s="26"/>
      <c r="I11" s="26"/>
      <c r="O11" s="51"/>
    </row>
    <row r="12" spans="1:15">
      <c r="A12" s="28" t="s">
        <v>18</v>
      </c>
      <c r="B12" s="78"/>
      <c r="C12" s="78"/>
      <c r="D12" s="84"/>
      <c r="E12" s="126"/>
      <c r="F12" s="127"/>
      <c r="G12" s="127"/>
      <c r="H12" s="127"/>
      <c r="I12" s="127"/>
      <c r="O12" s="51"/>
    </row>
    <row r="13" spans="1:15">
      <c r="A13" s="16" t="s">
        <v>19</v>
      </c>
      <c r="B13" s="78"/>
      <c r="C13" s="78"/>
      <c r="D13" s="84"/>
      <c r="E13" s="96"/>
      <c r="F13" s="97"/>
      <c r="G13" s="97"/>
      <c r="H13" s="97"/>
      <c r="I13" s="97"/>
      <c r="O13" s="51"/>
    </row>
    <row r="14" spans="1:15">
      <c r="A14" s="16"/>
      <c r="B14" s="78"/>
      <c r="C14" s="78"/>
      <c r="D14" s="84"/>
      <c r="E14" s="95"/>
      <c r="F14" s="26"/>
      <c r="G14" s="26"/>
      <c r="H14" s="26"/>
      <c r="I14" s="26"/>
      <c r="O14" s="51"/>
    </row>
    <row r="15" spans="1:15">
      <c r="A15" s="23" t="s">
        <v>20</v>
      </c>
      <c r="B15" s="37"/>
      <c r="C15" s="37"/>
      <c r="D15" s="93"/>
      <c r="E15" s="23" t="s">
        <v>21</v>
      </c>
      <c r="F15" s="37"/>
      <c r="G15" s="37"/>
      <c r="H15" s="37"/>
      <c r="I15" s="37"/>
      <c r="J15" s="37"/>
      <c r="K15" s="37"/>
      <c r="L15" s="37"/>
      <c r="M15" s="37"/>
      <c r="N15" s="110"/>
      <c r="O15" s="93"/>
    </row>
    <row r="16" spans="1:15">
      <c r="A16" s="32" t="s">
        <v>22</v>
      </c>
      <c r="B16" s="11"/>
      <c r="C16" s="11"/>
      <c r="D16" s="80"/>
      <c r="E16" s="16" t="s">
        <v>23</v>
      </c>
      <c r="O16" s="51"/>
    </row>
    <row r="17" spans="1:15">
      <c r="A17" s="33" t="s">
        <v>24</v>
      </c>
      <c r="B17" s="11"/>
      <c r="C17" s="11"/>
      <c r="D17" s="80"/>
      <c r="E17" s="16"/>
      <c r="O17" s="51"/>
    </row>
    <row r="18" spans="1:15">
      <c r="A18" s="10" t="s">
        <v>25</v>
      </c>
      <c r="B18" s="11"/>
      <c r="C18" s="11"/>
      <c r="D18" s="80"/>
      <c r="E18" s="16"/>
      <c r="O18" s="51"/>
    </row>
    <row r="19" spans="1:15">
      <c r="A19" s="34"/>
      <c r="B19" s="31"/>
      <c r="C19" s="31"/>
      <c r="D19" s="91"/>
      <c r="E19" s="92"/>
      <c r="F19" s="20"/>
      <c r="G19" s="20"/>
      <c r="H19" s="20"/>
      <c r="I19" s="31"/>
      <c r="O19" s="53"/>
    </row>
    <row r="20" spans="1:15">
      <c r="A20" s="23" t="s">
        <v>26</v>
      </c>
      <c r="B20" s="37"/>
      <c r="C20" s="23" t="s">
        <v>27</v>
      </c>
      <c r="D20" s="93"/>
      <c r="E20" s="98" t="s">
        <v>28</v>
      </c>
      <c r="F20" s="12"/>
      <c r="G20" s="12"/>
      <c r="H20" s="12"/>
      <c r="I20" s="26"/>
      <c r="J20" s="49"/>
      <c r="K20" s="49"/>
      <c r="L20" s="49"/>
      <c r="M20" s="49"/>
      <c r="N20" s="108"/>
      <c r="O20" s="51"/>
    </row>
    <row r="21" spans="1:15">
      <c r="A21" s="99"/>
      <c r="B21" s="30"/>
      <c r="C21" s="99"/>
      <c r="D21" s="91"/>
      <c r="E21" s="16" t="s">
        <v>29</v>
      </c>
      <c r="G21" s="26"/>
      <c r="H21" s="26"/>
      <c r="I21" s="26"/>
      <c r="O21" s="51"/>
    </row>
    <row r="22" spans="1:15">
      <c r="A22" s="23" t="s">
        <v>30</v>
      </c>
      <c r="B22" s="93"/>
      <c r="C22" s="100" t="s">
        <v>31</v>
      </c>
      <c r="D22" s="101"/>
      <c r="E22" s="16" t="s">
        <v>32</v>
      </c>
      <c r="G22" s="26"/>
      <c r="H22" s="26"/>
      <c r="I22" s="26"/>
      <c r="O22" s="51"/>
    </row>
    <row r="23" spans="1:15">
      <c r="A23" s="39"/>
      <c r="B23" s="102"/>
      <c r="C23" s="128"/>
      <c r="D23" s="129"/>
      <c r="E23" s="92" t="s">
        <v>33</v>
      </c>
      <c r="F23" s="20"/>
      <c r="G23" s="20"/>
      <c r="H23" s="20"/>
      <c r="I23" s="20"/>
      <c r="J23" s="30"/>
      <c r="O23" s="51"/>
    </row>
    <row r="24" spans="1:15">
      <c r="A24" s="43" t="s">
        <v>34</v>
      </c>
      <c r="B24" s="42" t="s">
        <v>35</v>
      </c>
      <c r="C24" s="42" t="s">
        <v>36</v>
      </c>
      <c r="D24" s="103" t="s">
        <v>37</v>
      </c>
      <c r="E24" s="42" t="s">
        <v>38</v>
      </c>
      <c r="F24" s="43" t="s">
        <v>39</v>
      </c>
      <c r="G24" s="42" t="s">
        <v>40</v>
      </c>
      <c r="H24" s="43" t="s">
        <v>41</v>
      </c>
      <c r="I24" s="42" t="s">
        <v>42</v>
      </c>
      <c r="J24" s="111" t="s">
        <v>43</v>
      </c>
      <c r="K24" s="111" t="s">
        <v>44</v>
      </c>
      <c r="L24" s="111" t="s">
        <v>45</v>
      </c>
      <c r="M24" s="111" t="s">
        <v>46</v>
      </c>
      <c r="N24" s="54" t="s">
        <v>47</v>
      </c>
      <c r="O24" s="112"/>
    </row>
    <row r="25" spans="1:15">
      <c r="A25" s="104" t="s">
        <v>48</v>
      </c>
      <c r="B25" s="104" t="s">
        <v>49</v>
      </c>
      <c r="C25" s="104" t="s">
        <v>50</v>
      </c>
      <c r="D25" s="104"/>
      <c r="E25" s="105">
        <v>4000</v>
      </c>
      <c r="F25" s="106" t="s">
        <v>51</v>
      </c>
      <c r="G25" s="107">
        <v>1.25E-3</v>
      </c>
      <c r="H25" s="104" t="s">
        <v>52</v>
      </c>
      <c r="I25" s="113">
        <f t="shared" ref="I25:I50" si="0">ROUND(E25*G25,2)</f>
        <v>5</v>
      </c>
      <c r="J25" s="104" t="s">
        <v>53</v>
      </c>
      <c r="K25" s="104"/>
      <c r="L25" s="104" t="s">
        <v>54</v>
      </c>
      <c r="M25" s="104" t="s">
        <v>55</v>
      </c>
      <c r="N25" s="104" t="s">
        <v>56</v>
      </c>
      <c r="O25" s="104"/>
    </row>
    <row r="26" spans="1:15">
      <c r="A26" s="104" t="s">
        <v>57</v>
      </c>
      <c r="B26" s="104" t="s">
        <v>58</v>
      </c>
      <c r="C26" s="104" t="s">
        <v>59</v>
      </c>
      <c r="D26" s="104"/>
      <c r="E26" s="105">
        <v>10000</v>
      </c>
      <c r="F26" s="106" t="s">
        <v>51</v>
      </c>
      <c r="G26" s="107">
        <v>1.1000000000000001E-3</v>
      </c>
      <c r="H26" s="104" t="s">
        <v>52</v>
      </c>
      <c r="I26" s="113">
        <f t="shared" si="0"/>
        <v>11</v>
      </c>
      <c r="J26" s="104" t="s">
        <v>53</v>
      </c>
      <c r="K26" s="104"/>
      <c r="L26" s="104" t="s">
        <v>54</v>
      </c>
      <c r="M26" s="104" t="s">
        <v>55</v>
      </c>
      <c r="N26" s="104" t="s">
        <v>60</v>
      </c>
      <c r="O26" s="104"/>
    </row>
    <row r="27" spans="1:15">
      <c r="A27" s="104" t="s">
        <v>61</v>
      </c>
      <c r="B27" s="104" t="s">
        <v>62</v>
      </c>
      <c r="C27" s="104" t="s">
        <v>63</v>
      </c>
      <c r="D27" s="104"/>
      <c r="E27" s="105">
        <v>4000</v>
      </c>
      <c r="F27" s="106" t="s">
        <v>51</v>
      </c>
      <c r="G27" s="107">
        <v>1.14E-3</v>
      </c>
      <c r="H27" s="104" t="s">
        <v>52</v>
      </c>
      <c r="I27" s="113">
        <f t="shared" si="0"/>
        <v>4.5599999999999996</v>
      </c>
      <c r="J27" s="104" t="s">
        <v>53</v>
      </c>
      <c r="K27" s="104"/>
      <c r="L27" s="104" t="s">
        <v>54</v>
      </c>
      <c r="M27" s="104" t="s">
        <v>55</v>
      </c>
      <c r="N27" s="104" t="s">
        <v>64</v>
      </c>
      <c r="O27" s="104"/>
    </row>
    <row r="28" spans="1:15">
      <c r="A28" s="104" t="s">
        <v>65</v>
      </c>
      <c r="B28" s="104" t="s">
        <v>66</v>
      </c>
      <c r="C28" s="104" t="s">
        <v>67</v>
      </c>
      <c r="D28" s="104"/>
      <c r="E28" s="105">
        <v>20000</v>
      </c>
      <c r="F28" s="106" t="s">
        <v>51</v>
      </c>
      <c r="G28" s="107">
        <v>6.8000000000000005E-4</v>
      </c>
      <c r="H28" s="104" t="s">
        <v>52</v>
      </c>
      <c r="I28" s="113">
        <f t="shared" si="0"/>
        <v>13.6</v>
      </c>
      <c r="J28" s="104" t="s">
        <v>53</v>
      </c>
      <c r="K28" s="104"/>
      <c r="L28" s="104" t="s">
        <v>54</v>
      </c>
      <c r="M28" s="104" t="s">
        <v>55</v>
      </c>
      <c r="N28" s="104" t="s">
        <v>68</v>
      </c>
      <c r="O28" s="104"/>
    </row>
    <row r="29" spans="1:15">
      <c r="A29" s="104" t="s">
        <v>69</v>
      </c>
      <c r="B29" s="104" t="s">
        <v>70</v>
      </c>
      <c r="C29" s="104" t="s">
        <v>71</v>
      </c>
      <c r="D29" s="104"/>
      <c r="E29" s="105">
        <v>8000</v>
      </c>
      <c r="F29" s="106" t="s">
        <v>51</v>
      </c>
      <c r="G29" s="107">
        <v>2.2000000000000001E-3</v>
      </c>
      <c r="H29" s="104" t="s">
        <v>52</v>
      </c>
      <c r="I29" s="113">
        <f t="shared" si="0"/>
        <v>17.600000000000001</v>
      </c>
      <c r="J29" s="104" t="s">
        <v>53</v>
      </c>
      <c r="K29" s="104"/>
      <c r="L29" s="104" t="s">
        <v>54</v>
      </c>
      <c r="M29" s="104" t="s">
        <v>55</v>
      </c>
      <c r="N29" s="104" t="s">
        <v>72</v>
      </c>
      <c r="O29" s="104"/>
    </row>
    <row r="30" spans="1:15">
      <c r="A30" s="104" t="s">
        <v>73</v>
      </c>
      <c r="B30" s="104" t="s">
        <v>70</v>
      </c>
      <c r="C30" s="104" t="s">
        <v>71</v>
      </c>
      <c r="D30" s="104"/>
      <c r="E30" s="105">
        <v>16000</v>
      </c>
      <c r="F30" s="106" t="s">
        <v>51</v>
      </c>
      <c r="G30" s="107">
        <v>2.2000000000000001E-3</v>
      </c>
      <c r="H30" s="104" t="s">
        <v>52</v>
      </c>
      <c r="I30" s="113">
        <f t="shared" si="0"/>
        <v>35.200000000000003</v>
      </c>
      <c r="J30" s="104" t="s">
        <v>53</v>
      </c>
      <c r="K30" s="104"/>
      <c r="L30" s="104" t="s">
        <v>54</v>
      </c>
      <c r="M30" s="104" t="s">
        <v>55</v>
      </c>
      <c r="N30" s="104" t="s">
        <v>72</v>
      </c>
      <c r="O30" s="104"/>
    </row>
    <row r="31" spans="1:15">
      <c r="A31" s="104" t="s">
        <v>74</v>
      </c>
      <c r="B31" s="104" t="s">
        <v>70</v>
      </c>
      <c r="C31" s="104" t="s">
        <v>75</v>
      </c>
      <c r="D31" s="104"/>
      <c r="E31" s="105">
        <v>44000</v>
      </c>
      <c r="F31" s="106" t="s">
        <v>51</v>
      </c>
      <c r="G31" s="107">
        <v>2.2000000000000001E-3</v>
      </c>
      <c r="H31" s="104" t="s">
        <v>52</v>
      </c>
      <c r="I31" s="113">
        <f t="shared" si="0"/>
        <v>96.8</v>
      </c>
      <c r="J31" s="104" t="s">
        <v>53</v>
      </c>
      <c r="K31" s="104"/>
      <c r="L31" s="104" t="s">
        <v>54</v>
      </c>
      <c r="M31" s="104" t="s">
        <v>55</v>
      </c>
      <c r="N31" s="104" t="s">
        <v>76</v>
      </c>
      <c r="O31" s="104"/>
    </row>
    <row r="32" spans="1:15">
      <c r="A32" s="104" t="s">
        <v>77</v>
      </c>
      <c r="B32" s="104" t="s">
        <v>70</v>
      </c>
      <c r="C32" s="104" t="s">
        <v>75</v>
      </c>
      <c r="D32" s="104"/>
      <c r="E32" s="105">
        <v>12000</v>
      </c>
      <c r="F32" s="106" t="s">
        <v>51</v>
      </c>
      <c r="G32" s="107">
        <v>2.2000000000000001E-3</v>
      </c>
      <c r="H32" s="104" t="s">
        <v>52</v>
      </c>
      <c r="I32" s="113">
        <f t="shared" si="0"/>
        <v>26.4</v>
      </c>
      <c r="J32" s="104" t="s">
        <v>53</v>
      </c>
      <c r="K32" s="104"/>
      <c r="L32" s="104" t="s">
        <v>54</v>
      </c>
      <c r="M32" s="104" t="s">
        <v>55</v>
      </c>
      <c r="N32" s="104" t="s">
        <v>76</v>
      </c>
      <c r="O32" s="104"/>
    </row>
    <row r="33" spans="1:15">
      <c r="A33" s="104" t="s">
        <v>78</v>
      </c>
      <c r="B33" s="104" t="s">
        <v>79</v>
      </c>
      <c r="C33" s="104" t="s">
        <v>71</v>
      </c>
      <c r="D33" s="104"/>
      <c r="E33" s="105">
        <v>16000</v>
      </c>
      <c r="F33" s="106" t="s">
        <v>51</v>
      </c>
      <c r="G33" s="107">
        <v>2.2000000000000001E-3</v>
      </c>
      <c r="H33" s="104" t="s">
        <v>52</v>
      </c>
      <c r="I33" s="113">
        <f t="shared" si="0"/>
        <v>35.200000000000003</v>
      </c>
      <c r="J33" s="104" t="s">
        <v>53</v>
      </c>
      <c r="K33" s="104"/>
      <c r="L33" s="104" t="s">
        <v>54</v>
      </c>
      <c r="M33" s="104" t="s">
        <v>55</v>
      </c>
      <c r="N33" s="104" t="s">
        <v>72</v>
      </c>
      <c r="O33" s="104"/>
    </row>
    <row r="34" spans="1:15">
      <c r="A34" s="104" t="s">
        <v>80</v>
      </c>
      <c r="B34" s="104" t="s">
        <v>81</v>
      </c>
      <c r="C34" s="104" t="s">
        <v>82</v>
      </c>
      <c r="D34" s="104"/>
      <c r="E34" s="105">
        <v>10000</v>
      </c>
      <c r="F34" s="106" t="s">
        <v>51</v>
      </c>
      <c r="G34" s="107">
        <v>8.5999999999999998E-4</v>
      </c>
      <c r="H34" s="104" t="s">
        <v>52</v>
      </c>
      <c r="I34" s="113">
        <f t="shared" si="0"/>
        <v>8.6</v>
      </c>
      <c r="J34" s="104" t="s">
        <v>53</v>
      </c>
      <c r="K34" s="104"/>
      <c r="L34" s="104" t="s">
        <v>54</v>
      </c>
      <c r="M34" s="104" t="s">
        <v>55</v>
      </c>
      <c r="N34" s="104" t="s">
        <v>83</v>
      </c>
      <c r="O34" s="104"/>
    </row>
    <row r="35" spans="1:15">
      <c r="A35" s="104" t="s">
        <v>84</v>
      </c>
      <c r="B35" s="104" t="s">
        <v>85</v>
      </c>
      <c r="C35" s="104" t="s">
        <v>50</v>
      </c>
      <c r="D35" s="104"/>
      <c r="E35" s="105">
        <v>12000</v>
      </c>
      <c r="F35" s="106" t="s">
        <v>51</v>
      </c>
      <c r="G35" s="107">
        <v>1.25E-3</v>
      </c>
      <c r="H35" s="104" t="s">
        <v>52</v>
      </c>
      <c r="I35" s="113">
        <f t="shared" si="0"/>
        <v>15</v>
      </c>
      <c r="J35" s="104" t="s">
        <v>53</v>
      </c>
      <c r="K35" s="104"/>
      <c r="L35" s="104" t="s">
        <v>54</v>
      </c>
      <c r="M35" s="104" t="s">
        <v>55</v>
      </c>
      <c r="N35" s="104" t="s">
        <v>56</v>
      </c>
      <c r="O35" s="104"/>
    </row>
    <row r="36" spans="1:15">
      <c r="A36" s="104" t="s">
        <v>86</v>
      </c>
      <c r="B36" s="104" t="s">
        <v>85</v>
      </c>
      <c r="C36" s="104" t="s">
        <v>59</v>
      </c>
      <c r="D36" s="104"/>
      <c r="E36" s="105">
        <v>30000</v>
      </c>
      <c r="F36" s="106" t="s">
        <v>51</v>
      </c>
      <c r="G36" s="107">
        <v>1.1000000000000001E-3</v>
      </c>
      <c r="H36" s="104" t="s">
        <v>52</v>
      </c>
      <c r="I36" s="113">
        <f t="shared" si="0"/>
        <v>33</v>
      </c>
      <c r="J36" s="104" t="s">
        <v>53</v>
      </c>
      <c r="K36" s="104"/>
      <c r="L36" s="104" t="s">
        <v>54</v>
      </c>
      <c r="M36" s="104" t="s">
        <v>55</v>
      </c>
      <c r="N36" s="104" t="s">
        <v>60</v>
      </c>
      <c r="O36" s="104"/>
    </row>
    <row r="37" spans="1:15">
      <c r="A37" s="104" t="s">
        <v>87</v>
      </c>
      <c r="B37" s="104" t="s">
        <v>88</v>
      </c>
      <c r="C37" s="104" t="s">
        <v>89</v>
      </c>
      <c r="D37" s="104"/>
      <c r="E37" s="105">
        <v>4000</v>
      </c>
      <c r="F37" s="106" t="s">
        <v>51</v>
      </c>
      <c r="G37" s="107">
        <v>2.7499999999999998E-3</v>
      </c>
      <c r="H37" s="104" t="s">
        <v>52</v>
      </c>
      <c r="I37" s="113">
        <f t="shared" si="0"/>
        <v>11</v>
      </c>
      <c r="J37" s="104" t="s">
        <v>53</v>
      </c>
      <c r="K37" s="104"/>
      <c r="L37" s="104" t="s">
        <v>54</v>
      </c>
      <c r="M37" s="104" t="s">
        <v>55</v>
      </c>
      <c r="N37" s="104" t="s">
        <v>90</v>
      </c>
      <c r="O37" s="104"/>
    </row>
    <row r="38" spans="1:15">
      <c r="A38" s="104" t="s">
        <v>91</v>
      </c>
      <c r="B38" s="104" t="s">
        <v>92</v>
      </c>
      <c r="C38" s="104" t="s">
        <v>93</v>
      </c>
      <c r="D38" s="104"/>
      <c r="E38" s="105">
        <v>10000</v>
      </c>
      <c r="F38" s="106" t="s">
        <v>51</v>
      </c>
      <c r="G38" s="107">
        <v>1.9E-3</v>
      </c>
      <c r="H38" s="104" t="s">
        <v>52</v>
      </c>
      <c r="I38" s="113">
        <f t="shared" si="0"/>
        <v>19</v>
      </c>
      <c r="J38" s="104" t="s">
        <v>53</v>
      </c>
      <c r="K38" s="104"/>
      <c r="L38" s="104" t="s">
        <v>54</v>
      </c>
      <c r="M38" s="104" t="s">
        <v>55</v>
      </c>
      <c r="N38" s="104" t="s">
        <v>94</v>
      </c>
      <c r="O38" s="104"/>
    </row>
    <row r="39" spans="1:15">
      <c r="A39" s="104" t="s">
        <v>95</v>
      </c>
      <c r="B39" s="104" t="s">
        <v>96</v>
      </c>
      <c r="C39" s="104" t="s">
        <v>71</v>
      </c>
      <c r="D39" s="104"/>
      <c r="E39" s="105">
        <v>12000</v>
      </c>
      <c r="F39" s="106" t="s">
        <v>51</v>
      </c>
      <c r="G39" s="107">
        <v>2.2000000000000001E-3</v>
      </c>
      <c r="H39" s="104" t="s">
        <v>52</v>
      </c>
      <c r="I39" s="113">
        <f t="shared" si="0"/>
        <v>26.4</v>
      </c>
      <c r="J39" s="104" t="s">
        <v>53</v>
      </c>
      <c r="K39" s="104"/>
      <c r="L39" s="104" t="s">
        <v>54</v>
      </c>
      <c r="M39" s="104" t="s">
        <v>55</v>
      </c>
      <c r="N39" s="104" t="s">
        <v>72</v>
      </c>
      <c r="O39" s="104"/>
    </row>
    <row r="40" spans="1:15">
      <c r="A40" s="104" t="s">
        <v>97</v>
      </c>
      <c r="B40" s="104" t="s">
        <v>96</v>
      </c>
      <c r="C40" s="104" t="s">
        <v>98</v>
      </c>
      <c r="D40" s="104"/>
      <c r="E40" s="105">
        <v>30000</v>
      </c>
      <c r="F40" s="106" t="s">
        <v>51</v>
      </c>
      <c r="G40" s="107">
        <v>6.6E-4</v>
      </c>
      <c r="H40" s="104" t="s">
        <v>52</v>
      </c>
      <c r="I40" s="113">
        <f t="shared" si="0"/>
        <v>19.8</v>
      </c>
      <c r="J40" s="104" t="s">
        <v>53</v>
      </c>
      <c r="K40" s="104"/>
      <c r="L40" s="104" t="s">
        <v>54</v>
      </c>
      <c r="M40" s="104" t="s">
        <v>55</v>
      </c>
      <c r="N40" s="104" t="s">
        <v>99</v>
      </c>
      <c r="O40" s="104"/>
    </row>
    <row r="41" spans="1:15">
      <c r="A41" s="104" t="s">
        <v>100</v>
      </c>
      <c r="B41" s="104" t="s">
        <v>101</v>
      </c>
      <c r="C41" s="104" t="s">
        <v>89</v>
      </c>
      <c r="D41" s="104"/>
      <c r="E41" s="105">
        <v>4000</v>
      </c>
      <c r="F41" s="106" t="s">
        <v>51</v>
      </c>
      <c r="G41" s="107">
        <v>2.7499999999999998E-3</v>
      </c>
      <c r="H41" s="104" t="s">
        <v>52</v>
      </c>
      <c r="I41" s="113">
        <f t="shared" si="0"/>
        <v>11</v>
      </c>
      <c r="J41" s="104" t="s">
        <v>53</v>
      </c>
      <c r="K41" s="104"/>
      <c r="L41" s="104" t="s">
        <v>54</v>
      </c>
      <c r="M41" s="104" t="s">
        <v>55</v>
      </c>
      <c r="N41" s="104" t="s">
        <v>90</v>
      </c>
      <c r="O41" s="104"/>
    </row>
    <row r="42" spans="1:15">
      <c r="A42" s="104" t="s">
        <v>102</v>
      </c>
      <c r="B42" s="104" t="s">
        <v>103</v>
      </c>
      <c r="C42" s="104" t="s">
        <v>89</v>
      </c>
      <c r="D42" s="104"/>
      <c r="E42" s="105">
        <v>32000</v>
      </c>
      <c r="F42" s="106" t="s">
        <v>51</v>
      </c>
      <c r="G42" s="107">
        <v>2.7499999999999998E-3</v>
      </c>
      <c r="H42" s="104" t="s">
        <v>52</v>
      </c>
      <c r="I42" s="113">
        <f t="shared" si="0"/>
        <v>88</v>
      </c>
      <c r="J42" s="104" t="s">
        <v>53</v>
      </c>
      <c r="K42" s="104"/>
      <c r="L42" s="104" t="s">
        <v>54</v>
      </c>
      <c r="M42" s="104" t="s">
        <v>55</v>
      </c>
      <c r="N42" s="104" t="s">
        <v>90</v>
      </c>
      <c r="O42" s="104"/>
    </row>
    <row r="43" spans="1:15">
      <c r="A43" s="104" t="s">
        <v>104</v>
      </c>
      <c r="B43" s="104" t="s">
        <v>105</v>
      </c>
      <c r="C43" s="104" t="s">
        <v>106</v>
      </c>
      <c r="D43" s="104"/>
      <c r="E43" s="105">
        <v>4000</v>
      </c>
      <c r="F43" s="106" t="s">
        <v>51</v>
      </c>
      <c r="G43" s="107">
        <v>1.8E-3</v>
      </c>
      <c r="H43" s="104" t="s">
        <v>52</v>
      </c>
      <c r="I43" s="113">
        <f t="shared" si="0"/>
        <v>7.2</v>
      </c>
      <c r="J43" s="104" t="s">
        <v>53</v>
      </c>
      <c r="K43" s="104"/>
      <c r="L43" s="104" t="s">
        <v>54</v>
      </c>
      <c r="M43" s="104" t="s">
        <v>55</v>
      </c>
      <c r="N43" s="104" t="s">
        <v>107</v>
      </c>
      <c r="O43" s="104"/>
    </row>
    <row r="44" spans="1:15">
      <c r="A44" s="104" t="s">
        <v>108</v>
      </c>
      <c r="B44" s="104" t="s">
        <v>109</v>
      </c>
      <c r="C44" s="104" t="s">
        <v>71</v>
      </c>
      <c r="D44" s="104"/>
      <c r="E44" s="105">
        <v>4000</v>
      </c>
      <c r="F44" s="106" t="s">
        <v>51</v>
      </c>
      <c r="G44" s="107">
        <v>2.2000000000000001E-3</v>
      </c>
      <c r="H44" s="104" t="s">
        <v>52</v>
      </c>
      <c r="I44" s="113">
        <f t="shared" si="0"/>
        <v>8.8000000000000007</v>
      </c>
      <c r="J44" s="104" t="s">
        <v>53</v>
      </c>
      <c r="K44" s="104"/>
      <c r="L44" s="104" t="s">
        <v>54</v>
      </c>
      <c r="M44" s="104" t="s">
        <v>55</v>
      </c>
      <c r="N44" s="104" t="s">
        <v>72</v>
      </c>
      <c r="O44" s="104"/>
    </row>
    <row r="45" spans="1:15">
      <c r="A45" s="104" t="s">
        <v>110</v>
      </c>
      <c r="B45" s="104" t="s">
        <v>109</v>
      </c>
      <c r="C45" s="104" t="s">
        <v>98</v>
      </c>
      <c r="D45" s="104"/>
      <c r="E45" s="105">
        <v>40000</v>
      </c>
      <c r="F45" s="106" t="s">
        <v>51</v>
      </c>
      <c r="G45" s="107">
        <v>6.6E-4</v>
      </c>
      <c r="H45" s="104" t="s">
        <v>52</v>
      </c>
      <c r="I45" s="113">
        <f t="shared" si="0"/>
        <v>26.4</v>
      </c>
      <c r="J45" s="104" t="s">
        <v>53</v>
      </c>
      <c r="K45" s="104"/>
      <c r="L45" s="104" t="s">
        <v>54</v>
      </c>
      <c r="M45" s="104" t="s">
        <v>55</v>
      </c>
      <c r="N45" s="104" t="s">
        <v>99</v>
      </c>
      <c r="O45" s="104"/>
    </row>
    <row r="46" spans="1:15">
      <c r="A46" s="104" t="s">
        <v>111</v>
      </c>
      <c r="B46" s="104" t="s">
        <v>112</v>
      </c>
      <c r="C46" s="104" t="s">
        <v>71</v>
      </c>
      <c r="D46" s="104"/>
      <c r="E46" s="105">
        <v>12000</v>
      </c>
      <c r="F46" s="106" t="s">
        <v>51</v>
      </c>
      <c r="G46" s="107">
        <v>2.2000000000000001E-3</v>
      </c>
      <c r="H46" s="104" t="s">
        <v>52</v>
      </c>
      <c r="I46" s="113">
        <f t="shared" si="0"/>
        <v>26.4</v>
      </c>
      <c r="J46" s="104" t="s">
        <v>53</v>
      </c>
      <c r="K46" s="104"/>
      <c r="L46" s="104" t="s">
        <v>54</v>
      </c>
      <c r="M46" s="104" t="s">
        <v>55</v>
      </c>
      <c r="N46" s="104" t="s">
        <v>72</v>
      </c>
      <c r="O46" s="104"/>
    </row>
    <row r="47" spans="1:15">
      <c r="A47" s="104" t="s">
        <v>113</v>
      </c>
      <c r="B47" s="104" t="s">
        <v>112</v>
      </c>
      <c r="C47" s="104" t="s">
        <v>98</v>
      </c>
      <c r="D47" s="104"/>
      <c r="E47" s="105">
        <v>50000</v>
      </c>
      <c r="F47" s="106" t="s">
        <v>51</v>
      </c>
      <c r="G47" s="107">
        <v>6.6E-4</v>
      </c>
      <c r="H47" s="104" t="s">
        <v>52</v>
      </c>
      <c r="I47" s="113">
        <f t="shared" si="0"/>
        <v>33</v>
      </c>
      <c r="J47" s="104" t="s">
        <v>53</v>
      </c>
      <c r="K47" s="104"/>
      <c r="L47" s="104" t="s">
        <v>54</v>
      </c>
      <c r="M47" s="104" t="s">
        <v>55</v>
      </c>
      <c r="N47" s="104" t="s">
        <v>99</v>
      </c>
      <c r="O47" s="104"/>
    </row>
    <row r="48" spans="1:15">
      <c r="A48" s="104" t="s">
        <v>114</v>
      </c>
      <c r="B48" s="104" t="s">
        <v>112</v>
      </c>
      <c r="C48" s="104" t="s">
        <v>98</v>
      </c>
      <c r="D48" s="104"/>
      <c r="E48" s="105">
        <v>110000</v>
      </c>
      <c r="F48" s="106" t="s">
        <v>51</v>
      </c>
      <c r="G48" s="107">
        <v>6.6E-4</v>
      </c>
      <c r="H48" s="104" t="s">
        <v>52</v>
      </c>
      <c r="I48" s="113">
        <f t="shared" si="0"/>
        <v>72.599999999999994</v>
      </c>
      <c r="J48" s="104" t="s">
        <v>53</v>
      </c>
      <c r="K48" s="104"/>
      <c r="L48" s="104" t="s">
        <v>54</v>
      </c>
      <c r="M48" s="104" t="s">
        <v>55</v>
      </c>
      <c r="N48" s="104" t="s">
        <v>99</v>
      </c>
      <c r="O48" s="104"/>
    </row>
    <row r="49" spans="1:15">
      <c r="A49" s="104" t="s">
        <v>115</v>
      </c>
      <c r="B49" s="104" t="s">
        <v>112</v>
      </c>
      <c r="C49" s="104" t="s">
        <v>93</v>
      </c>
      <c r="D49" s="104"/>
      <c r="E49" s="105">
        <v>40000</v>
      </c>
      <c r="F49" s="106" t="s">
        <v>51</v>
      </c>
      <c r="G49" s="107">
        <v>1.9E-3</v>
      </c>
      <c r="H49" s="104" t="s">
        <v>52</v>
      </c>
      <c r="I49" s="113">
        <f t="shared" si="0"/>
        <v>76</v>
      </c>
      <c r="J49" s="104" t="s">
        <v>53</v>
      </c>
      <c r="K49" s="104"/>
      <c r="L49" s="104" t="s">
        <v>54</v>
      </c>
      <c r="M49" s="104" t="s">
        <v>55</v>
      </c>
      <c r="N49" s="104" t="s">
        <v>94</v>
      </c>
      <c r="O49" s="104"/>
    </row>
    <row r="50" spans="1:15">
      <c r="A50" s="104" t="s">
        <v>116</v>
      </c>
      <c r="B50" s="104" t="s">
        <v>117</v>
      </c>
      <c r="C50" s="104" t="s">
        <v>98</v>
      </c>
      <c r="D50" s="104"/>
      <c r="E50" s="105">
        <v>10000</v>
      </c>
      <c r="F50" s="106" t="s">
        <v>51</v>
      </c>
      <c r="G50" s="107">
        <v>6.6E-4</v>
      </c>
      <c r="H50" s="104" t="s">
        <v>52</v>
      </c>
      <c r="I50" s="113">
        <f t="shared" si="0"/>
        <v>6.6</v>
      </c>
      <c r="J50" s="104" t="s">
        <v>53</v>
      </c>
      <c r="K50" s="104"/>
      <c r="L50" s="104" t="s">
        <v>54</v>
      </c>
      <c r="M50" s="104" t="s">
        <v>55</v>
      </c>
      <c r="N50" s="104" t="s">
        <v>99</v>
      </c>
      <c r="O50" s="104"/>
    </row>
    <row r="51" spans="1:15">
      <c r="A51" s="104" t="s">
        <v>118</v>
      </c>
      <c r="B51" s="104" t="s">
        <v>117</v>
      </c>
      <c r="C51" s="104" t="s">
        <v>98</v>
      </c>
      <c r="D51" s="104"/>
      <c r="E51" s="105">
        <v>70000</v>
      </c>
      <c r="F51" s="106" t="s">
        <v>51</v>
      </c>
      <c r="G51" s="107">
        <v>6.6E-4</v>
      </c>
      <c r="H51" s="104" t="s">
        <v>52</v>
      </c>
      <c r="I51" s="113">
        <f t="shared" ref="I51:I52" si="1">ROUND(E51*G51,2)</f>
        <v>46.2</v>
      </c>
      <c r="J51" s="104" t="s">
        <v>53</v>
      </c>
      <c r="K51" s="104"/>
      <c r="L51" s="104" t="s">
        <v>54</v>
      </c>
      <c r="M51" s="104" t="s">
        <v>55</v>
      </c>
      <c r="N51" s="104" t="s">
        <v>99</v>
      </c>
      <c r="O51" s="104"/>
    </row>
    <row r="52" spans="1:15">
      <c r="A52" s="104" t="s">
        <v>119</v>
      </c>
      <c r="B52" s="104" t="s">
        <v>120</v>
      </c>
      <c r="C52" s="104" t="s">
        <v>121</v>
      </c>
      <c r="D52" s="104"/>
      <c r="E52" s="105">
        <v>20000</v>
      </c>
      <c r="F52" s="106" t="s">
        <v>51</v>
      </c>
      <c r="G52" s="107">
        <v>7.2999999999999996E-4</v>
      </c>
      <c r="H52" s="104" t="s">
        <v>52</v>
      </c>
      <c r="I52" s="113">
        <f t="shared" si="1"/>
        <v>14.6</v>
      </c>
      <c r="J52" s="104" t="s">
        <v>53</v>
      </c>
      <c r="K52" s="104"/>
      <c r="L52" s="104" t="s">
        <v>54</v>
      </c>
      <c r="M52" s="104" t="s">
        <v>55</v>
      </c>
      <c r="N52" s="104" t="s">
        <v>122</v>
      </c>
      <c r="O52" s="104"/>
    </row>
    <row r="53" spans="1:15">
      <c r="A53" s="104" t="s">
        <v>123</v>
      </c>
      <c r="B53" s="104" t="s">
        <v>124</v>
      </c>
      <c r="C53" s="104" t="s">
        <v>125</v>
      </c>
      <c r="D53" s="104"/>
      <c r="E53" s="105">
        <v>15000</v>
      </c>
      <c r="F53" s="106" t="s">
        <v>51</v>
      </c>
      <c r="G53" s="107">
        <v>2.8000000000000001E-2</v>
      </c>
      <c r="H53" s="104" t="s">
        <v>52</v>
      </c>
      <c r="I53" s="113">
        <f t="shared" ref="I53:I85" si="2">ROUND(E53*G53,2)</f>
        <v>420</v>
      </c>
      <c r="J53" s="104" t="s">
        <v>53</v>
      </c>
      <c r="K53" s="104"/>
      <c r="L53" s="104" t="s">
        <v>54</v>
      </c>
      <c r="M53" s="104" t="s">
        <v>55</v>
      </c>
      <c r="N53" s="104" t="s">
        <v>126</v>
      </c>
      <c r="O53" s="104"/>
    </row>
    <row r="54" spans="1:15">
      <c r="A54" s="104" t="s">
        <v>127</v>
      </c>
      <c r="B54" s="104" t="s">
        <v>124</v>
      </c>
      <c r="C54" s="104" t="s">
        <v>128</v>
      </c>
      <c r="D54" s="104"/>
      <c r="E54" s="105">
        <v>2000</v>
      </c>
      <c r="F54" s="106" t="s">
        <v>51</v>
      </c>
      <c r="G54" s="107">
        <v>9.2999999999999992E-3</v>
      </c>
      <c r="H54" s="104" t="s">
        <v>52</v>
      </c>
      <c r="I54" s="113">
        <f t="shared" si="2"/>
        <v>18.600000000000001</v>
      </c>
      <c r="J54" s="104" t="s">
        <v>53</v>
      </c>
      <c r="K54" s="104"/>
      <c r="L54" s="104" t="s">
        <v>54</v>
      </c>
      <c r="M54" s="104" t="s">
        <v>55</v>
      </c>
      <c r="N54" s="104" t="s">
        <v>129</v>
      </c>
      <c r="O54" s="104"/>
    </row>
    <row r="55" spans="1:15">
      <c r="A55" s="104" t="s">
        <v>130</v>
      </c>
      <c r="B55" s="104" t="s">
        <v>131</v>
      </c>
      <c r="C55" s="104" t="s">
        <v>121</v>
      </c>
      <c r="D55" s="104"/>
      <c r="E55" s="105">
        <v>70000</v>
      </c>
      <c r="F55" s="106" t="s">
        <v>51</v>
      </c>
      <c r="G55" s="107">
        <v>7.2999999999999996E-4</v>
      </c>
      <c r="H55" s="104" t="s">
        <v>52</v>
      </c>
      <c r="I55" s="113">
        <f t="shared" si="2"/>
        <v>51.1</v>
      </c>
      <c r="J55" s="104" t="s">
        <v>53</v>
      </c>
      <c r="K55" s="104"/>
      <c r="L55" s="104" t="s">
        <v>54</v>
      </c>
      <c r="M55" s="104" t="s">
        <v>55</v>
      </c>
      <c r="N55" s="104" t="s">
        <v>122</v>
      </c>
      <c r="O55" s="104"/>
    </row>
    <row r="56" spans="1:15">
      <c r="A56" s="104" t="s">
        <v>132</v>
      </c>
      <c r="B56" s="104" t="s">
        <v>133</v>
      </c>
      <c r="C56" s="104" t="s">
        <v>134</v>
      </c>
      <c r="D56" s="104"/>
      <c r="E56" s="105">
        <v>10000</v>
      </c>
      <c r="F56" s="106" t="s">
        <v>51</v>
      </c>
      <c r="G56" s="107">
        <v>8.0000000000000004E-4</v>
      </c>
      <c r="H56" s="104" t="s">
        <v>52</v>
      </c>
      <c r="I56" s="113">
        <f t="shared" si="2"/>
        <v>8</v>
      </c>
      <c r="J56" s="104" t="s">
        <v>53</v>
      </c>
      <c r="K56" s="104"/>
      <c r="L56" s="104" t="s">
        <v>54</v>
      </c>
      <c r="M56" s="104" t="s">
        <v>55</v>
      </c>
      <c r="N56" s="104" t="s">
        <v>135</v>
      </c>
      <c r="O56" s="104"/>
    </row>
    <row r="57" spans="1:15">
      <c r="A57" s="104" t="s">
        <v>136</v>
      </c>
      <c r="B57" s="104" t="s">
        <v>133</v>
      </c>
      <c r="C57" s="104" t="s">
        <v>134</v>
      </c>
      <c r="D57" s="104"/>
      <c r="E57" s="105">
        <v>10000</v>
      </c>
      <c r="F57" s="106" t="s">
        <v>51</v>
      </c>
      <c r="G57" s="107">
        <v>8.0000000000000004E-4</v>
      </c>
      <c r="H57" s="104" t="s">
        <v>52</v>
      </c>
      <c r="I57" s="113">
        <f t="shared" si="2"/>
        <v>8</v>
      </c>
      <c r="J57" s="104" t="s">
        <v>53</v>
      </c>
      <c r="K57" s="104"/>
      <c r="L57" s="104" t="s">
        <v>54</v>
      </c>
      <c r="M57" s="104" t="s">
        <v>55</v>
      </c>
      <c r="N57" s="104" t="s">
        <v>135</v>
      </c>
      <c r="O57" s="104"/>
    </row>
    <row r="58" spans="1:15">
      <c r="A58" s="104" t="s">
        <v>137</v>
      </c>
      <c r="B58" s="104" t="s">
        <v>133</v>
      </c>
      <c r="C58" s="104" t="s">
        <v>121</v>
      </c>
      <c r="D58" s="104"/>
      <c r="E58" s="105">
        <v>180000</v>
      </c>
      <c r="F58" s="106" t="s">
        <v>51</v>
      </c>
      <c r="G58" s="107">
        <v>7.2999999999999996E-4</v>
      </c>
      <c r="H58" s="104" t="s">
        <v>52</v>
      </c>
      <c r="I58" s="113">
        <f t="shared" si="2"/>
        <v>131.4</v>
      </c>
      <c r="J58" s="104" t="s">
        <v>53</v>
      </c>
      <c r="K58" s="104"/>
      <c r="L58" s="104" t="s">
        <v>54</v>
      </c>
      <c r="M58" s="104" t="s">
        <v>55</v>
      </c>
      <c r="N58" s="104" t="s">
        <v>122</v>
      </c>
      <c r="O58" s="104"/>
    </row>
    <row r="59" spans="1:15">
      <c r="A59" s="104" t="s">
        <v>138</v>
      </c>
      <c r="B59" s="104" t="s">
        <v>133</v>
      </c>
      <c r="C59" s="104" t="s">
        <v>121</v>
      </c>
      <c r="D59" s="104"/>
      <c r="E59" s="105">
        <v>230000</v>
      </c>
      <c r="F59" s="106" t="s">
        <v>51</v>
      </c>
      <c r="G59" s="107">
        <v>7.2999999999999996E-4</v>
      </c>
      <c r="H59" s="104" t="s">
        <v>52</v>
      </c>
      <c r="I59" s="113">
        <f t="shared" si="2"/>
        <v>167.9</v>
      </c>
      <c r="J59" s="104" t="s">
        <v>53</v>
      </c>
      <c r="K59" s="104"/>
      <c r="L59" s="104" t="s">
        <v>54</v>
      </c>
      <c r="M59" s="104" t="s">
        <v>55</v>
      </c>
      <c r="N59" s="104" t="s">
        <v>122</v>
      </c>
      <c r="O59" s="104"/>
    </row>
    <row r="60" spans="1:15">
      <c r="A60" s="104" t="s">
        <v>139</v>
      </c>
      <c r="B60" s="104" t="s">
        <v>133</v>
      </c>
      <c r="C60" s="104" t="s">
        <v>106</v>
      </c>
      <c r="D60" s="104"/>
      <c r="E60" s="105">
        <v>12000</v>
      </c>
      <c r="F60" s="106" t="s">
        <v>51</v>
      </c>
      <c r="G60" s="107">
        <v>1.8E-3</v>
      </c>
      <c r="H60" s="104" t="s">
        <v>52</v>
      </c>
      <c r="I60" s="113">
        <f t="shared" si="2"/>
        <v>21.6</v>
      </c>
      <c r="J60" s="104" t="s">
        <v>53</v>
      </c>
      <c r="K60" s="104"/>
      <c r="L60" s="104" t="s">
        <v>54</v>
      </c>
      <c r="M60" s="104" t="s">
        <v>55</v>
      </c>
      <c r="N60" s="104" t="s">
        <v>107</v>
      </c>
      <c r="O60" s="104"/>
    </row>
    <row r="61" spans="1:15">
      <c r="A61" s="104" t="s">
        <v>140</v>
      </c>
      <c r="B61" s="104" t="s">
        <v>141</v>
      </c>
      <c r="C61" s="104" t="s">
        <v>142</v>
      </c>
      <c r="D61" s="104"/>
      <c r="E61" s="105">
        <v>56000</v>
      </c>
      <c r="F61" s="106" t="s">
        <v>51</v>
      </c>
      <c r="G61" s="107">
        <v>1.1999999999999999E-3</v>
      </c>
      <c r="H61" s="104" t="s">
        <v>52</v>
      </c>
      <c r="I61" s="113">
        <f t="shared" si="2"/>
        <v>67.2</v>
      </c>
      <c r="J61" s="104" t="s">
        <v>53</v>
      </c>
      <c r="K61" s="104"/>
      <c r="L61" s="104" t="s">
        <v>54</v>
      </c>
      <c r="M61" s="104" t="s">
        <v>55</v>
      </c>
      <c r="N61" s="104" t="s">
        <v>143</v>
      </c>
      <c r="O61" s="104"/>
    </row>
    <row r="62" spans="1:15">
      <c r="A62" s="104" t="s">
        <v>144</v>
      </c>
      <c r="B62" s="104" t="s">
        <v>141</v>
      </c>
      <c r="C62" s="104" t="s">
        <v>142</v>
      </c>
      <c r="D62" s="104"/>
      <c r="E62" s="105">
        <v>24000</v>
      </c>
      <c r="F62" s="106" t="s">
        <v>51</v>
      </c>
      <c r="G62" s="107">
        <v>1.1999999999999999E-3</v>
      </c>
      <c r="H62" s="104" t="s">
        <v>52</v>
      </c>
      <c r="I62" s="113">
        <f t="shared" si="2"/>
        <v>28.8</v>
      </c>
      <c r="J62" s="104" t="s">
        <v>53</v>
      </c>
      <c r="K62" s="104"/>
      <c r="L62" s="104" t="s">
        <v>54</v>
      </c>
      <c r="M62" s="104" t="s">
        <v>55</v>
      </c>
      <c r="N62" s="104" t="s">
        <v>143</v>
      </c>
      <c r="O62" s="104"/>
    </row>
    <row r="63" spans="1:15">
      <c r="A63" s="104" t="s">
        <v>145</v>
      </c>
      <c r="B63" s="104" t="s">
        <v>141</v>
      </c>
      <c r="C63" s="104" t="s">
        <v>121</v>
      </c>
      <c r="D63" s="104"/>
      <c r="E63" s="105">
        <v>580000</v>
      </c>
      <c r="F63" s="106" t="s">
        <v>51</v>
      </c>
      <c r="G63" s="107">
        <v>7.2999999999999996E-4</v>
      </c>
      <c r="H63" s="104" t="s">
        <v>52</v>
      </c>
      <c r="I63" s="113">
        <f t="shared" si="2"/>
        <v>423.4</v>
      </c>
      <c r="J63" s="104" t="s">
        <v>53</v>
      </c>
      <c r="K63" s="104"/>
      <c r="L63" s="104" t="s">
        <v>54</v>
      </c>
      <c r="M63" s="104" t="s">
        <v>55</v>
      </c>
      <c r="N63" s="104" t="s">
        <v>122</v>
      </c>
      <c r="O63" s="104"/>
    </row>
    <row r="64" spans="1:15">
      <c r="A64" s="104" t="s">
        <v>146</v>
      </c>
      <c r="B64" s="104" t="s">
        <v>141</v>
      </c>
      <c r="C64" s="104" t="s">
        <v>125</v>
      </c>
      <c r="D64" s="104"/>
      <c r="E64" s="105">
        <v>1000</v>
      </c>
      <c r="F64" s="106" t="s">
        <v>51</v>
      </c>
      <c r="G64" s="107">
        <v>2.8000000000000001E-2</v>
      </c>
      <c r="H64" s="104" t="s">
        <v>52</v>
      </c>
      <c r="I64" s="113">
        <f t="shared" si="2"/>
        <v>28</v>
      </c>
      <c r="J64" s="104" t="s">
        <v>53</v>
      </c>
      <c r="K64" s="104"/>
      <c r="L64" s="104" t="s">
        <v>54</v>
      </c>
      <c r="M64" s="104" t="s">
        <v>55</v>
      </c>
      <c r="N64" s="104" t="s">
        <v>126</v>
      </c>
      <c r="O64" s="104"/>
    </row>
    <row r="65" spans="1:15">
      <c r="A65" s="104" t="s">
        <v>147</v>
      </c>
      <c r="B65" s="104" t="s">
        <v>141</v>
      </c>
      <c r="C65" s="104" t="s">
        <v>148</v>
      </c>
      <c r="D65" s="104"/>
      <c r="E65" s="105">
        <v>10000</v>
      </c>
      <c r="F65" s="106" t="s">
        <v>51</v>
      </c>
      <c r="G65" s="107">
        <v>7.2999999999999996E-4</v>
      </c>
      <c r="H65" s="104" t="s">
        <v>52</v>
      </c>
      <c r="I65" s="113">
        <f t="shared" si="2"/>
        <v>7.3</v>
      </c>
      <c r="J65" s="104" t="s">
        <v>53</v>
      </c>
      <c r="K65" s="104"/>
      <c r="L65" s="104" t="s">
        <v>54</v>
      </c>
      <c r="M65" s="104" t="s">
        <v>55</v>
      </c>
      <c r="N65" s="104" t="s">
        <v>149</v>
      </c>
      <c r="O65" s="104"/>
    </row>
    <row r="66" spans="1:15">
      <c r="A66" s="104" t="s">
        <v>150</v>
      </c>
      <c r="B66" s="104" t="s">
        <v>151</v>
      </c>
      <c r="C66" s="104" t="s">
        <v>142</v>
      </c>
      <c r="D66" s="104"/>
      <c r="E66" s="105">
        <v>8000</v>
      </c>
      <c r="F66" s="106" t="s">
        <v>51</v>
      </c>
      <c r="G66" s="107">
        <v>1.1999999999999999E-3</v>
      </c>
      <c r="H66" s="104" t="s">
        <v>52</v>
      </c>
      <c r="I66" s="113">
        <f t="shared" si="2"/>
        <v>9.6</v>
      </c>
      <c r="J66" s="104" t="s">
        <v>53</v>
      </c>
      <c r="K66" s="104"/>
      <c r="L66" s="104" t="s">
        <v>54</v>
      </c>
      <c r="M66" s="104" t="s">
        <v>55</v>
      </c>
      <c r="N66" s="104" t="s">
        <v>143</v>
      </c>
      <c r="O66" s="104"/>
    </row>
    <row r="67" spans="1:15">
      <c r="A67" s="104" t="s">
        <v>152</v>
      </c>
      <c r="B67" s="104" t="s">
        <v>151</v>
      </c>
      <c r="C67" s="104" t="s">
        <v>121</v>
      </c>
      <c r="D67" s="104"/>
      <c r="E67" s="105">
        <v>280000</v>
      </c>
      <c r="F67" s="106" t="s">
        <v>51</v>
      </c>
      <c r="G67" s="107">
        <v>7.2999999999999996E-4</v>
      </c>
      <c r="H67" s="104" t="s">
        <v>52</v>
      </c>
      <c r="I67" s="113">
        <f t="shared" si="2"/>
        <v>204.4</v>
      </c>
      <c r="J67" s="104" t="s">
        <v>53</v>
      </c>
      <c r="K67" s="104"/>
      <c r="L67" s="104" t="s">
        <v>54</v>
      </c>
      <c r="M67" s="104" t="s">
        <v>55</v>
      </c>
      <c r="N67" s="104" t="s">
        <v>122</v>
      </c>
      <c r="O67" s="104"/>
    </row>
    <row r="68" spans="1:15">
      <c r="A68" s="104" t="s">
        <v>153</v>
      </c>
      <c r="B68" s="104" t="s">
        <v>154</v>
      </c>
      <c r="C68" s="104" t="s">
        <v>142</v>
      </c>
      <c r="D68" s="104"/>
      <c r="E68" s="105">
        <v>60000</v>
      </c>
      <c r="F68" s="106" t="s">
        <v>51</v>
      </c>
      <c r="G68" s="107">
        <v>1.1999999999999999E-3</v>
      </c>
      <c r="H68" s="104" t="s">
        <v>52</v>
      </c>
      <c r="I68" s="113">
        <f t="shared" si="2"/>
        <v>72</v>
      </c>
      <c r="J68" s="104" t="s">
        <v>53</v>
      </c>
      <c r="K68" s="104"/>
      <c r="L68" s="104" t="s">
        <v>54</v>
      </c>
      <c r="M68" s="104" t="s">
        <v>55</v>
      </c>
      <c r="N68" s="104" t="s">
        <v>143</v>
      </c>
      <c r="O68" s="104"/>
    </row>
    <row r="69" spans="1:15">
      <c r="A69" s="104" t="s">
        <v>155</v>
      </c>
      <c r="B69" s="104" t="s">
        <v>154</v>
      </c>
      <c r="C69" s="104" t="s">
        <v>142</v>
      </c>
      <c r="D69" s="104"/>
      <c r="E69" s="105">
        <v>12000</v>
      </c>
      <c r="F69" s="106" t="s">
        <v>51</v>
      </c>
      <c r="G69" s="107">
        <v>1.1999999999999999E-3</v>
      </c>
      <c r="H69" s="104" t="s">
        <v>52</v>
      </c>
      <c r="I69" s="113">
        <f t="shared" si="2"/>
        <v>14.4</v>
      </c>
      <c r="J69" s="104" t="s">
        <v>53</v>
      </c>
      <c r="K69" s="104"/>
      <c r="L69" s="104" t="s">
        <v>54</v>
      </c>
      <c r="M69" s="104" t="s">
        <v>55</v>
      </c>
      <c r="N69" s="104" t="s">
        <v>143</v>
      </c>
      <c r="O69" s="104"/>
    </row>
    <row r="70" spans="1:15">
      <c r="A70" s="104" t="s">
        <v>156</v>
      </c>
      <c r="B70" s="104" t="s">
        <v>154</v>
      </c>
      <c r="C70" s="104" t="s">
        <v>142</v>
      </c>
      <c r="D70" s="104"/>
      <c r="E70" s="105">
        <v>24000</v>
      </c>
      <c r="F70" s="106" t="s">
        <v>51</v>
      </c>
      <c r="G70" s="107">
        <v>1.1999999999999999E-3</v>
      </c>
      <c r="H70" s="104" t="s">
        <v>52</v>
      </c>
      <c r="I70" s="113">
        <f t="shared" si="2"/>
        <v>28.8</v>
      </c>
      <c r="J70" s="104" t="s">
        <v>53</v>
      </c>
      <c r="K70" s="104"/>
      <c r="L70" s="104" t="s">
        <v>54</v>
      </c>
      <c r="M70" s="104" t="s">
        <v>55</v>
      </c>
      <c r="N70" s="104" t="s">
        <v>143</v>
      </c>
      <c r="O70" s="104"/>
    </row>
    <row r="71" spans="1:15">
      <c r="A71" s="104" t="s">
        <v>157</v>
      </c>
      <c r="B71" s="104" t="s">
        <v>154</v>
      </c>
      <c r="C71" s="104" t="s">
        <v>106</v>
      </c>
      <c r="D71" s="104"/>
      <c r="E71" s="105">
        <v>4000</v>
      </c>
      <c r="F71" s="106" t="s">
        <v>51</v>
      </c>
      <c r="G71" s="107">
        <v>1.8E-3</v>
      </c>
      <c r="H71" s="104" t="s">
        <v>52</v>
      </c>
      <c r="I71" s="113">
        <f t="shared" si="2"/>
        <v>7.2</v>
      </c>
      <c r="J71" s="104" t="s">
        <v>53</v>
      </c>
      <c r="K71" s="104"/>
      <c r="L71" s="104" t="s">
        <v>54</v>
      </c>
      <c r="M71" s="104" t="s">
        <v>55</v>
      </c>
      <c r="N71" s="104" t="s">
        <v>107</v>
      </c>
      <c r="O71" s="104"/>
    </row>
    <row r="72" spans="1:15">
      <c r="A72" s="104" t="s">
        <v>158</v>
      </c>
      <c r="B72" s="104" t="s">
        <v>159</v>
      </c>
      <c r="C72" s="104" t="s">
        <v>125</v>
      </c>
      <c r="D72" s="104"/>
      <c r="E72" s="105">
        <v>2000</v>
      </c>
      <c r="F72" s="106" t="s">
        <v>51</v>
      </c>
      <c r="G72" s="107">
        <v>2.8000000000000001E-2</v>
      </c>
      <c r="H72" s="104" t="s">
        <v>52</v>
      </c>
      <c r="I72" s="113">
        <f t="shared" si="2"/>
        <v>56</v>
      </c>
      <c r="J72" s="104" t="s">
        <v>53</v>
      </c>
      <c r="K72" s="104"/>
      <c r="L72" s="104" t="s">
        <v>54</v>
      </c>
      <c r="M72" s="104" t="s">
        <v>55</v>
      </c>
      <c r="N72" s="104" t="s">
        <v>126</v>
      </c>
      <c r="O72" s="104"/>
    </row>
    <row r="73" spans="1:15">
      <c r="A73" s="104" t="s">
        <v>160</v>
      </c>
      <c r="B73" s="104" t="s">
        <v>161</v>
      </c>
      <c r="C73" s="104" t="s">
        <v>142</v>
      </c>
      <c r="D73" s="104"/>
      <c r="E73" s="105">
        <v>20000</v>
      </c>
      <c r="F73" s="106" t="s">
        <v>51</v>
      </c>
      <c r="G73" s="107">
        <v>1.1999999999999999E-3</v>
      </c>
      <c r="H73" s="104" t="s">
        <v>52</v>
      </c>
      <c r="I73" s="113">
        <f t="shared" si="2"/>
        <v>24</v>
      </c>
      <c r="J73" s="104" t="s">
        <v>53</v>
      </c>
      <c r="K73" s="104"/>
      <c r="L73" s="104" t="s">
        <v>54</v>
      </c>
      <c r="M73" s="104" t="s">
        <v>55</v>
      </c>
      <c r="N73" s="104" t="s">
        <v>143</v>
      </c>
      <c r="O73" s="104"/>
    </row>
    <row r="74" spans="1:15">
      <c r="A74" s="104" t="s">
        <v>162</v>
      </c>
      <c r="B74" s="104" t="s">
        <v>163</v>
      </c>
      <c r="C74" s="104" t="s">
        <v>128</v>
      </c>
      <c r="D74" s="104"/>
      <c r="E74" s="105">
        <v>16000</v>
      </c>
      <c r="F74" s="106" t="s">
        <v>51</v>
      </c>
      <c r="G74" s="107">
        <v>9.2999999999999992E-3</v>
      </c>
      <c r="H74" s="104" t="s">
        <v>52</v>
      </c>
      <c r="I74" s="113">
        <f t="shared" si="2"/>
        <v>148.80000000000001</v>
      </c>
      <c r="J74" s="104" t="s">
        <v>53</v>
      </c>
      <c r="K74" s="104"/>
      <c r="L74" s="104" t="s">
        <v>54</v>
      </c>
      <c r="M74" s="104" t="s">
        <v>55</v>
      </c>
      <c r="N74" s="104" t="s">
        <v>129</v>
      </c>
      <c r="O74" s="104"/>
    </row>
    <row r="75" spans="1:15">
      <c r="A75" s="104" t="s">
        <v>164</v>
      </c>
      <c r="B75" s="104" t="s">
        <v>165</v>
      </c>
      <c r="C75" s="104" t="s">
        <v>50</v>
      </c>
      <c r="D75" s="104"/>
      <c r="E75" s="105">
        <v>4000</v>
      </c>
      <c r="F75" s="106" t="s">
        <v>51</v>
      </c>
      <c r="G75" s="107">
        <v>1.25E-3</v>
      </c>
      <c r="H75" s="104" t="s">
        <v>52</v>
      </c>
      <c r="I75" s="113">
        <f t="shared" si="2"/>
        <v>5</v>
      </c>
      <c r="J75" s="104" t="s">
        <v>53</v>
      </c>
      <c r="K75" s="104"/>
      <c r="L75" s="104" t="s">
        <v>54</v>
      </c>
      <c r="M75" s="104" t="s">
        <v>55</v>
      </c>
      <c r="N75" s="104" t="s">
        <v>56</v>
      </c>
      <c r="O75" s="104"/>
    </row>
    <row r="76" spans="1:15">
      <c r="A76" s="104" t="s">
        <v>166</v>
      </c>
      <c r="B76" s="104" t="s">
        <v>167</v>
      </c>
      <c r="C76" s="104" t="s">
        <v>128</v>
      </c>
      <c r="D76" s="104"/>
      <c r="E76" s="105">
        <v>2000</v>
      </c>
      <c r="F76" s="106" t="s">
        <v>51</v>
      </c>
      <c r="G76" s="107">
        <v>9.2999999999999992E-3</v>
      </c>
      <c r="H76" s="104" t="s">
        <v>52</v>
      </c>
      <c r="I76" s="113">
        <f t="shared" si="2"/>
        <v>18.600000000000001</v>
      </c>
      <c r="J76" s="104" t="s">
        <v>53</v>
      </c>
      <c r="K76" s="104"/>
      <c r="L76" s="104" t="s">
        <v>54</v>
      </c>
      <c r="M76" s="104" t="s">
        <v>55</v>
      </c>
      <c r="N76" s="104" t="s">
        <v>129</v>
      </c>
      <c r="O76" s="104"/>
    </row>
    <row r="77" spans="1:15">
      <c r="A77" s="104" t="s">
        <v>168</v>
      </c>
      <c r="B77" s="104" t="s">
        <v>169</v>
      </c>
      <c r="C77" s="104" t="s">
        <v>170</v>
      </c>
      <c r="D77" s="104"/>
      <c r="E77" s="105">
        <v>1500</v>
      </c>
      <c r="F77" s="106" t="s">
        <v>51</v>
      </c>
      <c r="G77" s="107">
        <v>1.6299999999999999E-2</v>
      </c>
      <c r="H77" s="104" t="s">
        <v>52</v>
      </c>
      <c r="I77" s="113">
        <f t="shared" si="2"/>
        <v>24.45</v>
      </c>
      <c r="J77" s="104" t="s">
        <v>53</v>
      </c>
      <c r="K77" s="104"/>
      <c r="L77" s="104" t="s">
        <v>54</v>
      </c>
      <c r="M77" s="104" t="s">
        <v>55</v>
      </c>
      <c r="N77" s="104" t="s">
        <v>171</v>
      </c>
      <c r="O77" s="104"/>
    </row>
    <row r="78" spans="1:15">
      <c r="A78" s="104" t="s">
        <v>172</v>
      </c>
      <c r="B78" s="104" t="s">
        <v>173</v>
      </c>
      <c r="C78" s="104" t="s">
        <v>174</v>
      </c>
      <c r="D78" s="104"/>
      <c r="E78" s="105">
        <v>9000</v>
      </c>
      <c r="F78" s="106" t="s">
        <v>51</v>
      </c>
      <c r="G78" s="107">
        <v>6.4000000000000003E-3</v>
      </c>
      <c r="H78" s="104" t="s">
        <v>52</v>
      </c>
      <c r="I78" s="113">
        <f t="shared" si="2"/>
        <v>57.6</v>
      </c>
      <c r="J78" s="104" t="s">
        <v>53</v>
      </c>
      <c r="K78" s="104"/>
      <c r="L78" s="104" t="s">
        <v>54</v>
      </c>
      <c r="M78" s="104" t="s">
        <v>55</v>
      </c>
      <c r="N78" s="104" t="s">
        <v>175</v>
      </c>
      <c r="O78" s="104"/>
    </row>
    <row r="79" spans="1:15">
      <c r="A79" s="104" t="s">
        <v>176</v>
      </c>
      <c r="B79" s="104" t="s">
        <v>177</v>
      </c>
      <c r="C79" s="104" t="s">
        <v>178</v>
      </c>
      <c r="D79" s="104"/>
      <c r="E79" s="105">
        <v>30000</v>
      </c>
      <c r="F79" s="106" t="s">
        <v>51</v>
      </c>
      <c r="G79" s="107">
        <v>7.7999999999999999E-4</v>
      </c>
      <c r="H79" s="104" t="s">
        <v>52</v>
      </c>
      <c r="I79" s="113">
        <f t="shared" si="2"/>
        <v>23.4</v>
      </c>
      <c r="J79" s="104" t="s">
        <v>53</v>
      </c>
      <c r="K79" s="104"/>
      <c r="L79" s="104" t="s">
        <v>54</v>
      </c>
      <c r="M79" s="104" t="s">
        <v>55</v>
      </c>
      <c r="N79" s="104" t="s">
        <v>179</v>
      </c>
      <c r="O79" s="104"/>
    </row>
    <row r="80" spans="1:15">
      <c r="A80" s="104" t="s">
        <v>180</v>
      </c>
      <c r="B80" s="104" t="s">
        <v>181</v>
      </c>
      <c r="C80" s="104" t="s">
        <v>178</v>
      </c>
      <c r="D80" s="104"/>
      <c r="E80" s="105">
        <v>10000</v>
      </c>
      <c r="F80" s="106" t="s">
        <v>51</v>
      </c>
      <c r="G80" s="107">
        <v>7.7999999999999999E-4</v>
      </c>
      <c r="H80" s="104" t="s">
        <v>52</v>
      </c>
      <c r="I80" s="113">
        <f t="shared" si="2"/>
        <v>7.8</v>
      </c>
      <c r="J80" s="104" t="s">
        <v>53</v>
      </c>
      <c r="K80" s="104"/>
      <c r="L80" s="104" t="s">
        <v>54</v>
      </c>
      <c r="M80" s="104" t="s">
        <v>55</v>
      </c>
      <c r="N80" s="104" t="s">
        <v>179</v>
      </c>
      <c r="O80" s="104"/>
    </row>
    <row r="81" spans="1:15">
      <c r="A81" s="104" t="s">
        <v>182</v>
      </c>
      <c r="B81" s="104" t="s">
        <v>181</v>
      </c>
      <c r="C81" s="104" t="s">
        <v>183</v>
      </c>
      <c r="D81" s="104"/>
      <c r="E81" s="105">
        <v>1000</v>
      </c>
      <c r="F81" s="106" t="s">
        <v>51</v>
      </c>
      <c r="G81" s="107">
        <v>2.8000000000000001E-2</v>
      </c>
      <c r="H81" s="104" t="s">
        <v>52</v>
      </c>
      <c r="I81" s="113">
        <f t="shared" si="2"/>
        <v>28</v>
      </c>
      <c r="J81" s="104" t="s">
        <v>53</v>
      </c>
      <c r="K81" s="104"/>
      <c r="L81" s="104" t="s">
        <v>54</v>
      </c>
      <c r="M81" s="104" t="s">
        <v>55</v>
      </c>
      <c r="N81" s="104" t="s">
        <v>184</v>
      </c>
      <c r="O81" s="104"/>
    </row>
    <row r="82" spans="1:15">
      <c r="A82" s="104" t="s">
        <v>185</v>
      </c>
      <c r="B82" s="104" t="s">
        <v>186</v>
      </c>
      <c r="C82" s="104" t="s">
        <v>187</v>
      </c>
      <c r="D82" s="104"/>
      <c r="E82" s="105">
        <v>2000</v>
      </c>
      <c r="F82" s="106" t="s">
        <v>51</v>
      </c>
      <c r="G82" s="107">
        <v>8.9999999999999993E-3</v>
      </c>
      <c r="H82" s="104" t="s">
        <v>52</v>
      </c>
      <c r="I82" s="113">
        <f t="shared" si="2"/>
        <v>18</v>
      </c>
      <c r="J82" s="104" t="s">
        <v>53</v>
      </c>
      <c r="K82" s="104"/>
      <c r="L82" s="104" t="s">
        <v>54</v>
      </c>
      <c r="M82" s="104" t="s">
        <v>55</v>
      </c>
      <c r="N82" s="104" t="s">
        <v>188</v>
      </c>
      <c r="O82" s="104"/>
    </row>
    <row r="83" spans="1:15">
      <c r="A83" s="104" t="s">
        <v>189</v>
      </c>
      <c r="B83" s="104" t="s">
        <v>190</v>
      </c>
      <c r="C83" s="104" t="s">
        <v>178</v>
      </c>
      <c r="D83" s="104"/>
      <c r="E83" s="105">
        <v>60000</v>
      </c>
      <c r="F83" s="106" t="s">
        <v>51</v>
      </c>
      <c r="G83" s="107">
        <v>7.7999999999999999E-4</v>
      </c>
      <c r="H83" s="104" t="s">
        <v>52</v>
      </c>
      <c r="I83" s="113">
        <f t="shared" si="2"/>
        <v>46.8</v>
      </c>
      <c r="J83" s="104" t="s">
        <v>53</v>
      </c>
      <c r="K83" s="104"/>
      <c r="L83" s="104" t="s">
        <v>54</v>
      </c>
      <c r="M83" s="104" t="s">
        <v>55</v>
      </c>
      <c r="N83" s="104" t="s">
        <v>179</v>
      </c>
      <c r="O83" s="104"/>
    </row>
    <row r="84" spans="1:15">
      <c r="A84" s="104" t="s">
        <v>191</v>
      </c>
      <c r="B84" s="104" t="s">
        <v>192</v>
      </c>
      <c r="C84" s="104" t="s">
        <v>193</v>
      </c>
      <c r="D84" s="104"/>
      <c r="E84" s="105">
        <v>2000</v>
      </c>
      <c r="F84" s="106" t="s">
        <v>51</v>
      </c>
      <c r="G84" s="107">
        <v>9.7999999999999997E-3</v>
      </c>
      <c r="H84" s="104" t="s">
        <v>52</v>
      </c>
      <c r="I84" s="113">
        <f t="shared" si="2"/>
        <v>19.600000000000001</v>
      </c>
      <c r="J84" s="104" t="s">
        <v>53</v>
      </c>
      <c r="K84" s="104"/>
      <c r="L84" s="104" t="s">
        <v>54</v>
      </c>
      <c r="M84" s="104" t="s">
        <v>55</v>
      </c>
      <c r="N84" s="104" t="s">
        <v>194</v>
      </c>
      <c r="O84" s="104"/>
    </row>
    <row r="85" spans="1:15">
      <c r="A85" s="104" t="s">
        <v>195</v>
      </c>
      <c r="B85" s="104" t="s">
        <v>196</v>
      </c>
      <c r="C85" s="104" t="s">
        <v>197</v>
      </c>
      <c r="D85" s="104"/>
      <c r="E85" s="105">
        <v>1000</v>
      </c>
      <c r="F85" s="106" t="s">
        <v>51</v>
      </c>
      <c r="G85" s="107">
        <v>2.8000000000000001E-2</v>
      </c>
      <c r="H85" s="104" t="s">
        <v>52</v>
      </c>
      <c r="I85" s="113">
        <f t="shared" si="2"/>
        <v>28</v>
      </c>
      <c r="J85" s="104" t="s">
        <v>53</v>
      </c>
      <c r="K85" s="104"/>
      <c r="L85" s="104" t="s">
        <v>54</v>
      </c>
      <c r="M85" s="104" t="s">
        <v>55</v>
      </c>
      <c r="N85" s="104" t="s">
        <v>198</v>
      </c>
      <c r="O85" s="104"/>
    </row>
    <row r="86" spans="1:15">
      <c r="A86" s="16"/>
      <c r="E86" s="114"/>
      <c r="J86" s="30"/>
      <c r="K86" s="30"/>
      <c r="L86" s="30"/>
      <c r="M86" s="30"/>
      <c r="N86" s="109"/>
      <c r="O86" s="53"/>
    </row>
    <row r="87" spans="1:15" s="77" customFormat="1" ht="43.9" customHeight="1">
      <c r="A87" s="115"/>
      <c r="B87" s="116"/>
      <c r="C87" s="116"/>
      <c r="D87" s="116" t="s">
        <v>199</v>
      </c>
      <c r="E87" s="117">
        <f>SUM(E25:E86)</f>
        <v>2386500</v>
      </c>
      <c r="F87" s="116"/>
      <c r="G87" s="118"/>
      <c r="H87" s="118" t="s">
        <v>52</v>
      </c>
      <c r="I87" s="119">
        <f>SUM(I25:I86)</f>
        <v>3018.71</v>
      </c>
      <c r="J87" s="120"/>
      <c r="K87" s="120"/>
      <c r="L87" s="120"/>
      <c r="M87" s="120"/>
      <c r="N87" s="121"/>
      <c r="O87" s="122"/>
    </row>
  </sheetData>
  <mergeCells count="3">
    <mergeCell ref="A1:O1"/>
    <mergeCell ref="E12:I12"/>
    <mergeCell ref="C23:D23"/>
  </mergeCells>
  <printOptions horizontalCentered="1"/>
  <pageMargins left="0" right="0" top="0.39370078740157499" bottom="0" header="0.511811023622047" footer="0.511811023622047"/>
  <pageSetup paperSize="9" scale="5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5"/>
  <sheetViews>
    <sheetView zoomScale="85" zoomScaleNormal="85" workbookViewId="0">
      <selection activeCell="G25" sqref="G25:G26"/>
    </sheetView>
  </sheetViews>
  <sheetFormatPr defaultColWidth="9" defaultRowHeight="13.5"/>
  <cols>
    <col min="1" max="1" width="10.625" style="6" customWidth="1"/>
    <col min="2" max="4" width="21.125" style="6" customWidth="1"/>
    <col min="5" max="5" width="7.25" style="6" customWidth="1"/>
    <col min="6" max="6" width="13.375" style="6" customWidth="1"/>
    <col min="7" max="7" width="10.875" style="6" customWidth="1"/>
    <col min="8" max="9" width="13.5" style="6" customWidth="1"/>
    <col min="10" max="10" width="11.125" style="6" customWidth="1"/>
    <col min="11" max="11" width="35.5" style="6" customWidth="1"/>
    <col min="12" max="16384" width="9" style="6"/>
  </cols>
  <sheetData>
    <row r="1" spans="1:11" s="5" customFormat="1" ht="14.25">
      <c r="A1" s="147" t="s">
        <v>200</v>
      </c>
      <c r="B1" s="148"/>
      <c r="C1" s="148"/>
      <c r="D1" s="148"/>
      <c r="E1" s="148"/>
      <c r="F1" s="148"/>
      <c r="G1" s="148"/>
      <c r="H1" s="148"/>
      <c r="I1" s="148"/>
      <c r="J1" s="148"/>
      <c r="K1" s="149"/>
    </row>
    <row r="2" spans="1:11">
      <c r="A2" s="150"/>
      <c r="B2" s="151"/>
      <c r="C2" s="151"/>
      <c r="D2" s="151"/>
      <c r="E2" s="151"/>
      <c r="F2" s="152"/>
      <c r="G2" s="152"/>
      <c r="H2" s="152"/>
      <c r="I2" s="152"/>
      <c r="J2" s="152"/>
      <c r="K2" s="153"/>
    </row>
    <row r="3" spans="1:11">
      <c r="A3" s="7" t="s">
        <v>1</v>
      </c>
      <c r="B3" s="8"/>
      <c r="C3" s="9"/>
      <c r="D3" s="9"/>
      <c r="E3" s="9"/>
      <c r="F3" s="7" t="s">
        <v>201</v>
      </c>
      <c r="G3" s="9"/>
      <c r="H3" s="9"/>
      <c r="I3" s="9"/>
      <c r="J3" s="49"/>
      <c r="K3" s="50"/>
    </row>
    <row r="4" spans="1:11">
      <c r="A4" s="10" t="s">
        <v>3</v>
      </c>
      <c r="B4" s="11"/>
      <c r="C4" s="12"/>
      <c r="D4" s="12"/>
      <c r="E4" s="12"/>
      <c r="F4" s="13" t="s">
        <v>4</v>
      </c>
      <c r="G4" s="14">
        <f>INVOICE!F3</f>
        <v>45880</v>
      </c>
      <c r="H4" s="15"/>
      <c r="I4" s="12"/>
      <c r="J4" s="10"/>
      <c r="K4" s="51"/>
    </row>
    <row r="5" spans="1:11">
      <c r="A5" s="16" t="s">
        <v>5</v>
      </c>
      <c r="B5" s="17"/>
      <c r="C5" s="17"/>
      <c r="D5" s="17"/>
      <c r="E5" s="17"/>
      <c r="F5" s="13" t="s">
        <v>6</v>
      </c>
      <c r="G5" s="18" t="str">
        <f>INVOICE!F4</f>
        <v>TSI03-250800067</v>
      </c>
      <c r="H5" s="15"/>
      <c r="I5" s="12"/>
      <c r="J5" s="10"/>
      <c r="K5" s="51"/>
    </row>
    <row r="6" spans="1:11">
      <c r="A6" s="16" t="s">
        <v>8</v>
      </c>
      <c r="B6" s="17"/>
      <c r="C6" s="17"/>
      <c r="D6" s="17"/>
      <c r="E6" s="17"/>
      <c r="F6" s="13" t="s">
        <v>9</v>
      </c>
      <c r="G6" s="18" t="str">
        <f>INVOICE!F5</f>
        <v>TSI03-2508110875</v>
      </c>
      <c r="H6" s="15"/>
      <c r="I6" s="12"/>
      <c r="J6" s="10"/>
      <c r="K6" s="51"/>
    </row>
    <row r="7" spans="1:11">
      <c r="A7" s="19"/>
      <c r="B7" s="20"/>
      <c r="C7" s="21"/>
      <c r="D7" s="21"/>
      <c r="E7" s="21"/>
      <c r="F7" s="22"/>
      <c r="G7" s="12"/>
      <c r="H7" s="12"/>
      <c r="I7" s="12"/>
      <c r="J7" s="12"/>
      <c r="K7" s="40"/>
    </row>
    <row r="8" spans="1:11">
      <c r="A8" s="23" t="s">
        <v>11</v>
      </c>
      <c r="B8" s="8"/>
      <c r="C8" s="9"/>
      <c r="D8" s="9"/>
      <c r="E8" s="9"/>
      <c r="F8" s="7" t="s">
        <v>202</v>
      </c>
      <c r="G8" s="9"/>
      <c r="H8" s="9"/>
      <c r="I8" s="9"/>
      <c r="J8" s="49"/>
      <c r="K8" s="50"/>
    </row>
    <row r="9" spans="1:11">
      <c r="A9" s="24" t="s">
        <v>13</v>
      </c>
      <c r="B9" s="25"/>
      <c r="C9" s="12"/>
      <c r="D9" s="12"/>
      <c r="E9" s="12"/>
      <c r="F9" s="22" t="s">
        <v>29</v>
      </c>
      <c r="G9" s="12"/>
      <c r="H9" s="12"/>
      <c r="I9" s="12"/>
      <c r="J9" s="10"/>
      <c r="K9" s="51"/>
    </row>
    <row r="10" spans="1:11">
      <c r="A10" s="24" t="s">
        <v>15</v>
      </c>
      <c r="B10" s="25"/>
      <c r="C10" s="12"/>
      <c r="D10" s="12"/>
      <c r="E10" s="12"/>
      <c r="F10" s="22" t="s">
        <v>32</v>
      </c>
      <c r="G10" s="12"/>
      <c r="H10" s="12"/>
      <c r="I10" s="12"/>
      <c r="J10" s="10"/>
      <c r="K10" s="51"/>
    </row>
    <row r="11" spans="1:11">
      <c r="A11" s="24" t="s">
        <v>16</v>
      </c>
      <c r="B11" s="11"/>
      <c r="C11" s="12"/>
      <c r="D11" s="12"/>
      <c r="E11" s="12"/>
      <c r="F11" s="22" t="s">
        <v>33</v>
      </c>
      <c r="G11" s="26"/>
      <c r="H11" s="26"/>
      <c r="I11" s="26"/>
      <c r="J11" s="10"/>
      <c r="K11" s="51"/>
    </row>
    <row r="12" spans="1:11">
      <c r="A12" s="24" t="s">
        <v>17</v>
      </c>
      <c r="B12" s="27"/>
      <c r="C12" s="27"/>
      <c r="D12" s="27"/>
      <c r="E12" s="27"/>
      <c r="F12" s="22"/>
      <c r="G12" s="12"/>
      <c r="H12" s="12"/>
      <c r="I12" s="26"/>
      <c r="J12" s="10"/>
      <c r="K12" s="51"/>
    </row>
    <row r="13" spans="1:11">
      <c r="A13" s="28" t="s">
        <v>18</v>
      </c>
      <c r="B13" s="27"/>
      <c r="C13" s="27"/>
      <c r="D13" s="27"/>
      <c r="E13" s="27"/>
      <c r="F13" s="29"/>
      <c r="G13" s="12"/>
      <c r="H13" s="12"/>
      <c r="I13" s="26"/>
      <c r="J13" s="10"/>
      <c r="K13" s="51"/>
    </row>
    <row r="14" spans="1:11">
      <c r="A14" s="16" t="s">
        <v>19</v>
      </c>
      <c r="B14" s="27"/>
      <c r="C14" s="27"/>
      <c r="D14" s="27"/>
      <c r="E14" s="27"/>
      <c r="F14" s="29"/>
      <c r="G14" s="12"/>
      <c r="H14" s="12"/>
      <c r="I14" s="26"/>
      <c r="J14" s="10"/>
      <c r="K14" s="51"/>
    </row>
    <row r="15" spans="1:11">
      <c r="A15" s="16"/>
      <c r="B15" s="30"/>
      <c r="C15" s="31"/>
      <c r="D15" s="31"/>
      <c r="E15" s="31"/>
      <c r="F15" s="22"/>
      <c r="G15" s="12"/>
      <c r="H15" s="12"/>
      <c r="I15" s="12"/>
      <c r="J15" s="10"/>
      <c r="K15" s="51"/>
    </row>
    <row r="16" spans="1:11">
      <c r="A16" s="23" t="s">
        <v>20</v>
      </c>
      <c r="B16" s="25"/>
      <c r="C16" s="12"/>
      <c r="D16" s="12"/>
      <c r="E16" s="12"/>
      <c r="F16" s="22"/>
      <c r="G16" s="10"/>
      <c r="H16" s="12"/>
      <c r="I16" s="12"/>
      <c r="J16" s="10"/>
      <c r="K16" s="51"/>
    </row>
    <row r="17" spans="1:11">
      <c r="A17" s="32" t="s">
        <v>22</v>
      </c>
      <c r="B17" s="11"/>
      <c r="C17" s="11"/>
      <c r="D17" s="11"/>
      <c r="E17" s="12"/>
      <c r="F17" s="22"/>
      <c r="G17" s="10"/>
      <c r="H17" s="12"/>
      <c r="I17" s="12"/>
      <c r="J17" s="10"/>
      <c r="K17" s="51"/>
    </row>
    <row r="18" spans="1:11">
      <c r="A18" s="33" t="s">
        <v>24</v>
      </c>
      <c r="B18" s="11"/>
      <c r="C18" s="11"/>
      <c r="D18" s="11"/>
      <c r="E18" s="12"/>
      <c r="F18" s="22"/>
      <c r="G18" s="10"/>
      <c r="H18" s="12"/>
      <c r="I18" s="12"/>
      <c r="J18" s="10"/>
      <c r="K18" s="51"/>
    </row>
    <row r="19" spans="1:11">
      <c r="A19" s="10" t="s">
        <v>25</v>
      </c>
      <c r="B19" s="11"/>
      <c r="C19" s="12"/>
      <c r="D19" s="12"/>
      <c r="E19" s="11"/>
      <c r="F19" s="22"/>
      <c r="G19" s="12"/>
      <c r="H19" s="12"/>
      <c r="I19" s="12"/>
      <c r="J19" s="10"/>
      <c r="K19" s="51"/>
    </row>
    <row r="20" spans="1:11">
      <c r="A20" s="34"/>
      <c r="B20" s="31"/>
      <c r="C20" s="31"/>
      <c r="D20" s="31"/>
      <c r="E20" s="31"/>
      <c r="F20" s="130"/>
      <c r="G20" s="131"/>
      <c r="H20" s="35"/>
      <c r="I20" s="52"/>
      <c r="J20" s="10"/>
      <c r="K20" s="51"/>
    </row>
    <row r="21" spans="1:11">
      <c r="A21" s="7" t="s">
        <v>203</v>
      </c>
      <c r="B21" s="8"/>
      <c r="C21" s="36"/>
      <c r="D21" s="8" t="s">
        <v>204</v>
      </c>
      <c r="E21" s="37"/>
      <c r="F21" s="130"/>
      <c r="G21" s="131"/>
      <c r="H21" s="38"/>
      <c r="I21" s="12"/>
      <c r="J21" s="10"/>
      <c r="K21" s="51"/>
    </row>
    <row r="22" spans="1:11">
      <c r="A22" s="132"/>
      <c r="B22" s="133"/>
      <c r="C22" s="134"/>
      <c r="D22" s="132"/>
      <c r="E22" s="133"/>
      <c r="F22" s="130"/>
      <c r="G22" s="131"/>
      <c r="H22" s="38"/>
      <c r="I22" s="12"/>
      <c r="J22" s="10"/>
      <c r="K22" s="51"/>
    </row>
    <row r="23" spans="1:11">
      <c r="A23" s="7" t="s">
        <v>30</v>
      </c>
      <c r="B23" s="25"/>
      <c r="C23" s="40"/>
      <c r="D23" s="8" t="s">
        <v>31</v>
      </c>
      <c r="E23" s="41"/>
      <c r="F23" s="22"/>
      <c r="G23" s="12"/>
      <c r="H23" s="12"/>
      <c r="I23" s="12"/>
      <c r="J23" s="10"/>
      <c r="K23" s="51"/>
    </row>
    <row r="24" spans="1:11">
      <c r="A24" s="132"/>
      <c r="B24" s="133"/>
      <c r="C24" s="134"/>
      <c r="D24" s="128"/>
      <c r="E24" s="135"/>
      <c r="F24" s="34"/>
      <c r="G24" s="31"/>
      <c r="H24" s="31"/>
      <c r="I24" s="31"/>
      <c r="J24" s="30"/>
      <c r="K24" s="53"/>
    </row>
    <row r="25" spans="1:11" ht="15.6" customHeight="1">
      <c r="A25" s="139" t="s">
        <v>205</v>
      </c>
      <c r="B25" s="140" t="s">
        <v>35</v>
      </c>
      <c r="C25" s="140" t="s">
        <v>36</v>
      </c>
      <c r="D25" s="154" t="s">
        <v>37</v>
      </c>
      <c r="E25" s="154"/>
      <c r="F25" s="137" t="s">
        <v>38</v>
      </c>
      <c r="G25" s="137" t="s">
        <v>39</v>
      </c>
      <c r="H25" s="44" t="s">
        <v>206</v>
      </c>
      <c r="I25" s="44" t="s">
        <v>207</v>
      </c>
      <c r="J25" s="142" t="s">
        <v>208</v>
      </c>
      <c r="K25" s="143" t="s">
        <v>209</v>
      </c>
    </row>
    <row r="26" spans="1:11">
      <c r="A26" s="139"/>
      <c r="B26" s="140"/>
      <c r="C26" s="140"/>
      <c r="D26" s="154"/>
      <c r="E26" s="154"/>
      <c r="F26" s="141"/>
      <c r="G26" s="141"/>
      <c r="H26" s="45" t="s">
        <v>210</v>
      </c>
      <c r="I26" s="45" t="s">
        <v>210</v>
      </c>
      <c r="J26" s="139"/>
      <c r="K26" s="144"/>
    </row>
    <row r="27" spans="1:11" ht="14.25">
      <c r="A27" s="46">
        <v>1</v>
      </c>
      <c r="B27" s="2" t="s">
        <v>112</v>
      </c>
      <c r="C27" s="2" t="s">
        <v>98</v>
      </c>
      <c r="D27" s="136"/>
      <c r="E27" s="136"/>
      <c r="F27" s="3">
        <v>50000</v>
      </c>
      <c r="G27" s="47" t="s">
        <v>51</v>
      </c>
      <c r="H27" s="4">
        <v>0.7</v>
      </c>
      <c r="I27" s="4">
        <v>1.59</v>
      </c>
      <c r="J27" s="55" t="s">
        <v>211</v>
      </c>
      <c r="K27" s="145" t="s">
        <v>212</v>
      </c>
    </row>
    <row r="28" spans="1:11" ht="14.25">
      <c r="A28" s="46">
        <v>2</v>
      </c>
      <c r="B28" s="2" t="s">
        <v>117</v>
      </c>
      <c r="C28" s="2" t="s">
        <v>98</v>
      </c>
      <c r="D28" s="136"/>
      <c r="E28" s="136"/>
      <c r="F28" s="3">
        <v>10000</v>
      </c>
      <c r="G28" s="47" t="s">
        <v>51</v>
      </c>
      <c r="H28" s="4">
        <v>0.14000000000000001</v>
      </c>
      <c r="I28" s="4">
        <v>1.03</v>
      </c>
      <c r="J28" s="55" t="s">
        <v>211</v>
      </c>
      <c r="K28" s="146"/>
    </row>
    <row r="29" spans="1:11" ht="14.25">
      <c r="A29" s="46">
        <v>3</v>
      </c>
      <c r="B29" s="2" t="s">
        <v>181</v>
      </c>
      <c r="C29" s="2" t="s">
        <v>178</v>
      </c>
      <c r="D29" s="136"/>
      <c r="E29" s="136"/>
      <c r="F29" s="3">
        <v>10000</v>
      </c>
      <c r="G29" s="47" t="s">
        <v>51</v>
      </c>
      <c r="H29" s="4">
        <v>0.14000000000000001</v>
      </c>
      <c r="I29" s="4">
        <v>1.03</v>
      </c>
      <c r="J29" s="55" t="s">
        <v>211</v>
      </c>
      <c r="K29" s="146"/>
    </row>
    <row r="30" spans="1:11" ht="14.25">
      <c r="A30" s="46">
        <v>4</v>
      </c>
      <c r="B30" s="2" t="s">
        <v>141</v>
      </c>
      <c r="C30" s="2" t="s">
        <v>148</v>
      </c>
      <c r="D30" s="136"/>
      <c r="E30" s="136"/>
      <c r="F30" s="3">
        <v>10000</v>
      </c>
      <c r="G30" s="47" t="s">
        <v>51</v>
      </c>
      <c r="H30" s="4">
        <v>0.14000000000000001</v>
      </c>
      <c r="I30" s="4">
        <v>1.03</v>
      </c>
      <c r="J30" s="55" t="s">
        <v>211</v>
      </c>
      <c r="K30" s="146"/>
    </row>
    <row r="31" spans="1:11" ht="14.25">
      <c r="A31" s="46">
        <v>5</v>
      </c>
      <c r="B31" s="2" t="s">
        <v>133</v>
      </c>
      <c r="C31" s="2" t="s">
        <v>134</v>
      </c>
      <c r="D31" s="136"/>
      <c r="E31" s="136"/>
      <c r="F31" s="3">
        <v>10000</v>
      </c>
      <c r="G31" s="47" t="s">
        <v>51</v>
      </c>
      <c r="H31" s="4">
        <v>0.14000000000000001</v>
      </c>
      <c r="I31" s="4">
        <v>1.03</v>
      </c>
      <c r="J31" s="55" t="s">
        <v>211</v>
      </c>
      <c r="K31" s="146"/>
    </row>
    <row r="32" spans="1:11" ht="14.25">
      <c r="A32" s="46">
        <v>6</v>
      </c>
      <c r="B32" s="2" t="s">
        <v>109</v>
      </c>
      <c r="C32" s="2" t="s">
        <v>98</v>
      </c>
      <c r="D32" s="136"/>
      <c r="E32" s="136"/>
      <c r="F32" s="3">
        <v>40000</v>
      </c>
      <c r="G32" s="47" t="s">
        <v>51</v>
      </c>
      <c r="H32" s="4">
        <v>0.56000000000000005</v>
      </c>
      <c r="I32" s="4">
        <v>1.45</v>
      </c>
      <c r="J32" s="55" t="s">
        <v>211</v>
      </c>
      <c r="K32" s="146"/>
    </row>
    <row r="33" spans="1:11" ht="14.25">
      <c r="A33" s="46">
        <v>7</v>
      </c>
      <c r="B33" s="2" t="s">
        <v>190</v>
      </c>
      <c r="C33" s="2" t="s">
        <v>178</v>
      </c>
      <c r="D33" s="136"/>
      <c r="E33" s="136"/>
      <c r="F33" s="3">
        <v>60000</v>
      </c>
      <c r="G33" s="47" t="s">
        <v>51</v>
      </c>
      <c r="H33" s="4">
        <v>7.84</v>
      </c>
      <c r="I33" s="4">
        <v>8.73</v>
      </c>
      <c r="J33" s="55" t="s">
        <v>211</v>
      </c>
      <c r="K33" s="146"/>
    </row>
    <row r="34" spans="1:11" ht="14.25">
      <c r="A34" s="46">
        <v>8</v>
      </c>
      <c r="B34" s="2" t="s">
        <v>124</v>
      </c>
      <c r="C34" s="2" t="s">
        <v>128</v>
      </c>
      <c r="D34" s="136"/>
      <c r="E34" s="136"/>
      <c r="F34" s="3">
        <v>2000</v>
      </c>
      <c r="G34" s="47" t="s">
        <v>51</v>
      </c>
      <c r="H34" s="4">
        <v>0.08</v>
      </c>
      <c r="I34" s="4">
        <v>0.97</v>
      </c>
      <c r="J34" s="55" t="s">
        <v>211</v>
      </c>
      <c r="K34" s="146"/>
    </row>
    <row r="35" spans="1:11" ht="14.25">
      <c r="A35" s="46">
        <v>9</v>
      </c>
      <c r="B35" s="2" t="s">
        <v>66</v>
      </c>
      <c r="C35" s="2" t="s">
        <v>67</v>
      </c>
      <c r="D35" s="136"/>
      <c r="E35" s="136"/>
      <c r="F35" s="3">
        <v>20000</v>
      </c>
      <c r="G35" s="47" t="s">
        <v>51</v>
      </c>
      <c r="H35" s="4">
        <v>0.28000000000000003</v>
      </c>
      <c r="I35" s="4">
        <v>1.17</v>
      </c>
      <c r="J35" s="55" t="s">
        <v>211</v>
      </c>
      <c r="K35" s="146"/>
    </row>
    <row r="36" spans="1:11" ht="14.25">
      <c r="A36" s="46">
        <v>10</v>
      </c>
      <c r="B36" s="2" t="s">
        <v>133</v>
      </c>
      <c r="C36" s="2" t="s">
        <v>134</v>
      </c>
      <c r="D36" s="136"/>
      <c r="E36" s="136"/>
      <c r="F36" s="3">
        <v>10000</v>
      </c>
      <c r="G36" s="47" t="s">
        <v>51</v>
      </c>
      <c r="H36" s="4">
        <v>0.14000000000000001</v>
      </c>
      <c r="I36" s="4">
        <v>1.03</v>
      </c>
      <c r="J36" s="55" t="s">
        <v>211</v>
      </c>
      <c r="K36" s="146"/>
    </row>
    <row r="37" spans="1:11" ht="14.25">
      <c r="A37" s="46">
        <v>11</v>
      </c>
      <c r="B37" s="2" t="s">
        <v>81</v>
      </c>
      <c r="C37" s="2" t="s">
        <v>82</v>
      </c>
      <c r="D37" s="136"/>
      <c r="E37" s="136"/>
      <c r="F37" s="3">
        <v>10000</v>
      </c>
      <c r="G37" s="47" t="s">
        <v>51</v>
      </c>
      <c r="H37" s="4">
        <v>0.14000000000000001</v>
      </c>
      <c r="I37" s="4">
        <v>1.03</v>
      </c>
      <c r="J37" s="55" t="s">
        <v>211</v>
      </c>
      <c r="K37" s="146"/>
    </row>
    <row r="38" spans="1:11" ht="14.25">
      <c r="A38" s="46">
        <v>12</v>
      </c>
      <c r="B38" s="2" t="s">
        <v>92</v>
      </c>
      <c r="C38" s="2" t="s">
        <v>93</v>
      </c>
      <c r="D38" s="136"/>
      <c r="E38" s="136"/>
      <c r="F38" s="3">
        <v>10000</v>
      </c>
      <c r="G38" s="47" t="s">
        <v>51</v>
      </c>
      <c r="H38" s="4">
        <v>0.14000000000000001</v>
      </c>
      <c r="I38" s="4">
        <v>1.03</v>
      </c>
      <c r="J38" s="55" t="s">
        <v>211</v>
      </c>
      <c r="K38" s="146"/>
    </row>
    <row r="39" spans="1:11" ht="14.25">
      <c r="A39" s="46">
        <v>13</v>
      </c>
      <c r="B39" s="2" t="s">
        <v>112</v>
      </c>
      <c r="C39" s="2" t="s">
        <v>93</v>
      </c>
      <c r="D39" s="136"/>
      <c r="E39" s="136"/>
      <c r="F39" s="3">
        <v>40000</v>
      </c>
      <c r="G39" s="47" t="s">
        <v>51</v>
      </c>
      <c r="H39" s="4">
        <v>0.56000000000000005</v>
      </c>
      <c r="I39" s="4">
        <v>1.45</v>
      </c>
      <c r="J39" s="55" t="s">
        <v>211</v>
      </c>
      <c r="K39" s="146"/>
    </row>
    <row r="40" spans="1:11" ht="14.25">
      <c r="A40" s="48" t="s">
        <v>213</v>
      </c>
      <c r="B40" s="2" t="s">
        <v>141</v>
      </c>
      <c r="C40" s="2" t="s">
        <v>121</v>
      </c>
      <c r="D40" s="136"/>
      <c r="E40" s="136"/>
      <c r="F40" s="3">
        <v>580000</v>
      </c>
      <c r="G40" s="47" t="s">
        <v>51</v>
      </c>
      <c r="H40" s="4">
        <v>8.1199999999999992</v>
      </c>
      <c r="I40" s="4">
        <v>9.01</v>
      </c>
      <c r="J40" s="55" t="s">
        <v>211</v>
      </c>
      <c r="K40" s="146"/>
    </row>
    <row r="41" spans="1:11" ht="14.25">
      <c r="A41" s="46">
        <v>17</v>
      </c>
      <c r="B41" s="2" t="s">
        <v>58</v>
      </c>
      <c r="C41" s="2" t="s">
        <v>59</v>
      </c>
      <c r="D41" s="136"/>
      <c r="E41" s="136"/>
      <c r="F41" s="3">
        <v>10000</v>
      </c>
      <c r="G41" s="47" t="s">
        <v>51</v>
      </c>
      <c r="H41" s="4">
        <v>0.14000000000000001</v>
      </c>
      <c r="I41" s="4">
        <v>1.03</v>
      </c>
      <c r="J41" s="55" t="s">
        <v>211</v>
      </c>
      <c r="K41" s="146"/>
    </row>
    <row r="42" spans="1:11" ht="14.25">
      <c r="A42" s="46">
        <v>18</v>
      </c>
      <c r="B42" s="2" t="s">
        <v>85</v>
      </c>
      <c r="C42" s="2" t="s">
        <v>59</v>
      </c>
      <c r="D42" s="136"/>
      <c r="E42" s="136"/>
      <c r="F42" s="3">
        <v>30000</v>
      </c>
      <c r="G42" s="47" t="s">
        <v>51</v>
      </c>
      <c r="H42" s="4">
        <v>0.42</v>
      </c>
      <c r="I42" s="4">
        <v>1.31</v>
      </c>
      <c r="J42" s="55" t="s">
        <v>211</v>
      </c>
      <c r="K42" s="146"/>
    </row>
    <row r="43" spans="1:11" ht="14.25">
      <c r="A43" s="48" t="s">
        <v>214</v>
      </c>
      <c r="B43" s="2" t="s">
        <v>131</v>
      </c>
      <c r="C43" s="2" t="s">
        <v>121</v>
      </c>
      <c r="D43" s="136"/>
      <c r="E43" s="136"/>
      <c r="F43" s="3">
        <v>70000</v>
      </c>
      <c r="G43" s="47" t="s">
        <v>51</v>
      </c>
      <c r="H43" s="4">
        <v>0.98</v>
      </c>
      <c r="I43" s="4">
        <v>1.87</v>
      </c>
      <c r="J43" s="55" t="s">
        <v>211</v>
      </c>
      <c r="K43" s="146"/>
    </row>
    <row r="44" spans="1:11" ht="14.25">
      <c r="A44" s="48" t="s">
        <v>215</v>
      </c>
      <c r="B44" s="2" t="s">
        <v>117</v>
      </c>
      <c r="C44" s="2" t="s">
        <v>98</v>
      </c>
      <c r="D44" s="136"/>
      <c r="E44" s="136"/>
      <c r="F44" s="3">
        <v>70000</v>
      </c>
      <c r="G44" s="47" t="s">
        <v>51</v>
      </c>
      <c r="H44" s="4">
        <v>0.98</v>
      </c>
      <c r="I44" s="4">
        <v>1.87</v>
      </c>
      <c r="J44" s="55" t="s">
        <v>211</v>
      </c>
      <c r="K44" s="146"/>
    </row>
    <row r="45" spans="1:11" ht="14.25">
      <c r="A45" s="48" t="s">
        <v>216</v>
      </c>
      <c r="B45" s="2" t="s">
        <v>112</v>
      </c>
      <c r="C45" s="2" t="s">
        <v>98</v>
      </c>
      <c r="D45" s="136"/>
      <c r="E45" s="136"/>
      <c r="F45" s="3">
        <v>110000</v>
      </c>
      <c r="G45" s="47" t="s">
        <v>51</v>
      </c>
      <c r="H45" s="4">
        <v>1.54</v>
      </c>
      <c r="I45" s="4">
        <v>2.4300000000000002</v>
      </c>
      <c r="J45" s="55" t="s">
        <v>211</v>
      </c>
      <c r="K45" s="146"/>
    </row>
    <row r="46" spans="1:11" ht="14.25">
      <c r="A46" s="46">
        <v>25</v>
      </c>
      <c r="B46" s="2" t="s">
        <v>177</v>
      </c>
      <c r="C46" s="2" t="s">
        <v>178</v>
      </c>
      <c r="D46" s="136"/>
      <c r="E46" s="136"/>
      <c r="F46" s="3">
        <v>30000</v>
      </c>
      <c r="G46" s="47" t="s">
        <v>51</v>
      </c>
      <c r="H46" s="4">
        <v>0.42</v>
      </c>
      <c r="I46" s="4">
        <v>1.31</v>
      </c>
      <c r="J46" s="55" t="s">
        <v>211</v>
      </c>
      <c r="K46" s="146"/>
    </row>
    <row r="47" spans="1:11" ht="14.25">
      <c r="A47" s="46">
        <v>26</v>
      </c>
      <c r="B47" s="2" t="s">
        <v>192</v>
      </c>
      <c r="C47" s="2" t="s">
        <v>193</v>
      </c>
      <c r="D47" s="136"/>
      <c r="E47" s="136"/>
      <c r="F47" s="3">
        <v>2000</v>
      </c>
      <c r="G47" s="47" t="s">
        <v>51</v>
      </c>
      <c r="H47" s="4">
        <v>0.56999999999999995</v>
      </c>
      <c r="I47" s="4">
        <v>1.46</v>
      </c>
      <c r="J47" s="55" t="s">
        <v>217</v>
      </c>
      <c r="K47" s="146"/>
    </row>
    <row r="48" spans="1:11" ht="14.25">
      <c r="A48" s="46">
        <v>27</v>
      </c>
      <c r="B48" s="2" t="s">
        <v>49</v>
      </c>
      <c r="C48" s="2" t="s">
        <v>50</v>
      </c>
      <c r="D48" s="136"/>
      <c r="E48" s="136"/>
      <c r="F48" s="3">
        <v>4000</v>
      </c>
      <c r="G48" s="47" t="s">
        <v>51</v>
      </c>
      <c r="H48" s="4">
        <v>0.14000000000000001</v>
      </c>
      <c r="I48" s="4">
        <v>1.03</v>
      </c>
      <c r="J48" s="55" t="s">
        <v>218</v>
      </c>
      <c r="K48" s="146"/>
    </row>
    <row r="49" spans="1:11" ht="14.25">
      <c r="A49" s="46">
        <v>28</v>
      </c>
      <c r="B49" s="2" t="s">
        <v>70</v>
      </c>
      <c r="C49" s="2" t="s">
        <v>75</v>
      </c>
      <c r="D49" s="136"/>
      <c r="E49" s="136"/>
      <c r="F49" s="3">
        <v>44000</v>
      </c>
      <c r="G49" s="47" t="s">
        <v>51</v>
      </c>
      <c r="H49" s="4">
        <v>1.54</v>
      </c>
      <c r="I49" s="4">
        <v>2.4300000000000002</v>
      </c>
      <c r="J49" s="55" t="s">
        <v>218</v>
      </c>
      <c r="K49" s="146"/>
    </row>
    <row r="50" spans="1:11" ht="14.25">
      <c r="A50" s="46">
        <v>29</v>
      </c>
      <c r="B50" s="2" t="s">
        <v>101</v>
      </c>
      <c r="C50" s="2" t="s">
        <v>89</v>
      </c>
      <c r="D50" s="136"/>
      <c r="E50" s="136"/>
      <c r="F50" s="3">
        <v>4000</v>
      </c>
      <c r="G50" s="47" t="s">
        <v>51</v>
      </c>
      <c r="H50" s="4">
        <v>0.14000000000000001</v>
      </c>
      <c r="I50" s="4">
        <v>1.03</v>
      </c>
      <c r="J50" s="55" t="s">
        <v>218</v>
      </c>
      <c r="K50" s="146"/>
    </row>
    <row r="51" spans="1:11" ht="14.25">
      <c r="A51" s="46">
        <v>30</v>
      </c>
      <c r="B51" s="2" t="s">
        <v>161</v>
      </c>
      <c r="C51" s="2" t="s">
        <v>142</v>
      </c>
      <c r="D51" s="136"/>
      <c r="E51" s="136"/>
      <c r="F51" s="3">
        <v>20000</v>
      </c>
      <c r="G51" s="47" t="s">
        <v>51</v>
      </c>
      <c r="H51" s="4">
        <v>0.7</v>
      </c>
      <c r="I51" s="4">
        <v>1.59</v>
      </c>
      <c r="J51" s="55" t="s">
        <v>218</v>
      </c>
      <c r="K51" s="146"/>
    </row>
    <row r="52" spans="1:11" ht="14.25">
      <c r="A52" s="46">
        <v>31</v>
      </c>
      <c r="B52" s="2" t="s">
        <v>70</v>
      </c>
      <c r="C52" s="2" t="s">
        <v>75</v>
      </c>
      <c r="D52" s="136"/>
      <c r="E52" s="136"/>
      <c r="F52" s="3">
        <v>12000</v>
      </c>
      <c r="G52" s="47" t="s">
        <v>51</v>
      </c>
      <c r="H52" s="4">
        <v>0.42</v>
      </c>
      <c r="I52" s="4">
        <v>1.31</v>
      </c>
      <c r="J52" s="55" t="s">
        <v>218</v>
      </c>
      <c r="K52" s="146"/>
    </row>
    <row r="53" spans="1:11" ht="14.25">
      <c r="A53" s="46">
        <v>32</v>
      </c>
      <c r="B53" s="2" t="s">
        <v>103</v>
      </c>
      <c r="C53" s="2" t="s">
        <v>89</v>
      </c>
      <c r="D53" s="136"/>
      <c r="E53" s="136"/>
      <c r="F53" s="3">
        <v>32000</v>
      </c>
      <c r="G53" s="47" t="s">
        <v>51</v>
      </c>
      <c r="H53" s="4">
        <v>1.1200000000000001</v>
      </c>
      <c r="I53" s="4">
        <v>2.0099999999999998</v>
      </c>
      <c r="J53" s="55" t="s">
        <v>217</v>
      </c>
      <c r="K53" s="146"/>
    </row>
    <row r="54" spans="1:11" ht="14.25">
      <c r="A54" s="46">
        <v>33</v>
      </c>
      <c r="B54" s="2" t="s">
        <v>62</v>
      </c>
      <c r="C54" s="2" t="s">
        <v>63</v>
      </c>
      <c r="D54" s="136"/>
      <c r="E54" s="136"/>
      <c r="F54" s="3">
        <v>4000</v>
      </c>
      <c r="G54" s="47" t="s">
        <v>51</v>
      </c>
      <c r="H54" s="4">
        <v>0.14000000000000001</v>
      </c>
      <c r="I54" s="4">
        <v>1.03</v>
      </c>
      <c r="J54" s="55" t="s">
        <v>218</v>
      </c>
      <c r="K54" s="146"/>
    </row>
    <row r="55" spans="1:11" ht="14.25">
      <c r="A55" s="46">
        <v>34</v>
      </c>
      <c r="B55" s="2" t="s">
        <v>120</v>
      </c>
      <c r="C55" s="2" t="s">
        <v>121</v>
      </c>
      <c r="D55" s="136"/>
      <c r="E55" s="136"/>
      <c r="F55" s="3">
        <v>20000</v>
      </c>
      <c r="G55" s="47" t="s">
        <v>51</v>
      </c>
      <c r="H55" s="4">
        <v>0.28000000000000003</v>
      </c>
      <c r="I55" s="4">
        <v>1.17</v>
      </c>
      <c r="J55" s="55" t="s">
        <v>218</v>
      </c>
      <c r="K55" s="146"/>
    </row>
    <row r="56" spans="1:11" ht="14.25">
      <c r="A56" s="46">
        <v>35</v>
      </c>
      <c r="B56" s="2" t="s">
        <v>85</v>
      </c>
      <c r="C56" s="2" t="s">
        <v>50</v>
      </c>
      <c r="D56" s="136"/>
      <c r="E56" s="136"/>
      <c r="F56" s="3">
        <v>12000</v>
      </c>
      <c r="G56" s="47" t="s">
        <v>51</v>
      </c>
      <c r="H56" s="4">
        <v>0.42</v>
      </c>
      <c r="I56" s="4">
        <v>1.31</v>
      </c>
      <c r="J56" s="55" t="s">
        <v>218</v>
      </c>
      <c r="K56" s="146"/>
    </row>
    <row r="57" spans="1:11" ht="14.25">
      <c r="A57" s="46">
        <v>36</v>
      </c>
      <c r="B57" s="2" t="s">
        <v>165</v>
      </c>
      <c r="C57" s="2" t="s">
        <v>50</v>
      </c>
      <c r="D57" s="136"/>
      <c r="E57" s="136"/>
      <c r="F57" s="3">
        <v>4000</v>
      </c>
      <c r="G57" s="47" t="s">
        <v>51</v>
      </c>
      <c r="H57" s="4">
        <v>0.14000000000000001</v>
      </c>
      <c r="I57" s="4">
        <v>1.03</v>
      </c>
      <c r="J57" s="55" t="s">
        <v>218</v>
      </c>
      <c r="K57" s="146"/>
    </row>
    <row r="58" spans="1:11" ht="14.25">
      <c r="A58" s="46">
        <v>37</v>
      </c>
      <c r="B58" s="2" t="s">
        <v>70</v>
      </c>
      <c r="C58" s="2" t="s">
        <v>71</v>
      </c>
      <c r="D58" s="136"/>
      <c r="E58" s="136"/>
      <c r="F58" s="3">
        <v>16000</v>
      </c>
      <c r="G58" s="47" t="s">
        <v>51</v>
      </c>
      <c r="H58" s="4">
        <v>0.56000000000000005</v>
      </c>
      <c r="I58" s="4">
        <v>1.45</v>
      </c>
      <c r="J58" s="55" t="s">
        <v>218</v>
      </c>
      <c r="K58" s="146"/>
    </row>
    <row r="59" spans="1:11" ht="14.25">
      <c r="A59" s="46">
        <v>38</v>
      </c>
      <c r="B59" s="2" t="s">
        <v>70</v>
      </c>
      <c r="C59" s="2" t="s">
        <v>71</v>
      </c>
      <c r="D59" s="136"/>
      <c r="E59" s="136"/>
      <c r="F59" s="3">
        <v>8000</v>
      </c>
      <c r="G59" s="47" t="s">
        <v>51</v>
      </c>
      <c r="H59" s="4">
        <v>0.28000000000000003</v>
      </c>
      <c r="I59" s="4">
        <v>1.17</v>
      </c>
      <c r="J59" s="55" t="s">
        <v>218</v>
      </c>
      <c r="K59" s="146"/>
    </row>
    <row r="60" spans="1:11" ht="14.25">
      <c r="A60" s="46">
        <v>39</v>
      </c>
      <c r="B60" s="2" t="s">
        <v>105</v>
      </c>
      <c r="C60" s="2" t="s">
        <v>106</v>
      </c>
      <c r="D60" s="136"/>
      <c r="E60" s="136"/>
      <c r="F60" s="3">
        <v>4000</v>
      </c>
      <c r="G60" s="47" t="s">
        <v>51</v>
      </c>
      <c r="H60" s="4">
        <v>0.14000000000000001</v>
      </c>
      <c r="I60" s="4">
        <v>1.03</v>
      </c>
      <c r="J60" s="55" t="s">
        <v>218</v>
      </c>
      <c r="K60" s="146"/>
    </row>
    <row r="61" spans="1:11" ht="14.25">
      <c r="A61" s="46">
        <v>40</v>
      </c>
      <c r="B61" s="2" t="s">
        <v>96</v>
      </c>
      <c r="C61" s="2" t="s">
        <v>71</v>
      </c>
      <c r="D61" s="136"/>
      <c r="E61" s="136"/>
      <c r="F61" s="3">
        <v>12000</v>
      </c>
      <c r="G61" s="47" t="s">
        <v>51</v>
      </c>
      <c r="H61" s="4">
        <v>0.42</v>
      </c>
      <c r="I61" s="4">
        <v>1.31</v>
      </c>
      <c r="J61" s="55" t="s">
        <v>218</v>
      </c>
      <c r="K61" s="146"/>
    </row>
    <row r="62" spans="1:11" ht="14.25">
      <c r="A62" s="46">
        <v>41</v>
      </c>
      <c r="B62" s="2" t="s">
        <v>109</v>
      </c>
      <c r="C62" s="2" t="s">
        <v>71</v>
      </c>
      <c r="D62" s="136"/>
      <c r="E62" s="136"/>
      <c r="F62" s="3">
        <v>4000</v>
      </c>
      <c r="G62" s="47" t="s">
        <v>51</v>
      </c>
      <c r="H62" s="4">
        <v>0.14000000000000001</v>
      </c>
      <c r="I62" s="4">
        <v>1.03</v>
      </c>
      <c r="J62" s="55" t="s">
        <v>218</v>
      </c>
      <c r="K62" s="146"/>
    </row>
    <row r="63" spans="1:11" ht="14.25">
      <c r="A63" s="46">
        <v>42</v>
      </c>
      <c r="B63" s="2" t="s">
        <v>79</v>
      </c>
      <c r="C63" s="2" t="s">
        <v>71</v>
      </c>
      <c r="D63" s="136"/>
      <c r="E63" s="136"/>
      <c r="F63" s="3">
        <v>16000</v>
      </c>
      <c r="G63" s="47" t="s">
        <v>51</v>
      </c>
      <c r="H63" s="4">
        <v>0.56000000000000005</v>
      </c>
      <c r="I63" s="4">
        <v>1.45</v>
      </c>
      <c r="J63" s="55" t="s">
        <v>218</v>
      </c>
      <c r="K63" s="146"/>
    </row>
    <row r="64" spans="1:11" ht="14.25">
      <c r="A64" s="46">
        <v>43</v>
      </c>
      <c r="B64" s="2" t="s">
        <v>154</v>
      </c>
      <c r="C64" s="2" t="s">
        <v>142</v>
      </c>
      <c r="D64" s="136"/>
      <c r="E64" s="136"/>
      <c r="F64" s="3">
        <v>12000</v>
      </c>
      <c r="G64" s="47" t="s">
        <v>51</v>
      </c>
      <c r="H64" s="4">
        <v>0.42</v>
      </c>
      <c r="I64" s="4">
        <v>1.31</v>
      </c>
      <c r="J64" s="55" t="s">
        <v>218</v>
      </c>
      <c r="K64" s="146"/>
    </row>
    <row r="65" spans="1:11" ht="14.25">
      <c r="A65" s="46">
        <v>44</v>
      </c>
      <c r="B65" s="2" t="s">
        <v>154</v>
      </c>
      <c r="C65" s="2" t="s">
        <v>142</v>
      </c>
      <c r="D65" s="136"/>
      <c r="E65" s="136"/>
      <c r="F65" s="3">
        <v>60000</v>
      </c>
      <c r="G65" s="47" t="s">
        <v>51</v>
      </c>
      <c r="H65" s="4">
        <v>2.1</v>
      </c>
      <c r="I65" s="4">
        <v>2.99</v>
      </c>
      <c r="J65" s="55" t="s">
        <v>217</v>
      </c>
      <c r="K65" s="146"/>
    </row>
    <row r="66" spans="1:11" ht="14.25">
      <c r="A66" s="46">
        <v>45</v>
      </c>
      <c r="B66" s="2" t="s">
        <v>141</v>
      </c>
      <c r="C66" s="2" t="s">
        <v>142</v>
      </c>
      <c r="D66" s="136"/>
      <c r="E66" s="136"/>
      <c r="F66" s="3">
        <v>24000</v>
      </c>
      <c r="G66" s="47" t="s">
        <v>51</v>
      </c>
      <c r="H66" s="4">
        <v>0.84</v>
      </c>
      <c r="I66" s="4">
        <v>1.73</v>
      </c>
      <c r="J66" s="55" t="s">
        <v>218</v>
      </c>
      <c r="K66" s="146"/>
    </row>
    <row r="67" spans="1:11" ht="14.25">
      <c r="A67" s="46">
        <v>46</v>
      </c>
      <c r="B67" s="2" t="s">
        <v>154</v>
      </c>
      <c r="C67" s="2" t="s">
        <v>106</v>
      </c>
      <c r="D67" s="136"/>
      <c r="E67" s="136"/>
      <c r="F67" s="3">
        <v>4000</v>
      </c>
      <c r="G67" s="47" t="s">
        <v>51</v>
      </c>
      <c r="H67" s="4">
        <v>0.14399999999999999</v>
      </c>
      <c r="I67" s="4">
        <v>1.034</v>
      </c>
      <c r="J67" s="55" t="s">
        <v>218</v>
      </c>
      <c r="K67" s="146"/>
    </row>
    <row r="68" spans="1:11" ht="14.25">
      <c r="A68" s="46" t="s">
        <v>219</v>
      </c>
      <c r="B68" s="2" t="s">
        <v>133</v>
      </c>
      <c r="C68" s="2" t="s">
        <v>121</v>
      </c>
      <c r="D68" s="136"/>
      <c r="E68" s="136"/>
      <c r="F68" s="3">
        <v>180000</v>
      </c>
      <c r="G68" s="47" t="s">
        <v>51</v>
      </c>
      <c r="H68" s="4">
        <v>2.52</v>
      </c>
      <c r="I68" s="4">
        <v>3.41</v>
      </c>
      <c r="J68" s="55" t="s">
        <v>217</v>
      </c>
      <c r="K68" s="146"/>
    </row>
    <row r="69" spans="1:11" ht="24">
      <c r="A69" s="46" t="s">
        <v>220</v>
      </c>
      <c r="B69" s="2" t="s">
        <v>133</v>
      </c>
      <c r="C69" s="2" t="s">
        <v>121</v>
      </c>
      <c r="D69" s="136"/>
      <c r="E69" s="136"/>
      <c r="F69" s="3">
        <v>230000</v>
      </c>
      <c r="G69" s="47" t="s">
        <v>51</v>
      </c>
      <c r="H69" s="4">
        <v>3.22</v>
      </c>
      <c r="I69" s="4">
        <v>4.1100000000000003</v>
      </c>
      <c r="J69" s="55" t="s">
        <v>221</v>
      </c>
      <c r="K69" s="146"/>
    </row>
    <row r="70" spans="1:11" ht="14.25">
      <c r="A70" s="46" t="s">
        <v>222</v>
      </c>
      <c r="B70" s="2" t="s">
        <v>173</v>
      </c>
      <c r="C70" s="2" t="s">
        <v>174</v>
      </c>
      <c r="D70" s="136"/>
      <c r="E70" s="136"/>
      <c r="F70" s="3">
        <v>9000</v>
      </c>
      <c r="G70" s="47" t="s">
        <v>51</v>
      </c>
      <c r="H70" s="4">
        <v>0.42</v>
      </c>
      <c r="I70" s="4">
        <v>1.31</v>
      </c>
      <c r="J70" s="55" t="s">
        <v>218</v>
      </c>
      <c r="K70" s="146"/>
    </row>
    <row r="71" spans="1:11" ht="14.25">
      <c r="A71" s="46" t="s">
        <v>223</v>
      </c>
      <c r="B71" s="2" t="s">
        <v>154</v>
      </c>
      <c r="C71" s="2" t="s">
        <v>142</v>
      </c>
      <c r="D71" s="136"/>
      <c r="E71" s="136"/>
      <c r="F71" s="3">
        <v>24000</v>
      </c>
      <c r="G71" s="47" t="s">
        <v>51</v>
      </c>
      <c r="H71" s="4">
        <v>0.84</v>
      </c>
      <c r="I71" s="4">
        <v>1.73</v>
      </c>
      <c r="J71" s="55" t="s">
        <v>218</v>
      </c>
      <c r="K71" s="146"/>
    </row>
    <row r="72" spans="1:11" ht="14.25">
      <c r="A72" s="46">
        <v>55</v>
      </c>
      <c r="B72" s="2" t="s">
        <v>151</v>
      </c>
      <c r="C72" s="2" t="s">
        <v>142</v>
      </c>
      <c r="D72" s="136"/>
      <c r="E72" s="136"/>
      <c r="F72" s="3">
        <v>8000</v>
      </c>
      <c r="G72" s="47" t="s">
        <v>51</v>
      </c>
      <c r="H72" s="4">
        <v>0.28000000000000003</v>
      </c>
      <c r="I72" s="4">
        <v>1.17</v>
      </c>
      <c r="J72" s="55" t="s">
        <v>217</v>
      </c>
      <c r="K72" s="146"/>
    </row>
    <row r="73" spans="1:11" ht="14.25">
      <c r="A73" s="46">
        <v>56</v>
      </c>
      <c r="B73" s="2" t="s">
        <v>141</v>
      </c>
      <c r="C73" s="2" t="s">
        <v>142</v>
      </c>
      <c r="D73" s="136"/>
      <c r="E73" s="136"/>
      <c r="F73" s="3">
        <v>56000</v>
      </c>
      <c r="G73" s="47" t="s">
        <v>51</v>
      </c>
      <c r="H73" s="4">
        <v>1.96</v>
      </c>
      <c r="I73" s="4">
        <v>2.85</v>
      </c>
      <c r="J73" s="55" t="s">
        <v>217</v>
      </c>
      <c r="K73" s="146"/>
    </row>
    <row r="74" spans="1:11" ht="14.25">
      <c r="A74" s="46">
        <v>57</v>
      </c>
      <c r="B74" s="2" t="s">
        <v>112</v>
      </c>
      <c r="C74" s="2" t="s">
        <v>71</v>
      </c>
      <c r="D74" s="136"/>
      <c r="E74" s="136"/>
      <c r="F74" s="3">
        <v>12000</v>
      </c>
      <c r="G74" s="47" t="s">
        <v>51</v>
      </c>
      <c r="H74" s="4">
        <v>0.42</v>
      </c>
      <c r="I74" s="4">
        <v>1.31</v>
      </c>
      <c r="J74" s="55" t="s">
        <v>218</v>
      </c>
      <c r="K74" s="146"/>
    </row>
    <row r="75" spans="1:11" ht="14.25">
      <c r="A75" s="46">
        <v>58</v>
      </c>
      <c r="B75" s="2" t="s">
        <v>133</v>
      </c>
      <c r="C75" s="2" t="s">
        <v>106</v>
      </c>
      <c r="D75" s="136"/>
      <c r="E75" s="136"/>
      <c r="F75" s="3">
        <v>12000</v>
      </c>
      <c r="G75" s="47" t="s">
        <v>51</v>
      </c>
      <c r="H75" s="4">
        <v>0.42</v>
      </c>
      <c r="I75" s="4">
        <v>1.31</v>
      </c>
      <c r="J75" s="55" t="s">
        <v>218</v>
      </c>
      <c r="K75" s="146"/>
    </row>
    <row r="76" spans="1:11" ht="24">
      <c r="A76" s="46" t="s">
        <v>224</v>
      </c>
      <c r="B76" s="2" t="s">
        <v>151</v>
      </c>
      <c r="C76" s="2" t="s">
        <v>121</v>
      </c>
      <c r="D76" s="136"/>
      <c r="E76" s="136"/>
      <c r="F76" s="3">
        <v>280000</v>
      </c>
      <c r="G76" s="47" t="s">
        <v>51</v>
      </c>
      <c r="H76" s="4">
        <v>3.92</v>
      </c>
      <c r="I76" s="4">
        <v>4.8099999999999996</v>
      </c>
      <c r="J76" s="55" t="s">
        <v>225</v>
      </c>
      <c r="K76" s="146"/>
    </row>
    <row r="77" spans="1:11" ht="14.25">
      <c r="A77" s="46">
        <v>61</v>
      </c>
      <c r="B77" s="2" t="s">
        <v>167</v>
      </c>
      <c r="C77" s="2" t="s">
        <v>128</v>
      </c>
      <c r="D77" s="136"/>
      <c r="E77" s="136"/>
      <c r="F77" s="3">
        <v>2000</v>
      </c>
      <c r="G77" s="47" t="s">
        <v>51</v>
      </c>
      <c r="H77" s="4">
        <v>0.08</v>
      </c>
      <c r="I77" s="4">
        <v>0.97</v>
      </c>
      <c r="J77" s="55" t="s">
        <v>218</v>
      </c>
      <c r="K77" s="146"/>
    </row>
    <row r="78" spans="1:11" ht="14.25">
      <c r="A78" s="46">
        <v>62</v>
      </c>
      <c r="B78" s="2" t="s">
        <v>163</v>
      </c>
      <c r="C78" s="2" t="s">
        <v>128</v>
      </c>
      <c r="D78" s="136"/>
      <c r="E78" s="136"/>
      <c r="F78" s="3">
        <v>16000</v>
      </c>
      <c r="G78" s="47" t="s">
        <v>51</v>
      </c>
      <c r="H78" s="4">
        <v>0.64</v>
      </c>
      <c r="I78" s="4">
        <v>1.53</v>
      </c>
      <c r="J78" s="55" t="s">
        <v>217</v>
      </c>
      <c r="K78" s="146"/>
    </row>
    <row r="79" spans="1:11" ht="14.25">
      <c r="A79" s="46">
        <v>63</v>
      </c>
      <c r="B79" s="2" t="s">
        <v>141</v>
      </c>
      <c r="C79" s="2" t="s">
        <v>125</v>
      </c>
      <c r="D79" s="136"/>
      <c r="E79" s="136"/>
      <c r="F79" s="3">
        <v>1000</v>
      </c>
      <c r="G79" s="47" t="s">
        <v>51</v>
      </c>
      <c r="H79" s="4">
        <v>1</v>
      </c>
      <c r="I79" s="4">
        <v>1.89</v>
      </c>
      <c r="J79" s="55" t="s">
        <v>217</v>
      </c>
      <c r="K79" s="146"/>
    </row>
    <row r="80" spans="1:11" ht="14.25">
      <c r="A80" s="46">
        <v>64</v>
      </c>
      <c r="B80" s="2" t="s">
        <v>159</v>
      </c>
      <c r="C80" s="2" t="s">
        <v>125</v>
      </c>
      <c r="D80" s="136"/>
      <c r="E80" s="136"/>
      <c r="F80" s="3">
        <v>2000</v>
      </c>
      <c r="G80" s="47" t="s">
        <v>51</v>
      </c>
      <c r="H80" s="4">
        <v>2</v>
      </c>
      <c r="I80" s="4">
        <v>2.89</v>
      </c>
      <c r="J80" s="55" t="s">
        <v>217</v>
      </c>
      <c r="K80" s="146"/>
    </row>
    <row r="81" spans="1:11" ht="14.25">
      <c r="A81" s="46">
        <v>65</v>
      </c>
      <c r="B81" s="2" t="s">
        <v>181</v>
      </c>
      <c r="C81" s="2" t="s">
        <v>183</v>
      </c>
      <c r="D81" s="136"/>
      <c r="E81" s="136"/>
      <c r="F81" s="3">
        <v>1000</v>
      </c>
      <c r="G81" s="47" t="s">
        <v>51</v>
      </c>
      <c r="H81" s="4">
        <v>1</v>
      </c>
      <c r="I81" s="4">
        <v>1.89</v>
      </c>
      <c r="J81" s="55" t="s">
        <v>217</v>
      </c>
      <c r="K81" s="146"/>
    </row>
    <row r="82" spans="1:11" ht="14.25">
      <c r="A82" s="46">
        <v>66</v>
      </c>
      <c r="B82" s="2" t="s">
        <v>196</v>
      </c>
      <c r="C82" s="2" t="s">
        <v>197</v>
      </c>
      <c r="D82" s="136"/>
      <c r="E82" s="136"/>
      <c r="F82" s="3">
        <v>1000</v>
      </c>
      <c r="G82" s="47" t="s">
        <v>51</v>
      </c>
      <c r="H82" s="4">
        <v>1</v>
      </c>
      <c r="I82" s="4">
        <v>1.89</v>
      </c>
      <c r="J82" s="55" t="s">
        <v>217</v>
      </c>
      <c r="K82" s="146"/>
    </row>
    <row r="83" spans="1:11" ht="14.25">
      <c r="A83" s="46">
        <v>67</v>
      </c>
      <c r="B83" s="2" t="s">
        <v>186</v>
      </c>
      <c r="C83" s="2" t="s">
        <v>187</v>
      </c>
      <c r="D83" s="136"/>
      <c r="E83" s="136"/>
      <c r="F83" s="3">
        <v>2000</v>
      </c>
      <c r="G83" s="47" t="s">
        <v>51</v>
      </c>
      <c r="H83" s="4">
        <v>0.12</v>
      </c>
      <c r="I83" s="4">
        <v>1.01</v>
      </c>
      <c r="J83" s="55" t="s">
        <v>218</v>
      </c>
      <c r="K83" s="146"/>
    </row>
    <row r="84" spans="1:11" ht="14.25">
      <c r="A84" s="46" t="s">
        <v>226</v>
      </c>
      <c r="B84" s="2" t="s">
        <v>124</v>
      </c>
      <c r="C84" s="2" t="s">
        <v>125</v>
      </c>
      <c r="D84" s="136"/>
      <c r="E84" s="136"/>
      <c r="F84" s="3">
        <v>15000</v>
      </c>
      <c r="G84" s="47" t="s">
        <v>51</v>
      </c>
      <c r="H84" s="4">
        <v>15</v>
      </c>
      <c r="I84" s="4">
        <v>15.89</v>
      </c>
      <c r="J84" s="55" t="s">
        <v>217</v>
      </c>
      <c r="K84" s="146"/>
    </row>
    <row r="85" spans="1:11" ht="14.25">
      <c r="A85" s="46">
        <v>71</v>
      </c>
      <c r="B85" s="2" t="s">
        <v>96</v>
      </c>
      <c r="C85" s="2" t="s">
        <v>98</v>
      </c>
      <c r="D85" s="136"/>
      <c r="E85" s="136"/>
      <c r="F85" s="3">
        <v>30000</v>
      </c>
      <c r="G85" s="47" t="s">
        <v>51</v>
      </c>
      <c r="H85" s="4">
        <v>0.42</v>
      </c>
      <c r="I85" s="4">
        <v>1.31</v>
      </c>
      <c r="J85" s="55" t="s">
        <v>217</v>
      </c>
      <c r="K85" s="146"/>
    </row>
    <row r="86" spans="1:11" ht="14.25">
      <c r="A86" s="46">
        <v>72</v>
      </c>
      <c r="B86" s="2" t="s">
        <v>169</v>
      </c>
      <c r="C86" s="2" t="s">
        <v>170</v>
      </c>
      <c r="D86" s="136"/>
      <c r="E86" s="136"/>
      <c r="F86" s="3">
        <v>1500</v>
      </c>
      <c r="G86" s="47" t="s">
        <v>51</v>
      </c>
      <c r="H86" s="4">
        <v>1</v>
      </c>
      <c r="I86" s="4">
        <v>1.89</v>
      </c>
      <c r="J86" s="55" t="s">
        <v>217</v>
      </c>
      <c r="K86" s="146"/>
    </row>
    <row r="87" spans="1:11" ht="14.25">
      <c r="A87" s="46">
        <v>73</v>
      </c>
      <c r="B87" s="2" t="s">
        <v>88</v>
      </c>
      <c r="C87" s="2" t="s">
        <v>89</v>
      </c>
      <c r="D87" s="136"/>
      <c r="E87" s="136"/>
      <c r="F87" s="3">
        <v>4000</v>
      </c>
      <c r="G87" s="47" t="s">
        <v>51</v>
      </c>
      <c r="H87" s="4">
        <v>0.14000000000000001</v>
      </c>
      <c r="I87" s="4">
        <v>1.03</v>
      </c>
      <c r="J87" s="55" t="s">
        <v>218</v>
      </c>
      <c r="K87" s="146"/>
    </row>
    <row r="88" spans="1:11" ht="8.4499999999999993" customHeight="1">
      <c r="A88" s="56"/>
      <c r="B88" s="57"/>
      <c r="C88" s="58"/>
      <c r="D88" s="58"/>
      <c r="E88" s="58"/>
      <c r="F88" s="59"/>
      <c r="G88" s="58"/>
      <c r="H88" s="60"/>
      <c r="I88" s="72"/>
      <c r="J88" s="73"/>
      <c r="K88" s="73"/>
    </row>
    <row r="89" spans="1:11" ht="24" customHeight="1">
      <c r="A89" s="61"/>
      <c r="B89" s="12"/>
      <c r="C89" s="25"/>
      <c r="D89" s="137" t="s">
        <v>227</v>
      </c>
      <c r="E89" s="137"/>
      <c r="F89" s="62">
        <f>SUM(F27:F88)</f>
        <v>2386500</v>
      </c>
      <c r="G89" s="63"/>
      <c r="H89" s="64">
        <f>SUM(H27:H88)</f>
        <v>71.213999999999999</v>
      </c>
      <c r="I89" s="64">
        <f>SUM(I27:I88)</f>
        <v>125.504</v>
      </c>
      <c r="J89" s="74"/>
      <c r="K89" s="74"/>
    </row>
    <row r="90" spans="1:11">
      <c r="A90" s="61"/>
      <c r="B90" s="12"/>
      <c r="C90" s="25"/>
      <c r="D90" s="65"/>
      <c r="E90" s="63"/>
      <c r="F90" s="66"/>
      <c r="G90" s="63"/>
      <c r="H90" s="67"/>
      <c r="I90" s="67"/>
      <c r="J90" s="74"/>
      <c r="K90" s="74"/>
    </row>
    <row r="91" spans="1:11">
      <c r="A91" s="61"/>
      <c r="D91" s="138"/>
      <c r="E91" s="138"/>
      <c r="F91" s="68"/>
      <c r="J91" s="75"/>
      <c r="K91" s="75"/>
    </row>
    <row r="92" spans="1:11">
      <c r="A92" s="61"/>
      <c r="D92" s="69"/>
      <c r="E92" s="41"/>
      <c r="F92" s="12"/>
      <c r="J92" s="75"/>
      <c r="K92" s="75"/>
    </row>
    <row r="93" spans="1:11">
      <c r="A93" s="61"/>
      <c r="D93" s="138" t="s">
        <v>228</v>
      </c>
      <c r="E93" s="138"/>
      <c r="F93" s="12" t="s">
        <v>229</v>
      </c>
      <c r="J93" s="75"/>
      <c r="K93" s="75"/>
    </row>
    <row r="94" spans="1:11">
      <c r="A94" s="61"/>
      <c r="D94" s="138" t="s">
        <v>230</v>
      </c>
      <c r="E94" s="138"/>
      <c r="F94" s="12" t="s">
        <v>231</v>
      </c>
      <c r="J94" s="75"/>
      <c r="K94" s="75"/>
    </row>
    <row r="95" spans="1:11">
      <c r="A95" s="70"/>
      <c r="B95" s="71"/>
      <c r="C95" s="71"/>
      <c r="D95" s="71"/>
      <c r="E95" s="71"/>
      <c r="F95" s="71"/>
      <c r="G95" s="71"/>
      <c r="H95" s="71"/>
      <c r="I95" s="71"/>
      <c r="J95" s="76"/>
      <c r="K95" s="76"/>
    </row>
  </sheetData>
  <mergeCells count="82">
    <mergeCell ref="A1:K2"/>
    <mergeCell ref="D25:E26"/>
    <mergeCell ref="F25:F26"/>
    <mergeCell ref="G25:G26"/>
    <mergeCell ref="J25:J26"/>
    <mergeCell ref="K25:K26"/>
    <mergeCell ref="K27:K87"/>
    <mergeCell ref="D93:E93"/>
    <mergeCell ref="D94:E94"/>
    <mergeCell ref="A25:A26"/>
    <mergeCell ref="B25:B26"/>
    <mergeCell ref="C25:C26"/>
    <mergeCell ref="D85:E85"/>
    <mergeCell ref="D86:E86"/>
    <mergeCell ref="D87:E87"/>
    <mergeCell ref="D89:E89"/>
    <mergeCell ref="D91:E91"/>
    <mergeCell ref="D80:E80"/>
    <mergeCell ref="D81:E81"/>
    <mergeCell ref="D82:E82"/>
    <mergeCell ref="D83:E83"/>
    <mergeCell ref="D84:E84"/>
    <mergeCell ref="D75:E75"/>
    <mergeCell ref="D76:E76"/>
    <mergeCell ref="D77:E77"/>
    <mergeCell ref="D78:E78"/>
    <mergeCell ref="D79:E79"/>
    <mergeCell ref="D70:E70"/>
    <mergeCell ref="D71:E71"/>
    <mergeCell ref="D72:E72"/>
    <mergeCell ref="D73:E73"/>
    <mergeCell ref="D74:E74"/>
    <mergeCell ref="D65:E65"/>
    <mergeCell ref="D66:E66"/>
    <mergeCell ref="D67:E67"/>
    <mergeCell ref="D68:E68"/>
    <mergeCell ref="D69:E69"/>
    <mergeCell ref="D60:E60"/>
    <mergeCell ref="D61:E61"/>
    <mergeCell ref="D62:E62"/>
    <mergeCell ref="D63:E63"/>
    <mergeCell ref="D64:E64"/>
    <mergeCell ref="D55:E55"/>
    <mergeCell ref="D56:E56"/>
    <mergeCell ref="D57:E57"/>
    <mergeCell ref="D58:E58"/>
    <mergeCell ref="D59:E59"/>
    <mergeCell ref="D50:E50"/>
    <mergeCell ref="D51:E51"/>
    <mergeCell ref="D52:E52"/>
    <mergeCell ref="D53:E53"/>
    <mergeCell ref="D54:E54"/>
    <mergeCell ref="D45:E45"/>
    <mergeCell ref="D46:E46"/>
    <mergeCell ref="D47:E47"/>
    <mergeCell ref="D48:E48"/>
    <mergeCell ref="D49:E49"/>
    <mergeCell ref="D40:E40"/>
    <mergeCell ref="D41:E41"/>
    <mergeCell ref="D42:E42"/>
    <mergeCell ref="D43:E43"/>
    <mergeCell ref="D44:E44"/>
    <mergeCell ref="D35:E35"/>
    <mergeCell ref="D36:E36"/>
    <mergeCell ref="D37:E37"/>
    <mergeCell ref="D38:E38"/>
    <mergeCell ref="D39:E39"/>
    <mergeCell ref="D30:E30"/>
    <mergeCell ref="D31:E31"/>
    <mergeCell ref="D32:E32"/>
    <mergeCell ref="D33:E33"/>
    <mergeCell ref="D34:E34"/>
    <mergeCell ref="A24:C24"/>
    <mergeCell ref="D24:E24"/>
    <mergeCell ref="D27:E27"/>
    <mergeCell ref="D28:E28"/>
    <mergeCell ref="D29:E29"/>
    <mergeCell ref="F20:G20"/>
    <mergeCell ref="F21:G21"/>
    <mergeCell ref="A22:C22"/>
    <mergeCell ref="D22:E22"/>
    <mergeCell ref="F22:G22"/>
  </mergeCells>
  <printOptions horizontalCentered="1"/>
  <pageMargins left="0" right="0" top="0.39370078740157499" bottom="0" header="0.511811023622047" footer="0.511811023622047"/>
  <pageSetup paperSize="9" scale="51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"/>
  <sheetViews>
    <sheetView workbookViewId="0">
      <selection activeCell="I15" sqref="I15"/>
    </sheetView>
  </sheetViews>
  <sheetFormatPr defaultColWidth="9" defaultRowHeight="13.5"/>
  <cols>
    <col min="1" max="1" width="14.5" customWidth="1"/>
    <col min="2" max="2" width="10.375"/>
    <col min="6" max="6" width="13.375" customWidth="1"/>
    <col min="9" max="9" width="19.75" style="1" customWidth="1"/>
  </cols>
  <sheetData>
    <row r="1" spans="1:9">
      <c r="A1" t="s">
        <v>36</v>
      </c>
      <c r="B1" t="s">
        <v>39</v>
      </c>
      <c r="C1" t="s">
        <v>206</v>
      </c>
    </row>
    <row r="2" spans="1:9" ht="14.25">
      <c r="A2" s="2" t="s">
        <v>98</v>
      </c>
      <c r="B2" s="3">
        <v>50000</v>
      </c>
      <c r="C2" s="4">
        <v>0.7</v>
      </c>
      <c r="G2" t="s">
        <v>39</v>
      </c>
      <c r="H2" t="s">
        <v>206</v>
      </c>
    </row>
    <row r="3" spans="1:9" ht="14.25">
      <c r="A3" s="2" t="s">
        <v>98</v>
      </c>
      <c r="B3" s="3">
        <v>10000</v>
      </c>
      <c r="C3" s="4">
        <v>0.14000000000000001</v>
      </c>
      <c r="F3" t="s">
        <v>98</v>
      </c>
      <c r="G3">
        <v>310000</v>
      </c>
      <c r="H3">
        <v>4.34</v>
      </c>
      <c r="I3" s="1">
        <f>H3/G3</f>
        <v>1.4E-5</v>
      </c>
    </row>
    <row r="4" spans="1:9" ht="14.25">
      <c r="A4" s="2" t="s">
        <v>178</v>
      </c>
      <c r="B4" s="3">
        <v>10000</v>
      </c>
      <c r="C4" s="4">
        <v>0.14000000000000001</v>
      </c>
      <c r="F4" t="s">
        <v>178</v>
      </c>
      <c r="G4">
        <v>100000</v>
      </c>
      <c r="H4">
        <v>8.4</v>
      </c>
      <c r="I4" s="1">
        <f t="shared" ref="I4:I27" si="0">H4/G4</f>
        <v>8.3999999999999995E-5</v>
      </c>
    </row>
    <row r="5" spans="1:9" ht="14.25">
      <c r="A5" s="2" t="s">
        <v>148</v>
      </c>
      <c r="B5" s="3">
        <v>10000</v>
      </c>
      <c r="C5" s="4">
        <v>0.14000000000000001</v>
      </c>
      <c r="F5" t="s">
        <v>148</v>
      </c>
      <c r="G5">
        <v>10000</v>
      </c>
      <c r="H5">
        <v>0.14000000000000001</v>
      </c>
      <c r="I5" s="1">
        <f t="shared" si="0"/>
        <v>1.4E-5</v>
      </c>
    </row>
    <row r="6" spans="1:9" ht="14.25">
      <c r="A6" s="2" t="s">
        <v>134</v>
      </c>
      <c r="B6" s="3">
        <v>10000</v>
      </c>
      <c r="C6" s="4">
        <v>0.14000000000000001</v>
      </c>
      <c r="F6" t="s">
        <v>134</v>
      </c>
      <c r="G6">
        <v>20000</v>
      </c>
      <c r="H6">
        <v>0.28000000000000003</v>
      </c>
      <c r="I6" s="1">
        <f t="shared" si="0"/>
        <v>1.4E-5</v>
      </c>
    </row>
    <row r="7" spans="1:9" ht="14.25">
      <c r="A7" s="2" t="s">
        <v>98</v>
      </c>
      <c r="B7" s="3">
        <v>40000</v>
      </c>
      <c r="C7" s="4">
        <v>0.56000000000000005</v>
      </c>
      <c r="F7" t="s">
        <v>128</v>
      </c>
      <c r="G7">
        <v>20000</v>
      </c>
      <c r="H7">
        <v>0.8</v>
      </c>
      <c r="I7" s="1">
        <f t="shared" si="0"/>
        <v>4.0000000000000003E-5</v>
      </c>
    </row>
    <row r="8" spans="1:9" ht="14.25">
      <c r="A8" s="2" t="s">
        <v>178</v>
      </c>
      <c r="B8" s="3">
        <v>60000</v>
      </c>
      <c r="C8" s="4">
        <v>7.84</v>
      </c>
      <c r="F8" t="s">
        <v>67</v>
      </c>
      <c r="G8">
        <v>20000</v>
      </c>
      <c r="H8">
        <v>0.28000000000000003</v>
      </c>
      <c r="I8" s="1">
        <f t="shared" si="0"/>
        <v>1.4E-5</v>
      </c>
    </row>
    <row r="9" spans="1:9" ht="14.25">
      <c r="A9" s="2" t="s">
        <v>128</v>
      </c>
      <c r="B9" s="3">
        <v>2000</v>
      </c>
      <c r="C9" s="4">
        <v>0.08</v>
      </c>
      <c r="F9" t="s">
        <v>82</v>
      </c>
      <c r="G9">
        <v>10000</v>
      </c>
      <c r="H9">
        <v>0.14000000000000001</v>
      </c>
      <c r="I9" s="1">
        <f t="shared" si="0"/>
        <v>1.4E-5</v>
      </c>
    </row>
    <row r="10" spans="1:9" ht="14.25">
      <c r="A10" s="2" t="s">
        <v>67</v>
      </c>
      <c r="B10" s="3">
        <v>20000</v>
      </c>
      <c r="C10" s="4">
        <v>0.28000000000000003</v>
      </c>
      <c r="F10" t="s">
        <v>93</v>
      </c>
      <c r="G10">
        <v>50000</v>
      </c>
      <c r="H10">
        <v>0.7</v>
      </c>
      <c r="I10" s="1">
        <f t="shared" si="0"/>
        <v>1.4E-5</v>
      </c>
    </row>
    <row r="11" spans="1:9" ht="14.25">
      <c r="A11" s="2" t="s">
        <v>134</v>
      </c>
      <c r="B11" s="3">
        <v>10000</v>
      </c>
      <c r="C11" s="4">
        <v>0.14000000000000001</v>
      </c>
      <c r="F11" t="s">
        <v>121</v>
      </c>
      <c r="G11">
        <v>1360000</v>
      </c>
      <c r="H11">
        <v>19.04</v>
      </c>
      <c r="I11" s="1">
        <f t="shared" si="0"/>
        <v>1.4E-5</v>
      </c>
    </row>
    <row r="12" spans="1:9" ht="14.25">
      <c r="A12" s="2" t="s">
        <v>82</v>
      </c>
      <c r="B12" s="3">
        <v>10000</v>
      </c>
      <c r="C12" s="4">
        <v>0.14000000000000001</v>
      </c>
      <c r="F12" t="s">
        <v>59</v>
      </c>
      <c r="G12">
        <v>40000</v>
      </c>
      <c r="H12">
        <v>0.56000000000000005</v>
      </c>
      <c r="I12" s="1">
        <f t="shared" si="0"/>
        <v>1.4E-5</v>
      </c>
    </row>
    <row r="13" spans="1:9" ht="14.25">
      <c r="A13" s="2" t="s">
        <v>93</v>
      </c>
      <c r="B13" s="3">
        <v>10000</v>
      </c>
      <c r="C13" s="4">
        <v>0.14000000000000001</v>
      </c>
      <c r="F13" t="s">
        <v>193</v>
      </c>
      <c r="G13">
        <v>2000</v>
      </c>
      <c r="H13">
        <v>0.56999999999999995</v>
      </c>
      <c r="I13" s="1">
        <f t="shared" si="0"/>
        <v>2.8499999999999999E-4</v>
      </c>
    </row>
    <row r="14" spans="1:9" ht="14.25">
      <c r="A14" s="2" t="s">
        <v>93</v>
      </c>
      <c r="B14" s="3">
        <v>40000</v>
      </c>
      <c r="C14" s="4">
        <v>0.56000000000000005</v>
      </c>
      <c r="F14" t="s">
        <v>50</v>
      </c>
      <c r="G14">
        <v>20000</v>
      </c>
      <c r="H14">
        <v>0.7</v>
      </c>
      <c r="I14" s="1">
        <f t="shared" si="0"/>
        <v>3.4999999999999997E-5</v>
      </c>
    </row>
    <row r="15" spans="1:9" ht="14.25">
      <c r="A15" s="2" t="s">
        <v>121</v>
      </c>
      <c r="B15" s="3">
        <v>580000</v>
      </c>
      <c r="C15" s="4">
        <v>8.1199999999999992</v>
      </c>
      <c r="F15" t="s">
        <v>75</v>
      </c>
      <c r="G15">
        <v>56000</v>
      </c>
      <c r="H15">
        <v>1.96</v>
      </c>
      <c r="I15" s="1">
        <f t="shared" si="0"/>
        <v>3.4999999999999997E-5</v>
      </c>
    </row>
    <row r="16" spans="1:9" ht="14.25">
      <c r="A16" s="2" t="s">
        <v>59</v>
      </c>
      <c r="B16" s="3">
        <v>10000</v>
      </c>
      <c r="C16" s="4">
        <v>0.14000000000000001</v>
      </c>
      <c r="F16" t="s">
        <v>89</v>
      </c>
      <c r="G16">
        <v>40000</v>
      </c>
      <c r="H16">
        <v>1.4</v>
      </c>
      <c r="I16" s="1">
        <f t="shared" si="0"/>
        <v>3.4999999999999997E-5</v>
      </c>
    </row>
    <row r="17" spans="1:9" ht="14.25">
      <c r="A17" s="2" t="s">
        <v>59</v>
      </c>
      <c r="B17" s="3">
        <v>30000</v>
      </c>
      <c r="C17" s="4">
        <v>0.42</v>
      </c>
      <c r="F17" t="s">
        <v>142</v>
      </c>
      <c r="G17">
        <v>204000</v>
      </c>
      <c r="H17">
        <v>7.14</v>
      </c>
      <c r="I17" s="1">
        <f t="shared" si="0"/>
        <v>3.4999999999999997E-5</v>
      </c>
    </row>
    <row r="18" spans="1:9" ht="14.25">
      <c r="A18" s="2" t="s">
        <v>121</v>
      </c>
      <c r="B18" s="3">
        <v>70000</v>
      </c>
      <c r="C18" s="4">
        <v>0.98</v>
      </c>
      <c r="F18" t="s">
        <v>63</v>
      </c>
      <c r="G18">
        <v>4000</v>
      </c>
      <c r="H18">
        <v>0.14000000000000001</v>
      </c>
      <c r="I18" s="1">
        <f t="shared" si="0"/>
        <v>3.4999999999999997E-5</v>
      </c>
    </row>
    <row r="19" spans="1:9" ht="14.25">
      <c r="A19" s="2" t="s">
        <v>98</v>
      </c>
      <c r="B19" s="3">
        <v>70000</v>
      </c>
      <c r="C19" s="4">
        <v>0.98</v>
      </c>
      <c r="F19" t="s">
        <v>71</v>
      </c>
      <c r="G19">
        <v>68000</v>
      </c>
      <c r="H19">
        <v>2.38</v>
      </c>
      <c r="I19" s="1">
        <f t="shared" si="0"/>
        <v>3.4999999999999997E-5</v>
      </c>
    </row>
    <row r="20" spans="1:9" ht="14.25">
      <c r="A20" s="2" t="s">
        <v>98</v>
      </c>
      <c r="B20" s="3">
        <v>110000</v>
      </c>
      <c r="C20" s="4">
        <v>1.54</v>
      </c>
      <c r="F20" t="s">
        <v>106</v>
      </c>
      <c r="G20">
        <v>20000</v>
      </c>
      <c r="H20">
        <v>0.70399999999999996</v>
      </c>
      <c r="I20" s="1">
        <f t="shared" si="0"/>
        <v>3.5200000000000002E-5</v>
      </c>
    </row>
    <row r="21" spans="1:9" ht="14.25">
      <c r="A21" s="2" t="s">
        <v>178</v>
      </c>
      <c r="B21" s="3">
        <v>30000</v>
      </c>
      <c r="C21" s="4">
        <v>0.42</v>
      </c>
      <c r="F21" t="s">
        <v>174</v>
      </c>
      <c r="G21">
        <v>9000</v>
      </c>
      <c r="H21">
        <v>0.42</v>
      </c>
      <c r="I21" s="1">
        <f t="shared" si="0"/>
        <v>4.6666666666666699E-5</v>
      </c>
    </row>
    <row r="22" spans="1:9" ht="14.25">
      <c r="A22" s="2" t="s">
        <v>193</v>
      </c>
      <c r="B22" s="3">
        <v>2000</v>
      </c>
      <c r="C22" s="4">
        <v>0.56999999999999995</v>
      </c>
      <c r="F22" t="s">
        <v>125</v>
      </c>
      <c r="G22">
        <v>18000</v>
      </c>
      <c r="H22">
        <v>18</v>
      </c>
      <c r="I22" s="1">
        <f t="shared" si="0"/>
        <v>1E-3</v>
      </c>
    </row>
    <row r="23" spans="1:9" ht="14.25">
      <c r="A23" s="2" t="s">
        <v>50</v>
      </c>
      <c r="B23" s="3">
        <v>4000</v>
      </c>
      <c r="C23" s="4">
        <v>0.14000000000000001</v>
      </c>
      <c r="F23" t="s">
        <v>183</v>
      </c>
      <c r="G23">
        <v>1000</v>
      </c>
      <c r="H23">
        <v>1</v>
      </c>
      <c r="I23" s="1">
        <f t="shared" si="0"/>
        <v>1E-3</v>
      </c>
    </row>
    <row r="24" spans="1:9" ht="14.25">
      <c r="A24" s="2" t="s">
        <v>75</v>
      </c>
      <c r="B24" s="3">
        <v>44000</v>
      </c>
      <c r="C24" s="4">
        <v>1.54</v>
      </c>
      <c r="F24" t="s">
        <v>197</v>
      </c>
      <c r="G24">
        <v>1000</v>
      </c>
      <c r="H24">
        <v>1</v>
      </c>
      <c r="I24" s="1">
        <f t="shared" si="0"/>
        <v>1E-3</v>
      </c>
    </row>
    <row r="25" spans="1:9" ht="14.25">
      <c r="A25" s="2" t="s">
        <v>89</v>
      </c>
      <c r="B25" s="3">
        <v>4000</v>
      </c>
      <c r="C25" s="4">
        <v>0.14000000000000001</v>
      </c>
      <c r="F25" t="s">
        <v>187</v>
      </c>
      <c r="G25">
        <v>2000</v>
      </c>
      <c r="H25">
        <v>0.12</v>
      </c>
      <c r="I25" s="1">
        <f t="shared" si="0"/>
        <v>6.0000000000000002E-5</v>
      </c>
    </row>
    <row r="26" spans="1:9" ht="14.25">
      <c r="A26" s="2" t="s">
        <v>142</v>
      </c>
      <c r="B26" s="3">
        <v>20000</v>
      </c>
      <c r="C26" s="4">
        <v>0.7</v>
      </c>
      <c r="F26" t="s">
        <v>170</v>
      </c>
      <c r="G26">
        <v>1500</v>
      </c>
      <c r="H26">
        <v>1</v>
      </c>
      <c r="I26" s="1">
        <f t="shared" si="0"/>
        <v>6.6666666666666697E-4</v>
      </c>
    </row>
    <row r="27" spans="1:9" ht="14.25">
      <c r="A27" s="2" t="s">
        <v>75</v>
      </c>
      <c r="B27" s="3">
        <v>12000</v>
      </c>
      <c r="C27" s="4">
        <v>0.42</v>
      </c>
      <c r="G27">
        <f>SUM(G3:G26)</f>
        <v>2386500</v>
      </c>
      <c r="H27">
        <f>SUM(H3:H26)</f>
        <v>71.213999999999999</v>
      </c>
      <c r="I27" s="1">
        <f t="shared" si="0"/>
        <v>2.98403519798869E-5</v>
      </c>
    </row>
    <row r="28" spans="1:9" ht="14.25">
      <c r="A28" s="2" t="s">
        <v>89</v>
      </c>
      <c r="B28" s="3">
        <v>32000</v>
      </c>
      <c r="C28" s="4">
        <v>1.1200000000000001</v>
      </c>
    </row>
    <row r="29" spans="1:9" ht="14.25">
      <c r="A29" s="2" t="s">
        <v>63</v>
      </c>
      <c r="B29" s="3">
        <v>4000</v>
      </c>
      <c r="C29" s="4">
        <v>0.14000000000000001</v>
      </c>
    </row>
    <row r="30" spans="1:9" ht="14.25">
      <c r="A30" s="2" t="s">
        <v>121</v>
      </c>
      <c r="B30" s="3">
        <v>20000</v>
      </c>
      <c r="C30" s="4">
        <v>0.28000000000000003</v>
      </c>
    </row>
    <row r="31" spans="1:9" ht="14.25">
      <c r="A31" s="2" t="s">
        <v>50</v>
      </c>
      <c r="B31" s="3">
        <v>12000</v>
      </c>
      <c r="C31" s="4">
        <v>0.42</v>
      </c>
    </row>
    <row r="32" spans="1:9" ht="14.25">
      <c r="A32" s="2" t="s">
        <v>50</v>
      </c>
      <c r="B32" s="3">
        <v>4000</v>
      </c>
      <c r="C32" s="4">
        <v>0.14000000000000001</v>
      </c>
    </row>
    <row r="33" spans="1:3" ht="14.25">
      <c r="A33" s="2" t="s">
        <v>71</v>
      </c>
      <c r="B33" s="3">
        <v>16000</v>
      </c>
      <c r="C33" s="4">
        <v>0.56000000000000005</v>
      </c>
    </row>
    <row r="34" spans="1:3" ht="14.25">
      <c r="A34" s="2" t="s">
        <v>71</v>
      </c>
      <c r="B34" s="3">
        <v>8000</v>
      </c>
      <c r="C34" s="4">
        <v>0.28000000000000003</v>
      </c>
    </row>
    <row r="35" spans="1:3" ht="14.25">
      <c r="A35" s="2" t="s">
        <v>106</v>
      </c>
      <c r="B35" s="3">
        <v>4000</v>
      </c>
      <c r="C35" s="4">
        <v>0.14000000000000001</v>
      </c>
    </row>
    <row r="36" spans="1:3" ht="14.25">
      <c r="A36" s="2" t="s">
        <v>71</v>
      </c>
      <c r="B36" s="3">
        <v>12000</v>
      </c>
      <c r="C36" s="4">
        <v>0.42</v>
      </c>
    </row>
    <row r="37" spans="1:3" ht="14.25">
      <c r="A37" s="2" t="s">
        <v>71</v>
      </c>
      <c r="B37" s="3">
        <v>4000</v>
      </c>
      <c r="C37" s="4">
        <v>0.14000000000000001</v>
      </c>
    </row>
    <row r="38" spans="1:3" ht="14.25">
      <c r="A38" s="2" t="s">
        <v>71</v>
      </c>
      <c r="B38" s="3">
        <v>16000</v>
      </c>
      <c r="C38" s="4">
        <v>0.56000000000000005</v>
      </c>
    </row>
    <row r="39" spans="1:3" ht="14.25">
      <c r="A39" s="2" t="s">
        <v>142</v>
      </c>
      <c r="B39" s="3">
        <v>12000</v>
      </c>
      <c r="C39" s="4">
        <v>0.42</v>
      </c>
    </row>
    <row r="40" spans="1:3" ht="14.25">
      <c r="A40" s="2" t="s">
        <v>142</v>
      </c>
      <c r="B40" s="3">
        <v>60000</v>
      </c>
      <c r="C40" s="4">
        <v>2.1</v>
      </c>
    </row>
    <row r="41" spans="1:3" ht="14.25">
      <c r="A41" s="2" t="s">
        <v>142</v>
      </c>
      <c r="B41" s="3">
        <v>24000</v>
      </c>
      <c r="C41" s="4">
        <v>0.84</v>
      </c>
    </row>
    <row r="42" spans="1:3" ht="14.25">
      <c r="A42" s="2" t="s">
        <v>106</v>
      </c>
      <c r="B42" s="3">
        <v>4000</v>
      </c>
      <c r="C42" s="4">
        <v>0.14399999999999999</v>
      </c>
    </row>
    <row r="43" spans="1:3" ht="14.25">
      <c r="A43" s="2" t="s">
        <v>121</v>
      </c>
      <c r="B43" s="3">
        <v>180000</v>
      </c>
      <c r="C43" s="4">
        <v>2.52</v>
      </c>
    </row>
    <row r="44" spans="1:3" ht="14.25">
      <c r="A44" s="2" t="s">
        <v>121</v>
      </c>
      <c r="B44" s="3">
        <v>230000</v>
      </c>
      <c r="C44" s="4">
        <v>3.22</v>
      </c>
    </row>
    <row r="45" spans="1:3" ht="14.25">
      <c r="A45" s="2" t="s">
        <v>174</v>
      </c>
      <c r="B45" s="3">
        <v>9000</v>
      </c>
      <c r="C45" s="4">
        <v>0.42</v>
      </c>
    </row>
    <row r="46" spans="1:3" ht="14.25">
      <c r="A46" s="2" t="s">
        <v>142</v>
      </c>
      <c r="B46" s="3">
        <v>24000</v>
      </c>
      <c r="C46" s="4">
        <v>0.84</v>
      </c>
    </row>
    <row r="47" spans="1:3" ht="14.25">
      <c r="A47" s="2" t="s">
        <v>142</v>
      </c>
      <c r="B47" s="3">
        <v>8000</v>
      </c>
      <c r="C47" s="4">
        <v>0.28000000000000003</v>
      </c>
    </row>
    <row r="48" spans="1:3" ht="14.25">
      <c r="A48" s="2" t="s">
        <v>142</v>
      </c>
      <c r="B48" s="3">
        <v>56000</v>
      </c>
      <c r="C48" s="4">
        <v>1.96</v>
      </c>
    </row>
    <row r="49" spans="1:3" ht="14.25">
      <c r="A49" s="2" t="s">
        <v>71</v>
      </c>
      <c r="B49" s="3">
        <v>12000</v>
      </c>
      <c r="C49" s="4">
        <v>0.42</v>
      </c>
    </row>
    <row r="50" spans="1:3" ht="14.25">
      <c r="A50" s="2" t="s">
        <v>106</v>
      </c>
      <c r="B50" s="3">
        <v>12000</v>
      </c>
      <c r="C50" s="4">
        <v>0.42</v>
      </c>
    </row>
    <row r="51" spans="1:3" ht="14.25">
      <c r="A51" s="2" t="s">
        <v>121</v>
      </c>
      <c r="B51" s="3">
        <v>280000</v>
      </c>
      <c r="C51" s="4">
        <v>3.92</v>
      </c>
    </row>
    <row r="52" spans="1:3" ht="14.25">
      <c r="A52" s="2" t="s">
        <v>128</v>
      </c>
      <c r="B52" s="3">
        <v>2000</v>
      </c>
      <c r="C52" s="4">
        <v>0.08</v>
      </c>
    </row>
    <row r="53" spans="1:3" ht="14.25">
      <c r="A53" s="2" t="s">
        <v>128</v>
      </c>
      <c r="B53" s="3">
        <v>16000</v>
      </c>
      <c r="C53" s="4">
        <v>0.64</v>
      </c>
    </row>
    <row r="54" spans="1:3" ht="14.25">
      <c r="A54" s="2" t="s">
        <v>125</v>
      </c>
      <c r="B54" s="3">
        <v>1000</v>
      </c>
      <c r="C54" s="4">
        <v>1</v>
      </c>
    </row>
    <row r="55" spans="1:3" ht="14.25">
      <c r="A55" s="2" t="s">
        <v>125</v>
      </c>
      <c r="B55" s="3">
        <v>2000</v>
      </c>
      <c r="C55" s="4">
        <v>2</v>
      </c>
    </row>
    <row r="56" spans="1:3" ht="14.25">
      <c r="A56" s="2" t="s">
        <v>183</v>
      </c>
      <c r="B56" s="3">
        <v>1000</v>
      </c>
      <c r="C56" s="4">
        <v>1</v>
      </c>
    </row>
    <row r="57" spans="1:3" ht="14.25">
      <c r="A57" s="2" t="s">
        <v>197</v>
      </c>
      <c r="B57" s="3">
        <v>1000</v>
      </c>
      <c r="C57" s="4">
        <v>1</v>
      </c>
    </row>
    <row r="58" spans="1:3" ht="14.25">
      <c r="A58" s="2" t="s">
        <v>187</v>
      </c>
      <c r="B58" s="3">
        <v>2000</v>
      </c>
      <c r="C58" s="4">
        <v>0.12</v>
      </c>
    </row>
    <row r="59" spans="1:3" ht="14.25">
      <c r="A59" s="2" t="s">
        <v>125</v>
      </c>
      <c r="B59" s="3">
        <v>15000</v>
      </c>
      <c r="C59" s="4">
        <v>15</v>
      </c>
    </row>
    <row r="60" spans="1:3" ht="14.25">
      <c r="A60" s="2" t="s">
        <v>98</v>
      </c>
      <c r="B60" s="3">
        <v>30000</v>
      </c>
      <c r="C60" s="4">
        <v>0.42</v>
      </c>
    </row>
    <row r="61" spans="1:3" ht="14.25">
      <c r="A61" s="2" t="s">
        <v>170</v>
      </c>
      <c r="B61" s="3">
        <v>1500</v>
      </c>
      <c r="C61" s="4">
        <v>1</v>
      </c>
    </row>
    <row r="62" spans="1:3" ht="14.25">
      <c r="A62" s="2" t="s">
        <v>89</v>
      </c>
      <c r="B62" s="3">
        <v>4000</v>
      </c>
      <c r="C62" s="4">
        <v>0.14000000000000001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D000208</dc:creator>
  <cp:keywords/>
  <dc:description/>
  <cp:lastModifiedBy>Nancy Shen</cp:lastModifiedBy>
  <cp:revision/>
  <dcterms:created xsi:type="dcterms:W3CDTF">2025-07-17T08:11:00Z</dcterms:created>
  <dcterms:modified xsi:type="dcterms:W3CDTF">2025-08-19T01:48:05Z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  <property fmtid="{D5CDD505-2E9C-101B-9397-08002B2CF9AE}" pid="4" name="_IPGFID">
    <vt:lpwstr>[DocID]=A2741CDC-493A-43D4-A61B-4F0C6009EB8C</vt:lpwstr>
  </property>
  <property fmtid="{D5CDD505-2E9C-101B-9397-08002B2CF9AE}" pid="5" name="_IPGFLOW_P-DB2C_E-1_FP-1_SP-1_CV-AB49FDBC_CN-3565A9D8">
    <vt:lpwstr>OheEIW1UvjELdOYxm5b6aOrujRXVIULe/8ljPrgQK/V5rOdWclgACh9+h9DoJaLri1SDgHGfcQpenAmXskgoxpTvRtuizCxU5hlok3gGDTwlZ4ibcGiEXZd4O8ajyHGVNQWHZFrPy2wqgIRd4YmoWdwO8b2wGU+W4Nrn1+JwDKK5CaS6p1VL3LsN4clKX9xp0Eu0r1VsaUlhfzTn1mL0SvoJc6syAPmUchWNp2vDRPNNHBTkKuVx+ROP5wRaX0J</vt:lpwstr>
  </property>
  <property fmtid="{D5CDD505-2E9C-101B-9397-08002B2CF9AE}" pid="6" name="_IPGFLOW_P-DB2C_E-1_FP-1_SP-2_CV-48D4C024_CN-52CDB120">
    <vt:lpwstr>HJ9BkjcghvMY33DmTy6xMEtsfqEdUHmYWLTYurCjZLzuRyeBvTZJvkJa/RRFfO54TcBG0tXjStqvTjbEMB0pX86ZSisYoMp2FcKWj/p8SHSFcDWOL0ROwCETd8u8X81B0KioIf8nBeb2vturX0Wjw1A==</vt:lpwstr>
  </property>
  <property fmtid="{D5CDD505-2E9C-101B-9397-08002B2CF9AE}" pid="7" name="_IPGFLOW_P-DB2C_E-0_FP-1_CV-FB4CA461_CN-BBDF5BCC">
    <vt:lpwstr>DPSPMK|3|408|2|0</vt:lpwstr>
  </property>
  <property fmtid="{D5CDD505-2E9C-101B-9397-08002B2CF9AE}" pid="8" name="_IPGFLOW_P-DB2C_E-1_FP-2_SP-1_CV-6E27AFAD_CN-FEA2A576">
    <vt:lpwstr>OheEIW1UvjELdOYxm5b6aFjOy3WIqsjFhBK0l5ru/bX46H6KcuRNY4helB3ktgUGv14VwSkEWGBJ+2Vlq9RXnmUw6Emnon/+R3wcvFOnj1GNSRFTpfgCKXAJa/tOHFlenGuYGKMGI6a/2iVRrVpMHkV3TMZU4N6QHOM56u7fSKwqoIEf7iJgU4hJL+avIq+kjfraTqP7J4ds4kVdnImd8GeEGpSjsQt8D7F0cAKusjyJFbeMRIxY+8VOaVRJ4C3</vt:lpwstr>
  </property>
  <property fmtid="{D5CDD505-2E9C-101B-9397-08002B2CF9AE}" pid="9" name="_IPGFLOW_P-DB2C_E-1_FP-2_SP-2_CV-E3F2E659_CN-8283409">
    <vt:lpwstr>H5kUPGuBOPSe605GPmAjOck4OplYlVmFcoHQlw7Y+EOM0XJ1HGEssQ0utAZmLRHSQSBYNX3Z5HL8tM4vze0JBejkR31rJ2eGoz3gcQD182p2zTpKuhS0QNldv8OJGeoyhQoYh88RcbIXOkbL+HVoMFw==</vt:lpwstr>
  </property>
  <property fmtid="{D5CDD505-2E9C-101B-9397-08002B2CF9AE}" pid="10" name="_IPGFLOW_P-DB2C_E-0_FP-2_CV-FB4CA461_CN-6153702">
    <vt:lpwstr>DPSPMK|3|408|2|0</vt:lpwstr>
  </property>
  <property fmtid="{D5CDD505-2E9C-101B-9397-08002B2CF9AE}" pid="11" name="_IPGFLOW_P-DB2C_E-1_FP-3_SP-1_CV-86A6AFAD_CN-692C9DCC">
    <vt:lpwstr>ibjKt7aw3/vlo8+s3exVD+gnuEwbGus6s04ZiB4v5bKequsglgoC6bOdc3/C5k3Ipvy1ruYYCLbYM3iTezpYsWaKCrblUW6vRsTFoCHo/1Tx8651pQUgQS12L75E1RyQmwQxWcUYe7A5ru8Ftsn+LOih1JidYP2eYpsSk2E21tIlXj7L86dyuZ1syqc40JBQXITYUr4QpLt7J0kj4xpi7Oyj4mJRIuH2t7fifHclvmAGrdAeyV3x/1IvNphlXkR</vt:lpwstr>
  </property>
  <property fmtid="{D5CDD505-2E9C-101B-9397-08002B2CF9AE}" pid="12" name="_IPGFLOW_P-DB2C_E-1_FP-3_SP-2_CV-2225DD4B_CN-F40EC0BC">
    <vt:lpwstr>Bl+zbiGB+TsAPJTP0ZTnekajlMBb+qf25zGtNITkJKDUD4JIhWU3uRnZuGuVB3ai0wDiSqDEcEDjKOBM9GeDCLxfIdlOuytlDB+42a/d3DhgNTtyu/evRCd2cPLCmzyCEiqt9FR6+m3tOL19Mh67sPg==</vt:lpwstr>
  </property>
  <property fmtid="{D5CDD505-2E9C-101B-9397-08002B2CF9AE}" pid="13" name="_IPGFLOW_P-DB2C_E-0_FP-3_CV-FB4CA461_CN-DB83EE87">
    <vt:lpwstr>DPSPMK|3|408|2|0</vt:lpwstr>
  </property>
  <property fmtid="{D5CDD505-2E9C-101B-9397-08002B2CF9AE}" pid="14" name="_IPGFLOW_P-DB2C_E-0_CV-8E99CE07_CN-81AA208E">
    <vt:lpwstr>DPFPMK|3|50|4|0</vt:lpwstr>
  </property>
  <property fmtid="{D5CDD505-2E9C-101B-9397-08002B2CF9AE}" pid="15" name="_IPGFLOW_P-DB2C_E-1_FP-4_SP-1_CV-4009C539_CN-3150F61F">
    <vt:lpwstr>3qyxEpV5aNWUwa0z5eNDmbUBOTMWGWkV++R1rlnfenTIsFLpWlfMccp/TaoHRlj08QKgkVslYabwYullrrqeJF4a/JXFpDwfoBWrj+uxp+6kqM/B4HzXxc6drwiJfsKQgfyYjMGWr+o5u3SbF5XeYigUXA2jy84hcxJ3iMg5qW/pYBIhsk1wfMwziSxboCktG5Oo4GuX+kcTuR6h6qc2jhNfmvjFlqvaUzvf5VHrcc7AYfmEdYhtFDrOg7YtI8g</vt:lpwstr>
  </property>
  <property fmtid="{D5CDD505-2E9C-101B-9397-08002B2CF9AE}" pid="16" name="_IPGFLOW_P-DB2C_E-1_FP-4_SP-2_CV-117F90AE_CN-42797CD7">
    <vt:lpwstr>SDUDZCoLicETfmC0uHAdibTJ5hPRNxAihIDAchZPE+TJSNTV4rtGKWq+G7jRYO3hv/qHHRYApejoSK5ZGDlN0Cm/Cgzy6ETSYl83+LzpV26AGT+DCWVRJQZUujOkuEvBrHep3YL/iEqtYkyNvuvVV7A==</vt:lpwstr>
  </property>
  <property fmtid="{D5CDD505-2E9C-101B-9397-08002B2CF9AE}" pid="17" name="_IPGFLOW_P-DB2C_E-0_FP-4_CV-FB4CA461_CN-A6F0E8DF">
    <vt:lpwstr>DPSPMK|3|408|2|0</vt:lpwstr>
  </property>
</Properties>
</file>