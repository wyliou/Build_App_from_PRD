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860"/>
  </bookViews>
  <sheets>
    <sheet name="INVOICE" sheetId="1" r:id="rId1"/>
    <sheet name="PACKING" sheetId="2" r:id="rId2"/>
  </sheets>
  <definedNames>
    <definedName name="_xlnm.Print_Area" localSheetId="0">INVOICE!$A$1:$O$43</definedName>
  </definedNames>
  <calcPr calcId="144525"/>
</workbook>
</file>

<file path=xl/comments1.xml><?xml version="1.0" encoding="utf-8"?>
<comments xmlns="http://schemas.openxmlformats.org/spreadsheetml/2006/main">
  <authors>
    <author>D000208</author>
  </authors>
  <commentList>
    <comment ref="K20" authorId="0">
      <text>
        <r>
          <rPr>
            <sz val="14"/>
            <rFont val="宋体"/>
            <charset val="134"/>
          </rPr>
          <t>若是集成电路，需提供晶圆制造地,非集成电路,无需晶圆制造地</t>
        </r>
      </text>
    </comment>
  </commentList>
</comments>
</file>

<file path=xl/comments2.xml><?xml version="1.0" encoding="utf-8"?>
<comments xmlns="http://schemas.openxmlformats.org/spreadsheetml/2006/main">
  <authors>
    <author>D000208</author>
  </authors>
  <commentList>
    <comment ref="D33" authorId="0">
      <text>
        <r>
          <rPr>
            <sz val="10"/>
            <rFont val="宋体"/>
            <charset val="134"/>
          </rPr>
          <t xml:space="preserve">若是托盘，则需要注明托盘材质
</t>
        </r>
      </text>
    </comment>
  </commentList>
</comments>
</file>

<file path=xl/sharedStrings.xml><?xml version="1.0" encoding="utf-8"?>
<sst xmlns="http://schemas.openxmlformats.org/spreadsheetml/2006/main" count="231" uniqueCount="97">
  <si>
    <t>COMMERCIAL INVOICE</t>
  </si>
  <si>
    <t>Shipper/Exporter</t>
  </si>
  <si>
    <t>No. &amp; Date of Invoice</t>
  </si>
  <si>
    <t>香港新捷盛贸易有限公司</t>
  </si>
  <si>
    <t>XJSZL20250808</t>
  </si>
  <si>
    <t xml:space="preserve"> HONG KONG NEW JIE SHENG TRADING LTD</t>
  </si>
  <si>
    <t>Bill To:</t>
  </si>
  <si>
    <t xml:space="preserve"> Payment Term</t>
  </si>
  <si>
    <t>中磊电子（苏州）有限公司</t>
  </si>
  <si>
    <t>SN_FTM 120 Days</t>
  </si>
  <si>
    <t>SERCOMM CORPORATION</t>
  </si>
  <si>
    <t>Ship To:</t>
  </si>
  <si>
    <t xml:space="preserve"> Trade Term</t>
  </si>
  <si>
    <t>DDU</t>
  </si>
  <si>
    <t>Port of Loading</t>
  </si>
  <si>
    <t>Port of Discharge</t>
  </si>
  <si>
    <t xml:space="preserve"> Remarks:</t>
  </si>
  <si>
    <t>Carrier</t>
  </si>
  <si>
    <t>Sailing on/or About</t>
  </si>
  <si>
    <t>贸易国：</t>
  </si>
  <si>
    <t>中国香港</t>
  </si>
  <si>
    <t>ITEM</t>
  </si>
  <si>
    <t>Part No.</t>
  </si>
  <si>
    <t>PO No.</t>
  </si>
  <si>
    <t>Description of Goods</t>
  </si>
  <si>
    <t>Quantity</t>
  </si>
  <si>
    <t>Unit</t>
  </si>
  <si>
    <t>Unit Price</t>
  </si>
  <si>
    <t>Currency</t>
  </si>
  <si>
    <t>Amount</t>
  </si>
  <si>
    <t>COO</t>
  </si>
  <si>
    <t>COD</t>
  </si>
  <si>
    <t>品牌</t>
  </si>
  <si>
    <t>品牌类型</t>
  </si>
  <si>
    <t>型号</t>
  </si>
  <si>
    <t>Net WT(KGS)</t>
  </si>
  <si>
    <t>1</t>
  </si>
  <si>
    <t>3100006RAM</t>
  </si>
  <si>
    <t>A-D5X1RGY-S1</t>
  </si>
  <si>
    <t>PCS</t>
  </si>
  <si>
    <t>USD</t>
  </si>
  <si>
    <t>CHINA</t>
  </si>
  <si>
    <t>无</t>
  </si>
  <si>
    <t>2</t>
  </si>
  <si>
    <t>3</t>
  </si>
  <si>
    <t>310003V0AM</t>
  </si>
  <si>
    <t>A-SP192DG2C-C01-4T</t>
  </si>
  <si>
    <t>4</t>
  </si>
  <si>
    <t>5</t>
  </si>
  <si>
    <t>6</t>
  </si>
  <si>
    <t>7</t>
  </si>
  <si>
    <t>3100065PAM</t>
  </si>
  <si>
    <t>A-SL668YW1D-G20-JY-4T</t>
  </si>
  <si>
    <t>8</t>
  </si>
  <si>
    <t>310006A8AM</t>
  </si>
  <si>
    <t>A-SP192YR6AC-C02-4T</t>
  </si>
  <si>
    <t>9</t>
  </si>
  <si>
    <t xml:space="preserve">                  TOTAL</t>
  </si>
  <si>
    <t>9.5KG</t>
  </si>
  <si>
    <t>1.进境口岸关别代码 ：</t>
  </si>
  <si>
    <t>2358苏园保税</t>
  </si>
  <si>
    <t>2.申报地口岸关别代码 ：</t>
  </si>
  <si>
    <t>3.报关行名称及代码 ：</t>
  </si>
  <si>
    <r>
      <rPr>
        <sz val="10"/>
        <rFont val="Calibri"/>
        <charset val="0"/>
      </rPr>
      <t xml:space="preserve">(3205280029) (91320594771514931X) </t>
    </r>
    <r>
      <rPr>
        <sz val="10"/>
        <rFont val="宋体"/>
        <charset val="134"/>
      </rPr>
      <t>苏州工业园区恒信国际货运代理有限公司</t>
    </r>
  </si>
  <si>
    <t>4.关联手册(账册）编号 ：</t>
  </si>
  <si>
    <t>T2358W000208</t>
  </si>
  <si>
    <t>5.贸易国 ---</t>
  </si>
  <si>
    <t>6.中英文品牌;</t>
  </si>
  <si>
    <r>
      <rPr>
        <sz val="11"/>
        <rFont val="宋体"/>
        <charset val="134"/>
      </rPr>
      <t>无</t>
    </r>
  </si>
  <si>
    <t>7.品牌类型;</t>
  </si>
  <si>
    <t>8.型号</t>
  </si>
  <si>
    <r>
      <rPr>
        <sz val="11"/>
        <rFont val="Calibri"/>
        <charset val="0"/>
      </rPr>
      <t>A-D5X1RGY-S1</t>
    </r>
    <r>
      <rPr>
        <sz val="11"/>
        <rFont val="宋体"/>
        <charset val="0"/>
      </rPr>
      <t>等</t>
    </r>
  </si>
  <si>
    <r>
      <rPr>
        <sz val="10"/>
        <rFont val="Arial"/>
        <charset val="134"/>
      </rPr>
      <t>9.</t>
    </r>
    <r>
      <rPr>
        <sz val="10"/>
        <rFont val="宋体"/>
        <charset val="134"/>
      </rPr>
      <t>成交条款</t>
    </r>
  </si>
  <si>
    <t>10.原产国</t>
  </si>
  <si>
    <t>11.包装方式：</t>
  </si>
  <si>
    <r>
      <rPr>
        <sz val="11"/>
        <rFont val="宋体"/>
        <charset val="134"/>
      </rPr>
      <t>纸箱</t>
    </r>
  </si>
  <si>
    <r>
      <rPr>
        <sz val="10"/>
        <rFont val="Arial"/>
        <charset val="134"/>
      </rPr>
      <t>12.</t>
    </r>
    <r>
      <rPr>
        <sz val="10"/>
        <rFont val="宋体"/>
        <charset val="134"/>
      </rPr>
      <t>运输方式：</t>
    </r>
  </si>
  <si>
    <t>保税港区</t>
  </si>
  <si>
    <t>PACKING LIST</t>
  </si>
  <si>
    <t>No &amp; Date of Invoice</t>
  </si>
  <si>
    <t>Remarks:</t>
  </si>
  <si>
    <t>Port of Departure</t>
  </si>
  <si>
    <t>Port of Arrival</t>
  </si>
  <si>
    <t>CTNS</t>
  </si>
  <si>
    <t>Net WT</t>
  </si>
  <si>
    <t>Gross WT</t>
  </si>
  <si>
    <t>MEASUREMENT  L*W*H(CM)</t>
  </si>
  <si>
    <t>KGS</t>
  </si>
  <si>
    <t>35*24*12</t>
  </si>
  <si>
    <t>52*37*29</t>
  </si>
  <si>
    <t>36*25*25</t>
  </si>
  <si>
    <t>TOTAL</t>
  </si>
  <si>
    <t>0.4m³</t>
  </si>
  <si>
    <t>件数</t>
  </si>
  <si>
    <t>包装种类</t>
  </si>
  <si>
    <t>纸箱</t>
  </si>
  <si>
    <t>托盘材质</t>
  </si>
</sst>
</file>

<file path=xl/styles.xml><?xml version="1.0" encoding="utf-8"?>
<styleSheet xmlns="http://schemas.openxmlformats.org/spreadsheetml/2006/main">
  <numFmts count="11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0.0000_);[Red]\(0.0000\)"/>
    <numFmt numFmtId="178" formatCode="yyyy/m/d;@"/>
    <numFmt numFmtId="179" formatCode="_ * #,##0_ ;_ * \-#,##0_ ;_ * &quot;-&quot;_ ;_ @_ "/>
    <numFmt numFmtId="180" formatCode="0_ "/>
    <numFmt numFmtId="181" formatCode="0.00_ "/>
    <numFmt numFmtId="182" formatCode="0.000_ "/>
    <numFmt numFmtId="183" formatCode="0.00_);[Red]\(0.00\)"/>
    <numFmt numFmtId="184" formatCode="#,##0.00_ "/>
  </numFmts>
  <fonts count="43">
    <font>
      <sz val="11"/>
      <color theme="1"/>
      <name val="宋体"/>
      <charset val="134"/>
      <scheme val="minor"/>
    </font>
    <font>
      <b/>
      <sz val="20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name val="宋体"/>
      <charset val="134"/>
    </font>
    <font>
      <sz val="10"/>
      <name val="微软雅黑"/>
      <charset val="134"/>
    </font>
    <font>
      <sz val="10"/>
      <color rgb="FFFF0000"/>
      <name val="宋体"/>
      <charset val="134"/>
    </font>
    <font>
      <sz val="10"/>
      <name val="Arial"/>
      <charset val="0"/>
    </font>
    <font>
      <sz val="11"/>
      <name val="Calibri"/>
      <charset val="0"/>
    </font>
    <font>
      <sz val="11"/>
      <name val="Calibri"/>
      <charset val="134"/>
    </font>
    <font>
      <sz val="10"/>
      <name val="Calibri"/>
      <charset val="0"/>
    </font>
    <font>
      <sz val="11"/>
      <name val="宋体"/>
      <charset val="134"/>
    </font>
    <font>
      <sz val="10"/>
      <name val="新細明體"/>
      <charset val="136"/>
    </font>
    <font>
      <b/>
      <sz val="10"/>
      <name val="宋体"/>
      <charset val="136"/>
    </font>
    <font>
      <b/>
      <sz val="10"/>
      <name val="新細明體"/>
      <charset val="136"/>
    </font>
    <font>
      <sz val="18"/>
      <color theme="1"/>
      <name val="宋体"/>
      <charset val="134"/>
      <scheme val="minor"/>
    </font>
    <font>
      <b/>
      <sz val="18"/>
      <name val="Arial"/>
      <charset val="134"/>
    </font>
    <font>
      <sz val="10"/>
      <color rgb="FFFF0000"/>
      <name val="Arial"/>
      <charset val="134"/>
    </font>
    <font>
      <sz val="11"/>
      <name val="宋体"/>
      <charset val="0"/>
    </font>
    <font>
      <sz val="10"/>
      <color indexed="12"/>
      <name val="新細明體"/>
      <charset val="136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新細明體"/>
      <charset val="136"/>
    </font>
    <font>
      <sz val="14"/>
      <name val="宋体"/>
      <charset val="134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4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8" borderId="16" applyNumberFormat="0" applyFont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32" fillId="12" borderId="19" applyNumberFormat="0" applyAlignment="0" applyProtection="0">
      <alignment vertical="center"/>
    </xf>
    <xf numFmtId="0" fontId="33" fillId="12" borderId="15" applyNumberFormat="0" applyAlignment="0" applyProtection="0">
      <alignment vertical="center"/>
    </xf>
    <xf numFmtId="0" fontId="34" fillId="13" borderId="20" applyNumberFormat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35" fillId="0" borderId="21" applyNumberFormat="0" applyFill="0" applyAlignment="0" applyProtection="0">
      <alignment vertical="center"/>
    </xf>
    <xf numFmtId="0" fontId="36" fillId="0" borderId="22" applyNumberFormat="0" applyFill="0" applyAlignment="0" applyProtection="0">
      <alignment vertical="center"/>
    </xf>
    <xf numFmtId="0" fontId="37" fillId="0" borderId="0"/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37" fillId="0" borderId="0"/>
    <xf numFmtId="0" fontId="20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37" fillId="0" borderId="0"/>
    <xf numFmtId="0" fontId="37" fillId="0" borderId="0"/>
    <xf numFmtId="0" fontId="40" fillId="0" borderId="0"/>
  </cellStyleXfs>
  <cellXfs count="164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1" xfId="31" applyFont="1" applyFill="1" applyBorder="1" applyAlignment="1">
      <alignment horizontal="center" vertical="center"/>
    </xf>
    <xf numFmtId="0" fontId="1" fillId="0" borderId="2" xfId="31" applyFont="1" applyFill="1" applyBorder="1" applyAlignment="1">
      <alignment horizontal="center" vertical="center"/>
    </xf>
    <xf numFmtId="0" fontId="2" fillId="0" borderId="1" xfId="31" applyFont="1" applyFill="1" applyBorder="1"/>
    <xf numFmtId="0" fontId="2" fillId="0" borderId="2" xfId="31" applyFont="1" applyFill="1" applyBorder="1"/>
    <xf numFmtId="0" fontId="3" fillId="0" borderId="2" xfId="31" applyFont="1" applyFill="1" applyBorder="1"/>
    <xf numFmtId="0" fontId="4" fillId="0" borderId="3" xfId="0" applyFont="1" applyFill="1" applyBorder="1" applyAlignment="1"/>
    <xf numFmtId="0" fontId="3" fillId="0" borderId="0" xfId="31" applyFont="1" applyFill="1" applyBorder="1" applyAlignment="1">
      <alignment horizontal="left"/>
    </xf>
    <xf numFmtId="0" fontId="3" fillId="0" borderId="0" xfId="31" applyFont="1" applyFill="1" applyBorder="1"/>
    <xf numFmtId="0" fontId="3" fillId="0" borderId="3" xfId="0" applyFont="1" applyFill="1" applyBorder="1" applyAlignment="1"/>
    <xf numFmtId="0" fontId="3" fillId="0" borderId="3" xfId="51" applyFont="1" applyFill="1" applyBorder="1" applyAlignment="1">
      <alignment horizontal="left" vertical="center" wrapText="1"/>
    </xf>
    <xf numFmtId="0" fontId="3" fillId="0" borderId="0" xfId="51" applyFont="1" applyFill="1" applyBorder="1" applyAlignment="1">
      <alignment horizontal="left" vertical="center" wrapText="1"/>
    </xf>
    <xf numFmtId="178" fontId="3" fillId="0" borderId="3" xfId="0" applyNumberFormat="1" applyFont="1" applyFill="1" applyBorder="1" applyAlignment="1">
      <alignment horizontal="left"/>
    </xf>
    <xf numFmtId="0" fontId="3" fillId="0" borderId="3" xfId="31" applyFont="1" applyFill="1" applyBorder="1"/>
    <xf numFmtId="0" fontId="2" fillId="2" borderId="1" xfId="51" applyFont="1" applyFill="1" applyBorder="1"/>
    <xf numFmtId="0" fontId="3" fillId="0" borderId="0" xfId="31" applyFont="1" applyFill="1"/>
    <xf numFmtId="0" fontId="3" fillId="0" borderId="3" xfId="31" applyFont="1" applyFill="1" applyBorder="1" applyAlignment="1">
      <alignment horizontal="left"/>
    </xf>
    <xf numFmtId="0" fontId="2" fillId="0" borderId="0" xfId="31" applyFont="1" applyFill="1"/>
    <xf numFmtId="0" fontId="3" fillId="0" borderId="0" xfId="51" applyFont="1" applyFill="1"/>
    <xf numFmtId="0" fontId="3" fillId="0" borderId="3" xfId="31" applyFont="1" applyFill="1" applyBorder="1" applyAlignment="1">
      <alignment vertical="center" wrapText="1"/>
    </xf>
    <xf numFmtId="0" fontId="3" fillId="0" borderId="0" xfId="31" applyFont="1" applyFill="1" applyBorder="1" applyAlignment="1">
      <alignment vertical="center" wrapText="1"/>
    </xf>
    <xf numFmtId="0" fontId="5" fillId="0" borderId="0" xfId="31" applyFont="1" applyFill="1" applyBorder="1"/>
    <xf numFmtId="0" fontId="3" fillId="0" borderId="0" xfId="0" applyFont="1" applyFill="1" applyBorder="1" applyAlignment="1"/>
    <xf numFmtId="0" fontId="2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31" applyFont="1" applyFill="1" applyAlignment="1">
      <alignment horizontal="center" vertical="center"/>
    </xf>
    <xf numFmtId="0" fontId="6" fillId="0" borderId="4" xfId="31" applyFont="1" applyFill="1" applyBorder="1"/>
    <xf numFmtId="181" fontId="3" fillId="0" borderId="0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/>
    </xf>
    <xf numFmtId="0" fontId="3" fillId="0" borderId="6" xfId="0" applyFont="1" applyFill="1" applyBorder="1" applyAlignment="1">
      <alignment horizontal="left"/>
    </xf>
    <xf numFmtId="0" fontId="3" fillId="0" borderId="7" xfId="0" applyFont="1" applyFill="1" applyBorder="1" applyAlignment="1">
      <alignment horizontal="left"/>
    </xf>
    <xf numFmtId="0" fontId="2" fillId="0" borderId="0" xfId="31" applyFont="1" applyFill="1" applyBorder="1"/>
    <xf numFmtId="0" fontId="6" fillId="0" borderId="8" xfId="31" applyFont="1" applyFill="1" applyBorder="1"/>
    <xf numFmtId="178" fontId="3" fillId="0" borderId="5" xfId="0" applyNumberFormat="1" applyFont="1" applyFill="1" applyBorder="1" applyAlignment="1">
      <alignment horizontal="left"/>
    </xf>
    <xf numFmtId="0" fontId="3" fillId="0" borderId="6" xfId="31" applyFont="1" applyFill="1" applyBorder="1"/>
    <xf numFmtId="0" fontId="2" fillId="0" borderId="3" xfId="51" applyFont="1" applyFill="1" applyBorder="1" applyAlignment="1">
      <alignment horizontal="center" vertical="center"/>
    </xf>
    <xf numFmtId="0" fontId="2" fillId="0" borderId="0" xfId="51" applyFont="1" applyFill="1" applyBorder="1" applyAlignment="1">
      <alignment horizontal="center" vertical="center"/>
    </xf>
    <xf numFmtId="0" fontId="2" fillId="0" borderId="0" xfId="51" applyFont="1" applyFill="1" applyAlignment="1">
      <alignment horizontal="center" vertical="center"/>
    </xf>
    <xf numFmtId="0" fontId="2" fillId="0" borderId="0" xfId="31" applyFont="1" applyFill="1" applyBorder="1" applyAlignment="1">
      <alignment horizontal="center" vertical="center"/>
    </xf>
    <xf numFmtId="0" fontId="2" fillId="0" borderId="0" xfId="31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 vertical="center" shrinkToFit="1"/>
    </xf>
    <xf numFmtId="0" fontId="7" fillId="0" borderId="9" xfId="0" applyFont="1" applyFill="1" applyBorder="1" applyAlignment="1">
      <alignment horizontal="left" vertical="center" wrapText="1" shrinkToFit="1"/>
    </xf>
    <xf numFmtId="182" fontId="3" fillId="0" borderId="9" xfId="0" applyNumberFormat="1" applyFont="1" applyFill="1" applyBorder="1" applyAlignment="1">
      <alignment horizontal="center" vertical="center" wrapText="1" shrinkToFit="1"/>
    </xf>
    <xf numFmtId="183" fontId="3" fillId="0" borderId="10" xfId="0" applyNumberFormat="1" applyFont="1" applyFill="1" applyBorder="1" applyAlignment="1">
      <alignment horizontal="center" vertical="center" shrinkToFit="1"/>
    </xf>
    <xf numFmtId="183" fontId="3" fillId="0" borderId="11" xfId="0" applyNumberFormat="1" applyFont="1" applyFill="1" applyBorder="1" applyAlignment="1">
      <alignment horizontal="center" vertical="center" shrinkToFit="1"/>
    </xf>
    <xf numFmtId="0" fontId="3" fillId="0" borderId="10" xfId="0" applyFont="1" applyFill="1" applyBorder="1" applyAlignment="1">
      <alignment horizontal="center" vertical="center" shrinkToFit="1"/>
    </xf>
    <xf numFmtId="0" fontId="3" fillId="0" borderId="12" xfId="0" applyFont="1" applyFill="1" applyBorder="1" applyAlignment="1">
      <alignment horizontal="center" vertical="center" shrinkToFit="1"/>
    </xf>
    <xf numFmtId="183" fontId="3" fillId="0" borderId="12" xfId="0" applyNumberFormat="1" applyFont="1" applyFill="1" applyBorder="1" applyAlignment="1">
      <alignment horizontal="center" vertical="center" shrinkToFit="1"/>
    </xf>
    <xf numFmtId="0" fontId="3" fillId="0" borderId="11" xfId="0" applyFont="1" applyFill="1" applyBorder="1" applyAlignment="1">
      <alignment horizontal="center" vertical="center" shrinkToFit="1"/>
    </xf>
    <xf numFmtId="183" fontId="3" fillId="0" borderId="9" xfId="0" applyNumberFormat="1" applyFont="1" applyFill="1" applyBorder="1" applyAlignment="1">
      <alignment horizontal="center" vertical="center" shrinkToFit="1"/>
    </xf>
    <xf numFmtId="0" fontId="3" fillId="0" borderId="13" xfId="52" applyFont="1" applyFill="1" applyBorder="1" applyAlignment="1">
      <alignment horizontal="center" vertical="center" wrapText="1" shrinkToFit="1"/>
    </xf>
    <xf numFmtId="0" fontId="3" fillId="0" borderId="13" xfId="31" applyFont="1" applyFill="1" applyBorder="1" applyAlignment="1">
      <alignment horizontal="center" vertical="center" wrapText="1" shrinkToFit="1"/>
    </xf>
    <xf numFmtId="182" fontId="6" fillId="0" borderId="13" xfId="31" applyNumberFormat="1" applyFont="1" applyFill="1" applyBorder="1" applyAlignment="1">
      <alignment horizontal="center" vertical="center" wrapText="1" shrinkToFit="1"/>
    </xf>
    <xf numFmtId="183" fontId="3" fillId="0" borderId="13" xfId="31" applyNumberFormat="1" applyFont="1" applyFill="1" applyBorder="1" applyAlignment="1">
      <alignment horizontal="center" vertical="center" wrapText="1" shrinkToFit="1"/>
    </xf>
    <xf numFmtId="183" fontId="2" fillId="0" borderId="13" xfId="31" applyNumberFormat="1" applyFont="1" applyFill="1" applyBorder="1" applyAlignment="1">
      <alignment horizontal="center" vertical="center" wrapText="1" shrinkToFit="1"/>
    </xf>
    <xf numFmtId="180" fontId="2" fillId="0" borderId="3" xfId="31" applyNumberFormat="1" applyFont="1" applyFill="1" applyBorder="1" applyAlignment="1">
      <alignment horizontal="center"/>
    </xf>
    <xf numFmtId="182" fontId="2" fillId="0" borderId="0" xfId="31" applyNumberFormat="1" applyFont="1" applyFill="1" applyBorder="1" applyAlignment="1">
      <alignment horizontal="center"/>
    </xf>
    <xf numFmtId="183" fontId="2" fillId="0" borderId="0" xfId="31" applyNumberFormat="1" applyFont="1" applyFill="1" applyBorder="1" applyAlignment="1">
      <alignment horizontal="center"/>
    </xf>
    <xf numFmtId="0" fontId="0" fillId="0" borderId="3" xfId="0" applyFill="1" applyBorder="1">
      <alignment vertical="center"/>
    </xf>
    <xf numFmtId="0" fontId="4" fillId="0" borderId="0" xfId="31" applyFont="1" applyFill="1" applyAlignment="1">
      <alignment horizontal="center" vertical="center"/>
    </xf>
    <xf numFmtId="0" fontId="3" fillId="0" borderId="0" xfId="31" applyFont="1" applyFill="1" applyAlignment="1">
      <alignment horizontal="center"/>
    </xf>
    <xf numFmtId="0" fontId="4" fillId="0" borderId="0" xfId="31" applyFont="1" applyFill="1" applyAlignment="1">
      <alignment horizontal="center"/>
    </xf>
    <xf numFmtId="0" fontId="0" fillId="0" borderId="5" xfId="0" applyFill="1" applyBorder="1">
      <alignment vertical="center"/>
    </xf>
    <xf numFmtId="0" fontId="0" fillId="0" borderId="6" xfId="0" applyFill="1" applyBorder="1">
      <alignment vertical="center"/>
    </xf>
    <xf numFmtId="0" fontId="3" fillId="0" borderId="9" xfId="0" applyFont="1" applyFill="1" applyBorder="1" applyAlignment="1">
      <alignment horizontal="left" vertical="center" wrapText="1"/>
    </xf>
    <xf numFmtId="0" fontId="8" fillId="0" borderId="9" xfId="0" applyFont="1" applyFill="1" applyBorder="1" applyAlignment="1">
      <alignment horizontal="left" vertical="center" wrapText="1"/>
    </xf>
    <xf numFmtId="0" fontId="9" fillId="0" borderId="9" xfId="0" applyFont="1" applyFill="1" applyBorder="1" applyAlignment="1">
      <alignment horizontal="left" vertical="center" wrapText="1"/>
    </xf>
    <xf numFmtId="0" fontId="10" fillId="0" borderId="9" xfId="0" applyFont="1" applyFill="1" applyBorder="1" applyAlignment="1">
      <alignment horizontal="left" vertical="center" wrapText="1"/>
    </xf>
    <xf numFmtId="0" fontId="11" fillId="0" borderId="9" xfId="0" applyFont="1" applyFill="1" applyBorder="1" applyAlignment="1">
      <alignment horizontal="left" vertical="center" wrapText="1"/>
    </xf>
    <xf numFmtId="0" fontId="8" fillId="0" borderId="9" xfId="0" applyFont="1" applyFill="1" applyBorder="1" applyAlignment="1">
      <alignment horizontal="left" wrapText="1"/>
    </xf>
    <xf numFmtId="0" fontId="3" fillId="0" borderId="9" xfId="0" applyFont="1" applyFill="1" applyBorder="1" applyAlignment="1">
      <alignment horizontal="left" vertical="center"/>
    </xf>
    <xf numFmtId="0" fontId="1" fillId="0" borderId="4" xfId="31" applyFont="1" applyFill="1" applyBorder="1" applyAlignment="1">
      <alignment horizontal="center" vertical="center"/>
    </xf>
    <xf numFmtId="0" fontId="12" fillId="0" borderId="8" xfId="0" applyFont="1" applyFill="1" applyBorder="1" applyAlignment="1"/>
    <xf numFmtId="0" fontId="13" fillId="0" borderId="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183" fontId="2" fillId="0" borderId="14" xfId="31" applyNumberFormat="1" applyFont="1" applyFill="1" applyBorder="1" applyAlignment="1">
      <alignment horizontal="center" vertical="center" wrapText="1" shrinkToFit="1"/>
    </xf>
    <xf numFmtId="183" fontId="2" fillId="0" borderId="8" xfId="31" applyNumberFormat="1" applyFont="1" applyFill="1" applyBorder="1" applyAlignment="1">
      <alignment horizontal="center"/>
    </xf>
    <xf numFmtId="0" fontId="0" fillId="0" borderId="8" xfId="0" applyFill="1" applyBorder="1">
      <alignment vertical="center"/>
    </xf>
    <xf numFmtId="0" fontId="0" fillId="0" borderId="7" xfId="0" applyFill="1" applyBorder="1">
      <alignment vertical="center"/>
    </xf>
    <xf numFmtId="0" fontId="15" fillId="0" borderId="0" xfId="0" applyFont="1">
      <alignment vertical="center"/>
    </xf>
    <xf numFmtId="0" fontId="16" fillId="0" borderId="1" xfId="51" applyFont="1" applyBorder="1" applyAlignment="1">
      <alignment horizontal="center"/>
    </xf>
    <xf numFmtId="0" fontId="16" fillId="0" borderId="2" xfId="51" applyFont="1" applyBorder="1" applyAlignment="1">
      <alignment horizontal="center"/>
    </xf>
    <xf numFmtId="0" fontId="2" fillId="2" borderId="2" xfId="51" applyFont="1" applyFill="1" applyBorder="1"/>
    <xf numFmtId="0" fontId="3" fillId="0" borderId="2" xfId="51" applyFont="1" applyBorder="1"/>
    <xf numFmtId="0" fontId="6" fillId="0" borderId="4" xfId="31" applyFont="1" applyBorder="1"/>
    <xf numFmtId="0" fontId="3" fillId="2" borderId="2" xfId="51" applyFont="1" applyFill="1" applyBorder="1"/>
    <xf numFmtId="0" fontId="3" fillId="0" borderId="0" xfId="51" applyFont="1" applyFill="1" applyBorder="1"/>
    <xf numFmtId="0" fontId="3" fillId="0" borderId="8" xfId="51" applyFont="1" applyFill="1" applyBorder="1"/>
    <xf numFmtId="49" fontId="3" fillId="0" borderId="0" xfId="51" applyNumberFormat="1" applyFont="1" applyFill="1" applyBorder="1" applyAlignment="1">
      <alignment horizontal="center"/>
    </xf>
    <xf numFmtId="0" fontId="3" fillId="0" borderId="3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3" fillId="0" borderId="8" xfId="0" applyFont="1" applyFill="1" applyBorder="1" applyAlignment="1">
      <alignment vertical="center" wrapText="1"/>
    </xf>
    <xf numFmtId="178" fontId="3" fillId="0" borderId="0" xfId="0" applyNumberFormat="1" applyFont="1" applyFill="1" applyBorder="1" applyAlignment="1"/>
    <xf numFmtId="178" fontId="3" fillId="0" borderId="0" xfId="0" applyNumberFormat="1" applyFont="1" applyFill="1" applyBorder="1" applyAlignment="1">
      <alignment horizontal="left"/>
    </xf>
    <xf numFmtId="0" fontId="3" fillId="0" borderId="3" xfId="51" applyFont="1" applyFill="1" applyBorder="1"/>
    <xf numFmtId="0" fontId="3" fillId="0" borderId="5" xfId="51" applyFont="1" applyFill="1" applyBorder="1" applyAlignment="1">
      <alignment horizontal="left"/>
    </xf>
    <xf numFmtId="0" fontId="3" fillId="0" borderId="6" xfId="51" applyFont="1" applyFill="1" applyBorder="1" applyAlignment="1">
      <alignment horizontal="left"/>
    </xf>
    <xf numFmtId="0" fontId="3" fillId="0" borderId="6" xfId="51" applyFont="1" applyFill="1" applyBorder="1"/>
    <xf numFmtId="0" fontId="3" fillId="0" borderId="7" xfId="51" applyFont="1" applyFill="1" applyBorder="1"/>
    <xf numFmtId="0" fontId="3" fillId="0" borderId="5" xfId="51" applyFont="1" applyFill="1" applyBorder="1"/>
    <xf numFmtId="0" fontId="2" fillId="0" borderId="2" xfId="51" applyFont="1" applyFill="1" applyBorder="1"/>
    <xf numFmtId="0" fontId="3" fillId="0" borderId="2" xfId="51" applyFont="1" applyFill="1" applyBorder="1"/>
    <xf numFmtId="0" fontId="3" fillId="0" borderId="4" xfId="51" applyFont="1" applyFill="1" applyBorder="1"/>
    <xf numFmtId="0" fontId="2" fillId="0" borderId="1" xfId="51" applyFont="1" applyFill="1" applyBorder="1"/>
    <xf numFmtId="0" fontId="4" fillId="0" borderId="3" xfId="31" applyFont="1" applyFill="1" applyBorder="1" applyAlignment="1">
      <alignment horizontal="left"/>
    </xf>
    <xf numFmtId="0" fontId="2" fillId="0" borderId="0" xfId="31" applyFont="1" applyFill="1" applyBorder="1" applyAlignment="1">
      <alignment horizontal="left"/>
    </xf>
    <xf numFmtId="0" fontId="2" fillId="0" borderId="8" xfId="31" applyFont="1" applyFill="1" applyBorder="1" applyAlignment="1">
      <alignment horizontal="left"/>
    </xf>
    <xf numFmtId="0" fontId="3" fillId="0" borderId="3" xfId="51" applyFont="1" applyFill="1" applyBorder="1" applyAlignment="1">
      <alignment horizontal="center"/>
    </xf>
    <xf numFmtId="0" fontId="3" fillId="0" borderId="0" xfId="51" applyFont="1" applyFill="1" applyBorder="1" applyAlignment="1">
      <alignment horizontal="center"/>
    </xf>
    <xf numFmtId="0" fontId="3" fillId="0" borderId="5" xfId="31" applyFont="1" applyFill="1" applyBorder="1"/>
    <xf numFmtId="0" fontId="2" fillId="0" borderId="0" xfId="51" applyFont="1" applyFill="1" applyBorder="1"/>
    <xf numFmtId="0" fontId="3" fillId="0" borderId="3" xfId="0" applyFont="1" applyFill="1" applyBorder="1" applyAlignment="1">
      <alignment horizontal="left"/>
    </xf>
    <xf numFmtId="0" fontId="3" fillId="0" borderId="8" xfId="0" applyFont="1" applyFill="1" applyBorder="1" applyAlignment="1">
      <alignment horizontal="left"/>
    </xf>
    <xf numFmtId="0" fontId="4" fillId="0" borderId="0" xfId="51" applyFont="1" applyFill="1" applyBorder="1"/>
    <xf numFmtId="0" fontId="3" fillId="0" borderId="5" xfId="0" applyFont="1" applyFill="1" applyBorder="1" applyAlignment="1"/>
    <xf numFmtId="0" fontId="3" fillId="0" borderId="6" xfId="0" applyFont="1" applyFill="1" applyBorder="1" applyAlignment="1"/>
    <xf numFmtId="0" fontId="4" fillId="0" borderId="5" xfId="0" applyFont="1" applyFill="1" applyBorder="1" applyAlignment="1"/>
    <xf numFmtId="0" fontId="3" fillId="0" borderId="7" xfId="51" applyFont="1" applyFill="1" applyBorder="1" applyAlignment="1"/>
    <xf numFmtId="0" fontId="2" fillId="0" borderId="3" xfId="51" applyFont="1" applyFill="1" applyBorder="1"/>
    <xf numFmtId="0" fontId="17" fillId="0" borderId="8" xfId="31" applyFont="1" applyFill="1" applyBorder="1" applyAlignment="1">
      <alignment horizontal="right"/>
    </xf>
    <xf numFmtId="0" fontId="3" fillId="0" borderId="7" xfId="0" applyFont="1" applyFill="1" applyBorder="1" applyAlignment="1">
      <alignment horizontal="center"/>
    </xf>
    <xf numFmtId="178" fontId="3" fillId="0" borderId="7" xfId="0" applyNumberFormat="1" applyFont="1" applyFill="1" applyBorder="1" applyAlignment="1">
      <alignment horizontal="left"/>
    </xf>
    <xf numFmtId="0" fontId="4" fillId="0" borderId="5" xfId="51" applyFont="1" applyFill="1" applyBorder="1"/>
    <xf numFmtId="0" fontId="4" fillId="0" borderId="6" xfId="51" applyFont="1" applyFill="1" applyBorder="1"/>
    <xf numFmtId="0" fontId="2" fillId="0" borderId="9" xfId="51" applyFont="1" applyBorder="1" applyAlignment="1">
      <alignment horizontal="center" vertical="center"/>
    </xf>
    <xf numFmtId="0" fontId="2" fillId="2" borderId="9" xfId="51" applyFont="1" applyFill="1" applyBorder="1" applyAlignment="1">
      <alignment horizontal="center" vertical="center"/>
    </xf>
    <xf numFmtId="0" fontId="2" fillId="0" borderId="9" xfId="51" applyFont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 shrinkToFit="1"/>
    </xf>
    <xf numFmtId="184" fontId="3" fillId="0" borderId="9" xfId="0" applyNumberFormat="1" applyFont="1" applyFill="1" applyBorder="1" applyAlignment="1">
      <alignment horizontal="center" vertical="center" wrapText="1" shrinkToFit="1"/>
    </xf>
    <xf numFmtId="177" fontId="7" fillId="0" borderId="9" xfId="0" applyNumberFormat="1" applyFont="1" applyFill="1" applyBorder="1" applyAlignment="1">
      <alignment horizontal="left" vertical="center" wrapText="1" shrinkToFit="1"/>
    </xf>
    <xf numFmtId="0" fontId="3" fillId="0" borderId="9" xfId="0" applyNumberFormat="1" applyFont="1" applyFill="1" applyBorder="1" applyAlignment="1">
      <alignment horizontal="center" vertical="center" wrapText="1" shrinkToFit="1"/>
    </xf>
    <xf numFmtId="0" fontId="3" fillId="0" borderId="9" xfId="51" applyFont="1" applyBorder="1"/>
    <xf numFmtId="0" fontId="3" fillId="0" borderId="9" xfId="51" applyFont="1" applyFill="1" applyBorder="1"/>
    <xf numFmtId="0" fontId="3" fillId="0" borderId="9" xfId="51" applyFont="1" applyFill="1" applyBorder="1" applyAlignment="1">
      <alignment horizontal="left"/>
    </xf>
    <xf numFmtId="182" fontId="2" fillId="0" borderId="9" xfId="51" applyNumberFormat="1" applyFont="1" applyFill="1" applyBorder="1" applyAlignment="1">
      <alignment horizontal="left"/>
    </xf>
    <xf numFmtId="0" fontId="2" fillId="0" borderId="9" xfId="51" applyFont="1" applyFill="1" applyBorder="1"/>
    <xf numFmtId="177" fontId="2" fillId="0" borderId="9" xfId="51" applyNumberFormat="1" applyFont="1" applyFill="1" applyBorder="1" applyAlignment="1">
      <alignment horizontal="center"/>
    </xf>
    <xf numFmtId="0" fontId="8" fillId="0" borderId="9" xfId="0" applyFont="1" applyFill="1" applyBorder="1" applyAlignment="1">
      <alignment wrapText="1"/>
    </xf>
    <xf numFmtId="0" fontId="9" fillId="0" borderId="9" xfId="0" applyFont="1" applyFill="1" applyBorder="1" applyAlignment="1">
      <alignment horizontal="left" wrapText="1"/>
    </xf>
    <xf numFmtId="0" fontId="10" fillId="0" borderId="9" xfId="0" applyFont="1" applyFill="1" applyBorder="1" applyAlignment="1">
      <alignment horizontal="left" wrapText="1"/>
    </xf>
    <xf numFmtId="0" fontId="12" fillId="0" borderId="0" xfId="0" applyFont="1" applyFill="1" applyBorder="1" applyAlignment="1"/>
    <xf numFmtId="0" fontId="11" fillId="0" borderId="9" xfId="0" applyFont="1" applyFill="1" applyBorder="1" applyAlignment="1">
      <alignment horizontal="left" wrapText="1"/>
    </xf>
    <xf numFmtId="0" fontId="18" fillId="0" borderId="9" xfId="0" applyFont="1" applyFill="1" applyBorder="1" applyAlignment="1">
      <alignment horizontal="left" wrapText="1"/>
    </xf>
    <xf numFmtId="0" fontId="12" fillId="0" borderId="2" xfId="0" applyFont="1" applyFill="1" applyBorder="1" applyAlignment="1"/>
    <xf numFmtId="0" fontId="12" fillId="0" borderId="0" xfId="0" applyFont="1" applyFill="1" applyAlignment="1"/>
    <xf numFmtId="0" fontId="12" fillId="0" borderId="6" xfId="0" applyFont="1" applyFill="1" applyBorder="1" applyAlignment="1">
      <alignment vertical="center"/>
    </xf>
    <xf numFmtId="0" fontId="12" fillId="0" borderId="2" xfId="0" applyFont="1" applyFill="1" applyBorder="1" applyAlignment="1">
      <alignment vertical="center"/>
    </xf>
    <xf numFmtId="0" fontId="12" fillId="0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6" fillId="0" borderId="6" xfId="31" applyFont="1" applyFill="1" applyBorder="1"/>
    <xf numFmtId="0" fontId="12" fillId="0" borderId="6" xfId="0" applyFont="1" applyFill="1" applyBorder="1" applyAlignment="1"/>
    <xf numFmtId="0" fontId="14" fillId="2" borderId="9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2" fillId="0" borderId="9" xfId="31" applyFont="1" applyFill="1" applyBorder="1" applyAlignment="1">
      <alignment horizontal="center"/>
    </xf>
    <xf numFmtId="183" fontId="3" fillId="0" borderId="9" xfId="0" applyNumberFormat="1" applyFont="1" applyFill="1" applyBorder="1" applyAlignment="1">
      <alignment horizontal="center" vertical="center" wrapText="1" shrinkToFit="1"/>
    </xf>
    <xf numFmtId="0" fontId="4" fillId="0" borderId="9" xfId="0" applyFont="1" applyFill="1" applyBorder="1" applyAlignment="1">
      <alignment horizontal="center" vertical="center" wrapText="1" shrinkToFit="1"/>
    </xf>
    <xf numFmtId="183" fontId="2" fillId="0" borderId="9" xfId="51" applyNumberFormat="1" applyFont="1" applyFill="1" applyBorder="1" applyAlignment="1">
      <alignment horizontal="center"/>
    </xf>
    <xf numFmtId="0" fontId="14" fillId="0" borderId="9" xfId="0" applyFont="1" applyFill="1" applyBorder="1" applyAlignment="1"/>
    <xf numFmtId="0" fontId="0" fillId="0" borderId="9" xfId="0" applyFont="1" applyBorder="1" applyAlignment="1">
      <alignment horizontal="center" vertical="center"/>
    </xf>
  </cellXfs>
  <cellStyles count="54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一般_OMRON海運出口" xfId="31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一般_合同1207TW" xf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一般_OMRON" xfId="51"/>
    <cellStyle name="常规_Sheet1_1" xfId="52"/>
    <cellStyle name="常规_啟德一般貿易" xfId="5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33</xdr:row>
      <xdr:rowOff>0</xdr:rowOff>
    </xdr:from>
    <xdr:to>
      <xdr:col>7</xdr:col>
      <xdr:colOff>607695</xdr:colOff>
      <xdr:row>36</xdr:row>
      <xdr:rowOff>81915</xdr:rowOff>
    </xdr:to>
    <xdr:pic>
      <xdr:nvPicPr>
        <xdr:cNvPr id="2" name="图片 1" descr="H)TJ9_~FYGG)20B45`U3WJH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76925" y="7315200"/>
          <a:ext cx="1979295" cy="10725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37</xdr:row>
      <xdr:rowOff>0</xdr:rowOff>
    </xdr:from>
    <xdr:to>
      <xdr:col>6</xdr:col>
      <xdr:colOff>150495</xdr:colOff>
      <xdr:row>39</xdr:row>
      <xdr:rowOff>139065</xdr:rowOff>
    </xdr:to>
    <xdr:pic>
      <xdr:nvPicPr>
        <xdr:cNvPr id="2" name="图片 1" descr="H)TJ9_~FYGG)20B45`U3WJH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153025" y="10071100"/>
          <a:ext cx="1979295" cy="12820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43"/>
  <sheetViews>
    <sheetView tabSelected="1" view="pageBreakPreview" zoomScale="85" zoomScaleNormal="100" workbookViewId="0">
      <selection activeCell="L21" sqref="L21:N29"/>
    </sheetView>
  </sheetViews>
  <sheetFormatPr defaultColWidth="9" defaultRowHeight="22.5"/>
  <cols>
    <col min="1" max="1" width="8" style="84" customWidth="1"/>
    <col min="2" max="2" width="15" style="84" customWidth="1"/>
    <col min="3" max="3" width="18" style="84" customWidth="1"/>
    <col min="4" max="4" width="23.75" style="84" customWidth="1"/>
    <col min="5" max="5" width="12.375" style="84" customWidth="1"/>
    <col min="6" max="9" width="9" style="84"/>
    <col min="10" max="10" width="9.625" style="84" customWidth="1"/>
    <col min="11" max="12" width="9" style="84"/>
    <col min="13" max="13" width="11.75" style="84" customWidth="1"/>
    <col min="14" max="14" width="21.5" style="84" customWidth="1"/>
    <col min="15" max="15" width="11.875" style="84" customWidth="1"/>
    <col min="16" max="16" width="19" style="84"/>
    <col min="17" max="16384" width="9" style="84"/>
  </cols>
  <sheetData>
    <row r="1" ht="52" customHeight="1" spans="1:14">
      <c r="A1" s="85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</row>
    <row r="2" ht="13.5" spans="1:14">
      <c r="A2" s="15" t="s">
        <v>1</v>
      </c>
      <c r="B2" s="87"/>
      <c r="C2" s="88"/>
      <c r="D2" s="89"/>
      <c r="E2" s="15" t="s">
        <v>2</v>
      </c>
      <c r="F2" s="90"/>
      <c r="G2" s="90"/>
      <c r="H2" s="88"/>
      <c r="I2" s="88"/>
      <c r="J2" s="148"/>
      <c r="K2" s="148"/>
      <c r="L2" s="148"/>
      <c r="M2" s="148"/>
      <c r="N2" s="148"/>
    </row>
    <row r="3" ht="13.5" spans="1:14">
      <c r="A3" s="7" t="s">
        <v>3</v>
      </c>
      <c r="B3" s="8"/>
      <c r="C3" s="91"/>
      <c r="D3" s="92"/>
      <c r="E3" s="10" t="s">
        <v>4</v>
      </c>
      <c r="F3" s="91"/>
      <c r="G3" s="93"/>
      <c r="H3" s="93"/>
      <c r="I3" s="91"/>
      <c r="J3" s="149"/>
      <c r="K3" s="149"/>
      <c r="L3" s="149"/>
      <c r="M3" s="149"/>
      <c r="N3" s="149"/>
    </row>
    <row r="4" ht="13.5" spans="1:14">
      <c r="A4" s="94" t="s">
        <v>5</v>
      </c>
      <c r="B4" s="95"/>
      <c r="C4" s="95"/>
      <c r="D4" s="96"/>
      <c r="E4" s="13">
        <v>45877</v>
      </c>
      <c r="F4" s="97"/>
      <c r="G4" s="97"/>
      <c r="H4" s="98"/>
      <c r="I4" s="91"/>
      <c r="J4" s="149"/>
      <c r="K4" s="149"/>
      <c r="L4" s="149"/>
      <c r="M4" s="149"/>
      <c r="N4" s="149"/>
    </row>
    <row r="5" ht="13.5" spans="1:14">
      <c r="A5" s="94"/>
      <c r="B5" s="95"/>
      <c r="C5" s="95"/>
      <c r="D5" s="96"/>
      <c r="E5" s="99"/>
      <c r="F5" s="91"/>
      <c r="G5" s="91"/>
      <c r="H5" s="91"/>
      <c r="I5" s="91"/>
      <c r="J5" s="149"/>
      <c r="K5" s="149"/>
      <c r="L5" s="149"/>
      <c r="M5" s="149"/>
      <c r="N5" s="149"/>
    </row>
    <row r="6" ht="13.5" spans="1:14">
      <c r="A6" s="100"/>
      <c r="B6" s="101"/>
      <c r="C6" s="102"/>
      <c r="D6" s="103"/>
      <c r="E6" s="104"/>
      <c r="F6" s="102"/>
      <c r="G6" s="102"/>
      <c r="H6" s="102"/>
      <c r="I6" s="102"/>
      <c r="J6" s="150"/>
      <c r="K6" s="150"/>
      <c r="L6" s="150"/>
      <c r="M6" s="150"/>
      <c r="N6" s="150"/>
    </row>
    <row r="7" ht="13.5" spans="1:14">
      <c r="A7" s="15" t="s">
        <v>6</v>
      </c>
      <c r="B7" s="105"/>
      <c r="C7" s="106"/>
      <c r="D7" s="107"/>
      <c r="E7" s="108" t="s">
        <v>7</v>
      </c>
      <c r="F7" s="106"/>
      <c r="G7" s="106"/>
      <c r="H7" s="106"/>
      <c r="I7" s="106"/>
      <c r="J7" s="151"/>
      <c r="K7" s="152"/>
      <c r="L7" s="152"/>
      <c r="M7" s="152"/>
      <c r="N7" s="152"/>
    </row>
    <row r="8" ht="13.5" spans="1:14">
      <c r="A8" s="109" t="s">
        <v>8</v>
      </c>
      <c r="B8" s="8"/>
      <c r="C8" s="110"/>
      <c r="D8" s="111"/>
      <c r="E8" s="99" t="s">
        <v>9</v>
      </c>
      <c r="F8" s="91"/>
      <c r="G8" s="91"/>
      <c r="H8" s="91"/>
      <c r="I8" s="91"/>
      <c r="J8" s="152"/>
      <c r="K8" s="152"/>
      <c r="L8" s="152"/>
      <c r="M8" s="152"/>
      <c r="N8" s="152"/>
    </row>
    <row r="9" ht="13.5" spans="1:14">
      <c r="A9" s="94" t="s">
        <v>10</v>
      </c>
      <c r="B9" s="95"/>
      <c r="C9" s="95"/>
      <c r="D9" s="96"/>
      <c r="E9" s="112"/>
      <c r="F9" s="113"/>
      <c r="G9" s="113"/>
      <c r="H9" s="113"/>
      <c r="I9" s="113"/>
      <c r="J9" s="153"/>
      <c r="K9" s="153"/>
      <c r="L9" s="153"/>
      <c r="M9" s="153"/>
      <c r="N9" s="153"/>
    </row>
    <row r="10" ht="13.5" spans="1:14">
      <c r="A10" s="94"/>
      <c r="B10" s="95"/>
      <c r="C10" s="95"/>
      <c r="D10" s="96"/>
      <c r="E10" s="99"/>
      <c r="F10" s="91"/>
      <c r="G10" s="91"/>
      <c r="H10" s="91"/>
      <c r="I10" s="91"/>
      <c r="J10" s="153"/>
      <c r="K10" s="153"/>
      <c r="L10" s="153"/>
      <c r="M10" s="153"/>
      <c r="N10" s="153"/>
    </row>
    <row r="11" ht="13.5" spans="1:14">
      <c r="A11" s="15" t="s">
        <v>11</v>
      </c>
      <c r="B11" s="106"/>
      <c r="C11" s="106"/>
      <c r="D11" s="107"/>
      <c r="E11" s="108" t="s">
        <v>12</v>
      </c>
      <c r="F11" s="106"/>
      <c r="G11" s="106"/>
      <c r="H11" s="106"/>
      <c r="I11" s="106"/>
      <c r="J11" s="88"/>
      <c r="K11" s="88"/>
      <c r="L11" s="88"/>
      <c r="M11" s="88"/>
      <c r="N11" s="88"/>
    </row>
    <row r="12" ht="13.5" spans="1:14">
      <c r="A12" s="17" t="s">
        <v>8</v>
      </c>
      <c r="B12" s="8"/>
      <c r="C12" s="8"/>
      <c r="D12" s="92"/>
      <c r="E12" s="99" t="s">
        <v>13</v>
      </c>
      <c r="F12" s="23"/>
      <c r="G12" s="23"/>
      <c r="H12" s="23"/>
      <c r="I12" s="23"/>
      <c r="J12" s="145"/>
      <c r="K12" s="145"/>
      <c r="L12" s="145"/>
      <c r="M12" s="145"/>
      <c r="N12" s="145"/>
    </row>
    <row r="13" ht="13.5" spans="1:14">
      <c r="A13" s="17" t="s">
        <v>10</v>
      </c>
      <c r="B13" s="8"/>
      <c r="C13" s="8"/>
      <c r="D13" s="92"/>
      <c r="E13" s="99"/>
      <c r="F13" s="23"/>
      <c r="G13" s="23"/>
      <c r="H13" s="23"/>
      <c r="I13" s="23"/>
      <c r="J13" s="145"/>
      <c r="K13" s="145"/>
      <c r="L13" s="145"/>
      <c r="M13" s="145"/>
      <c r="N13" s="145"/>
    </row>
    <row r="14" ht="13.5" spans="1:14">
      <c r="A14" s="114"/>
      <c r="B14" s="35"/>
      <c r="C14" s="35"/>
      <c r="D14" s="103"/>
      <c r="E14" s="104"/>
      <c r="F14" s="102"/>
      <c r="G14" s="102"/>
      <c r="H14" s="102"/>
      <c r="I14" s="154"/>
      <c r="J14" s="145"/>
      <c r="K14" s="145"/>
      <c r="L14" s="145"/>
      <c r="M14" s="145"/>
      <c r="N14" s="145"/>
    </row>
    <row r="15" ht="13.5" spans="1:14">
      <c r="A15" s="108" t="s">
        <v>14</v>
      </c>
      <c r="B15" s="106"/>
      <c r="C15" s="108" t="s">
        <v>15</v>
      </c>
      <c r="D15" s="107"/>
      <c r="E15" s="115" t="s">
        <v>16</v>
      </c>
      <c r="F15" s="16"/>
      <c r="G15" s="16"/>
      <c r="H15" s="16"/>
      <c r="I15" s="19"/>
      <c r="J15" s="148"/>
      <c r="K15" s="148"/>
      <c r="L15" s="148"/>
      <c r="M15" s="148"/>
      <c r="N15" s="148"/>
    </row>
    <row r="16" ht="13.5" spans="1:14">
      <c r="A16" s="116"/>
      <c r="B16" s="117"/>
      <c r="C16" s="116"/>
      <c r="D16" s="117"/>
      <c r="E16" s="118"/>
      <c r="F16" s="91"/>
      <c r="G16" s="91"/>
      <c r="H16" s="91"/>
      <c r="I16" s="19"/>
      <c r="J16" s="145"/>
      <c r="K16" s="145"/>
      <c r="L16" s="145"/>
      <c r="M16" s="145"/>
      <c r="N16" s="145"/>
    </row>
    <row r="17" ht="13.5" spans="1:14">
      <c r="A17" s="119"/>
      <c r="B17" s="120"/>
      <c r="C17" s="121"/>
      <c r="D17" s="122"/>
      <c r="E17" s="118"/>
      <c r="F17" s="23"/>
      <c r="G17" s="91"/>
      <c r="H17" s="91"/>
      <c r="I17" s="19"/>
      <c r="J17" s="145"/>
      <c r="K17" s="145"/>
      <c r="L17" s="145"/>
      <c r="M17" s="145"/>
      <c r="N17" s="145"/>
    </row>
    <row r="18" ht="13.5" spans="1:14">
      <c r="A18" s="108" t="s">
        <v>17</v>
      </c>
      <c r="B18" s="107"/>
      <c r="C18" s="123" t="s">
        <v>18</v>
      </c>
      <c r="D18" s="124"/>
      <c r="E18" s="118"/>
      <c r="F18" s="23"/>
      <c r="G18" s="19"/>
      <c r="H18" s="19"/>
      <c r="I18" s="19"/>
      <c r="J18" s="145"/>
      <c r="K18" s="145"/>
      <c r="L18" s="145"/>
      <c r="M18" s="145"/>
      <c r="N18" s="145"/>
    </row>
    <row r="19" ht="13.5" spans="1:14">
      <c r="A19" s="29"/>
      <c r="B19" s="125"/>
      <c r="C19" s="34"/>
      <c r="D19" s="126"/>
      <c r="E19" s="127" t="s">
        <v>19</v>
      </c>
      <c r="F19" s="128" t="s">
        <v>20</v>
      </c>
      <c r="G19" s="102"/>
      <c r="H19" s="102"/>
      <c r="I19" s="102"/>
      <c r="J19" s="155"/>
      <c r="K19" s="145"/>
      <c r="L19" s="145"/>
      <c r="M19" s="145"/>
      <c r="N19" s="145"/>
    </row>
    <row r="20" ht="13.5" spans="1:15">
      <c r="A20" s="129" t="s">
        <v>21</v>
      </c>
      <c r="B20" s="130" t="s">
        <v>22</v>
      </c>
      <c r="C20" s="130" t="s">
        <v>23</v>
      </c>
      <c r="D20" s="131" t="s">
        <v>24</v>
      </c>
      <c r="E20" s="130" t="s">
        <v>25</v>
      </c>
      <c r="F20" s="130" t="s">
        <v>26</v>
      </c>
      <c r="G20" s="130" t="s">
        <v>27</v>
      </c>
      <c r="H20" s="130" t="s">
        <v>28</v>
      </c>
      <c r="I20" s="130" t="s">
        <v>29</v>
      </c>
      <c r="J20" s="156" t="s">
        <v>30</v>
      </c>
      <c r="K20" s="156" t="s">
        <v>31</v>
      </c>
      <c r="L20" s="157" t="s">
        <v>32</v>
      </c>
      <c r="M20" s="157" t="s">
        <v>33</v>
      </c>
      <c r="N20" s="157" t="s">
        <v>34</v>
      </c>
      <c r="O20" s="158" t="s">
        <v>35</v>
      </c>
    </row>
    <row r="21" spans="1:17">
      <c r="A21" s="132" t="s">
        <v>36</v>
      </c>
      <c r="B21" s="42" t="s">
        <v>37</v>
      </c>
      <c r="C21" s="42">
        <v>2250400290</v>
      </c>
      <c r="D21" s="42" t="s">
        <v>38</v>
      </c>
      <c r="E21" s="42">
        <v>1600</v>
      </c>
      <c r="F21" s="133" t="s">
        <v>39</v>
      </c>
      <c r="G21" s="134">
        <v>0.17</v>
      </c>
      <c r="H21" s="135" t="s">
        <v>40</v>
      </c>
      <c r="I21" s="159">
        <f t="shared" ref="I21:I23" si="0">ROUND(E21*G21,2)</f>
        <v>272</v>
      </c>
      <c r="J21" s="132" t="s">
        <v>41</v>
      </c>
      <c r="K21" s="132"/>
      <c r="L21" s="160" t="s">
        <v>42</v>
      </c>
      <c r="M21" s="160" t="s">
        <v>42</v>
      </c>
      <c r="N21" s="42" t="s">
        <v>38</v>
      </c>
      <c r="O21" s="44">
        <v>2.05</v>
      </c>
      <c r="P21" s="84">
        <f>O21/(E21+E22)</f>
        <v>0.001025</v>
      </c>
      <c r="Q21" s="84">
        <f t="shared" ref="Q21:Q23" si="1">ROUND(P21*E21,2)</f>
        <v>1.64</v>
      </c>
    </row>
    <row r="22" spans="1:17">
      <c r="A22" s="132" t="s">
        <v>43</v>
      </c>
      <c r="B22" s="42" t="s">
        <v>37</v>
      </c>
      <c r="C22" s="42">
        <v>2250602540</v>
      </c>
      <c r="D22" s="42" t="s">
        <v>38</v>
      </c>
      <c r="E22" s="42">
        <v>400</v>
      </c>
      <c r="F22" s="133" t="s">
        <v>39</v>
      </c>
      <c r="G22" s="134">
        <v>0.17</v>
      </c>
      <c r="H22" s="135" t="s">
        <v>40</v>
      </c>
      <c r="I22" s="159">
        <f t="shared" ref="I22:I29" si="2">ROUND(E22*G22,2)</f>
        <v>68</v>
      </c>
      <c r="J22" s="132" t="s">
        <v>41</v>
      </c>
      <c r="K22" s="132"/>
      <c r="L22" s="160" t="s">
        <v>42</v>
      </c>
      <c r="M22" s="160" t="s">
        <v>42</v>
      </c>
      <c r="N22" s="42" t="s">
        <v>38</v>
      </c>
      <c r="O22" s="45"/>
      <c r="P22" s="84">
        <v>0.001025</v>
      </c>
      <c r="Q22" s="84">
        <f t="shared" si="1"/>
        <v>0.41</v>
      </c>
    </row>
    <row r="23" spans="1:17">
      <c r="A23" s="132" t="s">
        <v>44</v>
      </c>
      <c r="B23" s="42" t="s">
        <v>45</v>
      </c>
      <c r="C23" s="42">
        <v>2250503507</v>
      </c>
      <c r="D23" s="42" t="s">
        <v>46</v>
      </c>
      <c r="E23" s="42">
        <v>76000</v>
      </c>
      <c r="F23" s="133" t="s">
        <v>39</v>
      </c>
      <c r="G23" s="134">
        <v>0.0033</v>
      </c>
      <c r="H23" s="135" t="s">
        <v>40</v>
      </c>
      <c r="I23" s="159">
        <f t="shared" si="2"/>
        <v>250.8</v>
      </c>
      <c r="J23" s="132" t="s">
        <v>41</v>
      </c>
      <c r="K23" s="132"/>
      <c r="L23" s="160" t="s">
        <v>42</v>
      </c>
      <c r="M23" s="160" t="s">
        <v>42</v>
      </c>
      <c r="N23" s="42" t="s">
        <v>46</v>
      </c>
      <c r="O23" s="44">
        <v>5.05</v>
      </c>
      <c r="P23" s="84">
        <f>O23/(E23+E24+E25+E26)</f>
        <v>2.525e-5</v>
      </c>
      <c r="Q23" s="84">
        <f t="shared" si="1"/>
        <v>1.92</v>
      </c>
    </row>
    <row r="24" spans="1:17">
      <c r="A24" s="132" t="s">
        <v>47</v>
      </c>
      <c r="B24" s="42" t="s">
        <v>45</v>
      </c>
      <c r="C24" s="42">
        <v>2250503713</v>
      </c>
      <c r="D24" s="42" t="s">
        <v>46</v>
      </c>
      <c r="E24" s="42">
        <v>20000</v>
      </c>
      <c r="F24" s="133" t="s">
        <v>39</v>
      </c>
      <c r="G24" s="134">
        <v>0.0033</v>
      </c>
      <c r="H24" s="135" t="s">
        <v>40</v>
      </c>
      <c r="I24" s="159">
        <f t="shared" si="2"/>
        <v>66</v>
      </c>
      <c r="J24" s="132" t="s">
        <v>41</v>
      </c>
      <c r="K24" s="132"/>
      <c r="L24" s="160" t="s">
        <v>42</v>
      </c>
      <c r="M24" s="160" t="s">
        <v>42</v>
      </c>
      <c r="N24" s="42" t="s">
        <v>46</v>
      </c>
      <c r="O24" s="48"/>
      <c r="P24" s="84">
        <v>2.525e-5</v>
      </c>
      <c r="Q24" s="84">
        <f t="shared" ref="Q24:Q29" si="3">ROUND(P24*E24,2)</f>
        <v>0.51</v>
      </c>
    </row>
    <row r="25" spans="1:17">
      <c r="A25" s="132" t="s">
        <v>48</v>
      </c>
      <c r="B25" s="42" t="s">
        <v>45</v>
      </c>
      <c r="C25" s="42">
        <v>2250600143</v>
      </c>
      <c r="D25" s="42" t="s">
        <v>46</v>
      </c>
      <c r="E25" s="42">
        <v>52000</v>
      </c>
      <c r="F25" s="133" t="s">
        <v>39</v>
      </c>
      <c r="G25" s="134">
        <v>0.0033</v>
      </c>
      <c r="H25" s="135" t="s">
        <v>40</v>
      </c>
      <c r="I25" s="159">
        <f t="shared" si="2"/>
        <v>171.6</v>
      </c>
      <c r="J25" s="132" t="s">
        <v>41</v>
      </c>
      <c r="K25" s="132"/>
      <c r="L25" s="160" t="s">
        <v>42</v>
      </c>
      <c r="M25" s="160" t="s">
        <v>42</v>
      </c>
      <c r="N25" s="42" t="s">
        <v>46</v>
      </c>
      <c r="O25" s="48"/>
      <c r="P25" s="84">
        <v>2.525e-5</v>
      </c>
      <c r="Q25" s="84">
        <f t="shared" si="3"/>
        <v>1.31</v>
      </c>
    </row>
    <row r="26" spans="1:17">
      <c r="A26" s="132" t="s">
        <v>49</v>
      </c>
      <c r="B26" s="42" t="s">
        <v>45</v>
      </c>
      <c r="C26" s="42">
        <v>2250600390</v>
      </c>
      <c r="D26" s="42" t="s">
        <v>46</v>
      </c>
      <c r="E26" s="42">
        <v>52000</v>
      </c>
      <c r="F26" s="133" t="s">
        <v>39</v>
      </c>
      <c r="G26" s="134">
        <v>0.0033</v>
      </c>
      <c r="H26" s="135" t="s">
        <v>40</v>
      </c>
      <c r="I26" s="159">
        <f t="shared" si="2"/>
        <v>171.6</v>
      </c>
      <c r="J26" s="132" t="s">
        <v>41</v>
      </c>
      <c r="K26" s="132"/>
      <c r="L26" s="160" t="s">
        <v>42</v>
      </c>
      <c r="M26" s="160" t="s">
        <v>42</v>
      </c>
      <c r="N26" s="42" t="s">
        <v>46</v>
      </c>
      <c r="O26" s="45"/>
      <c r="P26" s="84">
        <v>2.525e-5</v>
      </c>
      <c r="Q26" s="84">
        <f t="shared" si="3"/>
        <v>1.31</v>
      </c>
    </row>
    <row r="27" spans="1:17">
      <c r="A27" s="132" t="s">
        <v>50</v>
      </c>
      <c r="B27" s="42" t="s">
        <v>51</v>
      </c>
      <c r="C27" s="42">
        <v>2250501568</v>
      </c>
      <c r="D27" s="42" t="s">
        <v>52</v>
      </c>
      <c r="E27" s="42">
        <v>32000</v>
      </c>
      <c r="F27" s="133" t="s">
        <v>39</v>
      </c>
      <c r="G27" s="134">
        <v>0.0289</v>
      </c>
      <c r="H27" s="135" t="s">
        <v>40</v>
      </c>
      <c r="I27" s="159">
        <f t="shared" si="2"/>
        <v>924.8</v>
      </c>
      <c r="J27" s="132" t="s">
        <v>41</v>
      </c>
      <c r="K27" s="132"/>
      <c r="L27" s="160" t="s">
        <v>42</v>
      </c>
      <c r="M27" s="160" t="s">
        <v>42</v>
      </c>
      <c r="N27" s="42" t="s">
        <v>52</v>
      </c>
      <c r="O27" s="50">
        <v>0.85</v>
      </c>
      <c r="Q27" s="84">
        <v>0.85</v>
      </c>
    </row>
    <row r="28" ht="22" customHeight="1" spans="1:17">
      <c r="A28" s="132" t="s">
        <v>53</v>
      </c>
      <c r="B28" s="42" t="s">
        <v>54</v>
      </c>
      <c r="C28" s="42">
        <v>2250401729</v>
      </c>
      <c r="D28" s="42" t="s">
        <v>55</v>
      </c>
      <c r="E28" s="42">
        <v>8000</v>
      </c>
      <c r="F28" s="133" t="s">
        <v>39</v>
      </c>
      <c r="G28" s="134">
        <v>0.0186</v>
      </c>
      <c r="H28" s="135" t="s">
        <v>40</v>
      </c>
      <c r="I28" s="159">
        <f t="shared" si="2"/>
        <v>148.8</v>
      </c>
      <c r="J28" s="132" t="s">
        <v>41</v>
      </c>
      <c r="K28" s="132"/>
      <c r="L28" s="160" t="s">
        <v>42</v>
      </c>
      <c r="M28" s="160" t="s">
        <v>42</v>
      </c>
      <c r="N28" s="42" t="s">
        <v>55</v>
      </c>
      <c r="O28" s="44">
        <v>1.55</v>
      </c>
      <c r="P28" s="84">
        <f>O28/(E28+E29)</f>
        <v>2.421875e-5</v>
      </c>
      <c r="Q28" s="84">
        <f t="shared" si="3"/>
        <v>0.19</v>
      </c>
    </row>
    <row r="29" ht="22" customHeight="1" spans="1:17">
      <c r="A29" s="132" t="s">
        <v>56</v>
      </c>
      <c r="B29" s="42" t="s">
        <v>54</v>
      </c>
      <c r="C29" s="42">
        <v>2250501568</v>
      </c>
      <c r="D29" s="42" t="s">
        <v>55</v>
      </c>
      <c r="E29" s="42">
        <v>56000</v>
      </c>
      <c r="F29" s="133" t="s">
        <v>39</v>
      </c>
      <c r="G29" s="134">
        <v>0.0186</v>
      </c>
      <c r="H29" s="135" t="s">
        <v>40</v>
      </c>
      <c r="I29" s="159">
        <f t="shared" si="2"/>
        <v>1041.6</v>
      </c>
      <c r="J29" s="132" t="s">
        <v>41</v>
      </c>
      <c r="K29" s="132"/>
      <c r="L29" s="160" t="s">
        <v>42</v>
      </c>
      <c r="M29" s="160" t="s">
        <v>42</v>
      </c>
      <c r="N29" s="42" t="s">
        <v>55</v>
      </c>
      <c r="O29" s="45"/>
      <c r="P29" s="84">
        <v>2.421875e-5</v>
      </c>
      <c r="Q29" s="84">
        <f t="shared" si="3"/>
        <v>1.36</v>
      </c>
    </row>
    <row r="30" ht="13.5" spans="1:15">
      <c r="A30" s="136"/>
      <c r="B30" s="137"/>
      <c r="C30" s="138" t="s">
        <v>57</v>
      </c>
      <c r="D30" s="138"/>
      <c r="E30" s="139">
        <f>SUM(E21:E29)</f>
        <v>298000</v>
      </c>
      <c r="F30" s="140"/>
      <c r="G30" s="141"/>
      <c r="H30" s="141"/>
      <c r="I30" s="161">
        <f>SUM(I21:I29)</f>
        <v>3115.2</v>
      </c>
      <c r="J30" s="162"/>
      <c r="K30" s="162"/>
      <c r="L30" s="162"/>
      <c r="M30" s="162"/>
      <c r="N30" s="162"/>
      <c r="O30" s="163" t="s">
        <v>58</v>
      </c>
    </row>
    <row r="32" ht="15" spans="1:3">
      <c r="A32" s="65" t="s">
        <v>59</v>
      </c>
      <c r="B32" s="65"/>
      <c r="C32" s="142" t="s">
        <v>60</v>
      </c>
    </row>
    <row r="33" ht="15" spans="1:3">
      <c r="A33" s="65" t="s">
        <v>61</v>
      </c>
      <c r="B33" s="65"/>
      <c r="C33" s="143">
        <v>2358</v>
      </c>
    </row>
    <row r="34" ht="49.5" spans="1:6">
      <c r="A34" s="65" t="s">
        <v>62</v>
      </c>
      <c r="B34" s="65"/>
      <c r="C34" s="144" t="s">
        <v>63</v>
      </c>
      <c r="F34" s="145"/>
    </row>
    <row r="35" ht="15" spans="1:3">
      <c r="A35" s="65" t="s">
        <v>64</v>
      </c>
      <c r="B35" s="65"/>
      <c r="C35" s="66" t="s">
        <v>65</v>
      </c>
    </row>
    <row r="36" ht="13.5" spans="1:3">
      <c r="A36" s="65" t="s">
        <v>66</v>
      </c>
      <c r="B36" s="65"/>
      <c r="C36" s="146" t="s">
        <v>20</v>
      </c>
    </row>
    <row r="37" ht="13.5" spans="1:3">
      <c r="A37" s="65" t="s">
        <v>67</v>
      </c>
      <c r="B37" s="65"/>
      <c r="C37" s="70" t="s">
        <v>68</v>
      </c>
    </row>
    <row r="38" ht="13.5" spans="1:3">
      <c r="A38" s="65" t="s">
        <v>69</v>
      </c>
      <c r="B38" s="65"/>
      <c r="C38" s="70" t="s">
        <v>68</v>
      </c>
    </row>
    <row r="39" ht="15" spans="1:3">
      <c r="A39" s="65" t="s">
        <v>70</v>
      </c>
      <c r="B39" s="65"/>
      <c r="C39" s="70" t="s">
        <v>71</v>
      </c>
    </row>
    <row r="40" ht="15" spans="1:3">
      <c r="A40" s="71" t="s">
        <v>72</v>
      </c>
      <c r="B40" s="71"/>
      <c r="C40" s="70" t="s">
        <v>13</v>
      </c>
    </row>
    <row r="41" ht="15" spans="1:3">
      <c r="A41" s="65" t="s">
        <v>73</v>
      </c>
      <c r="B41" s="65"/>
      <c r="C41" s="70" t="s">
        <v>41</v>
      </c>
    </row>
    <row r="42" ht="13.5" spans="1:3">
      <c r="A42" s="65" t="s">
        <v>74</v>
      </c>
      <c r="B42" s="65"/>
      <c r="C42" s="70" t="s">
        <v>75</v>
      </c>
    </row>
    <row r="43" ht="13.5" spans="1:3">
      <c r="A43" s="65" t="s">
        <v>76</v>
      </c>
      <c r="B43" s="65"/>
      <c r="C43" s="147" t="s">
        <v>77</v>
      </c>
    </row>
  </sheetData>
  <mergeCells count="23">
    <mergeCell ref="A1:N1"/>
    <mergeCell ref="E9:I9"/>
    <mergeCell ref="A16:B16"/>
    <mergeCell ref="C16:D16"/>
    <mergeCell ref="C19:D19"/>
    <mergeCell ref="C30:D30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O21:O22"/>
    <mergeCell ref="O23:O26"/>
    <mergeCell ref="O28:O29"/>
    <mergeCell ref="A4:D5"/>
    <mergeCell ref="A9:D10"/>
  </mergeCells>
  <pageMargins left="0.196527777777778" right="0.156944444444444" top="0.511805555555556" bottom="1" header="0.5" footer="0.5"/>
  <pageSetup paperSize="9" scale="55" orientation="portrait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46"/>
  <sheetViews>
    <sheetView view="pageBreakPreview" zoomScaleNormal="100" topLeftCell="A15" workbookViewId="0">
      <selection activeCell="H30" sqref="H30"/>
    </sheetView>
  </sheetViews>
  <sheetFormatPr defaultColWidth="9" defaultRowHeight="20" customHeight="1"/>
  <cols>
    <col min="1" max="1" width="9" style="1"/>
    <col min="2" max="2" width="13.5" style="1" customWidth="1"/>
    <col min="3" max="3" width="19.5" style="1" customWidth="1"/>
    <col min="4" max="4" width="25.625" style="1" customWidth="1"/>
    <col min="5" max="5" width="15" style="1" customWidth="1"/>
    <col min="6" max="6" width="9" style="1"/>
    <col min="7" max="7" width="12.875" style="1" customWidth="1"/>
    <col min="8" max="8" width="13.875" style="1" customWidth="1"/>
    <col min="9" max="9" width="16.875" style="1" customWidth="1"/>
    <col min="10" max="16384" width="9" style="1"/>
  </cols>
  <sheetData>
    <row r="1" ht="54" customHeight="1" spans="1:9">
      <c r="A1" s="2" t="s">
        <v>78</v>
      </c>
      <c r="B1" s="3"/>
      <c r="C1" s="3"/>
      <c r="D1" s="3"/>
      <c r="E1" s="3"/>
      <c r="F1" s="3"/>
      <c r="G1" s="3"/>
      <c r="H1" s="3"/>
      <c r="I1" s="72"/>
    </row>
    <row r="2" ht="15" customHeight="1" spans="1:9">
      <c r="A2" s="4" t="s">
        <v>1</v>
      </c>
      <c r="B2" s="5"/>
      <c r="C2" s="6"/>
      <c r="D2" s="6"/>
      <c r="E2" s="5" t="s">
        <v>79</v>
      </c>
      <c r="F2" s="6"/>
      <c r="G2" s="6"/>
      <c r="H2" s="6"/>
      <c r="I2" s="73"/>
    </row>
    <row r="3" ht="15" customHeight="1" spans="1:9">
      <c r="A3" s="7" t="s">
        <v>3</v>
      </c>
      <c r="B3" s="8"/>
      <c r="C3" s="9"/>
      <c r="D3" s="9"/>
      <c r="E3" s="10" t="s">
        <v>4</v>
      </c>
      <c r="F3" s="9"/>
      <c r="G3" s="9"/>
      <c r="H3" s="9"/>
      <c r="I3" s="73"/>
    </row>
    <row r="4" ht="15" customHeight="1" spans="1:9">
      <c r="A4" s="11" t="s">
        <v>5</v>
      </c>
      <c r="B4" s="12"/>
      <c r="C4" s="12"/>
      <c r="D4" s="12"/>
      <c r="E4" s="13">
        <v>45877</v>
      </c>
      <c r="F4" s="9"/>
      <c r="G4" s="9"/>
      <c r="H4" s="9"/>
      <c r="I4" s="73"/>
    </row>
    <row r="5" ht="15" customHeight="1" spans="1:9">
      <c r="A5" s="11"/>
      <c r="B5" s="12"/>
      <c r="C5" s="12"/>
      <c r="D5" s="12"/>
      <c r="E5" s="14"/>
      <c r="F5" s="9"/>
      <c r="G5" s="9"/>
      <c r="H5" s="9"/>
      <c r="I5" s="73"/>
    </row>
    <row r="6" ht="15" customHeight="1" spans="1:9">
      <c r="A6" s="15" t="s">
        <v>6</v>
      </c>
      <c r="B6" s="5"/>
      <c r="C6" s="6"/>
      <c r="D6" s="6"/>
      <c r="E6" s="5" t="s">
        <v>80</v>
      </c>
      <c r="F6" s="16"/>
      <c r="G6" s="16"/>
      <c r="H6" s="16"/>
      <c r="I6" s="73"/>
    </row>
    <row r="7" ht="15" customHeight="1" spans="1:9">
      <c r="A7" s="17" t="s">
        <v>8</v>
      </c>
      <c r="B7" s="8"/>
      <c r="C7" s="9"/>
      <c r="D7" s="9"/>
      <c r="E7" s="18"/>
      <c r="F7" s="19"/>
      <c r="G7" s="19"/>
      <c r="H7" s="19"/>
      <c r="I7" s="73"/>
    </row>
    <row r="8" ht="15" customHeight="1" spans="1:9">
      <c r="A8" s="20" t="s">
        <v>10</v>
      </c>
      <c r="B8" s="21"/>
      <c r="C8" s="21"/>
      <c r="D8" s="21"/>
      <c r="E8" s="18"/>
      <c r="F8" s="16"/>
      <c r="G8" s="9"/>
      <c r="H8" s="19"/>
      <c r="I8" s="73"/>
    </row>
    <row r="9" ht="15" customHeight="1" spans="1:9">
      <c r="A9" s="20"/>
      <c r="B9" s="21"/>
      <c r="C9" s="21"/>
      <c r="D9" s="21"/>
      <c r="E9" s="18"/>
      <c r="F9" s="16"/>
      <c r="G9" s="9"/>
      <c r="H9" s="19"/>
      <c r="I9" s="73"/>
    </row>
    <row r="10" ht="15" customHeight="1" spans="1:9">
      <c r="A10" s="15" t="s">
        <v>11</v>
      </c>
      <c r="B10" s="18"/>
      <c r="C10" s="16"/>
      <c r="D10" s="16"/>
      <c r="E10" s="22"/>
      <c r="F10" s="23"/>
      <c r="G10" s="9"/>
      <c r="H10" s="16"/>
      <c r="I10" s="73"/>
    </row>
    <row r="11" ht="15" customHeight="1" spans="1:9">
      <c r="A11" s="17" t="s">
        <v>8</v>
      </c>
      <c r="B11" s="8"/>
      <c r="C11" s="9"/>
      <c r="D11" s="9"/>
      <c r="E11" s="22"/>
      <c r="F11" s="23"/>
      <c r="G11" s="9"/>
      <c r="H11" s="16"/>
      <c r="I11" s="73"/>
    </row>
    <row r="12" ht="15" customHeight="1" spans="1:9">
      <c r="A12" s="20" t="s">
        <v>10</v>
      </c>
      <c r="B12" s="21"/>
      <c r="C12" s="21"/>
      <c r="D12" s="21"/>
      <c r="E12" s="16"/>
      <c r="F12" s="16"/>
      <c r="G12" s="16"/>
      <c r="H12" s="16"/>
      <c r="I12" s="73"/>
    </row>
    <row r="13" ht="15" customHeight="1" spans="1:9">
      <c r="A13" s="20"/>
      <c r="B13" s="21"/>
      <c r="C13" s="21"/>
      <c r="D13" s="21"/>
      <c r="E13" s="24"/>
      <c r="F13" s="24"/>
      <c r="G13" s="25"/>
      <c r="H13" s="26"/>
      <c r="I13" s="73"/>
    </row>
    <row r="14" ht="15" customHeight="1" spans="1:9">
      <c r="A14" s="4" t="s">
        <v>81</v>
      </c>
      <c r="B14" s="5"/>
      <c r="C14" s="27"/>
      <c r="D14" s="5" t="s">
        <v>82</v>
      </c>
      <c r="E14" s="24"/>
      <c r="F14" s="24"/>
      <c r="G14" s="28"/>
      <c r="H14" s="16"/>
      <c r="I14" s="73"/>
    </row>
    <row r="15" ht="15" customHeight="1" spans="1:9">
      <c r="A15" s="29"/>
      <c r="B15" s="30"/>
      <c r="C15" s="31"/>
      <c r="D15" s="29"/>
      <c r="E15" s="24"/>
      <c r="F15" s="24"/>
      <c r="G15" s="28"/>
      <c r="H15" s="16"/>
      <c r="I15" s="73"/>
    </row>
    <row r="16" ht="15" customHeight="1" spans="1:9">
      <c r="A16" s="4" t="s">
        <v>17</v>
      </c>
      <c r="B16" s="32"/>
      <c r="C16" s="33"/>
      <c r="D16" s="5" t="s">
        <v>18</v>
      </c>
      <c r="E16" s="9"/>
      <c r="F16" s="16"/>
      <c r="G16" s="16"/>
      <c r="H16" s="16"/>
      <c r="I16" s="73"/>
    </row>
    <row r="17" ht="15" customHeight="1" spans="1:9">
      <c r="A17" s="29"/>
      <c r="B17" s="30"/>
      <c r="C17" s="31"/>
      <c r="D17" s="34"/>
      <c r="E17" s="35"/>
      <c r="F17" s="35"/>
      <c r="G17" s="35"/>
      <c r="H17" s="35"/>
      <c r="I17" s="73"/>
    </row>
    <row r="18" customHeight="1" spans="1:9">
      <c r="A18" s="36" t="s">
        <v>83</v>
      </c>
      <c r="B18" s="37" t="s">
        <v>23</v>
      </c>
      <c r="C18" s="37" t="s">
        <v>22</v>
      </c>
      <c r="D18" s="38" t="s">
        <v>24</v>
      </c>
      <c r="E18" s="39" t="s">
        <v>25</v>
      </c>
      <c r="F18" s="39" t="s">
        <v>26</v>
      </c>
      <c r="G18" s="40" t="s">
        <v>84</v>
      </c>
      <c r="H18" s="40" t="s">
        <v>85</v>
      </c>
      <c r="I18" s="74" t="s">
        <v>86</v>
      </c>
    </row>
    <row r="19" customHeight="1" spans="1:9">
      <c r="A19" s="36"/>
      <c r="B19" s="37"/>
      <c r="C19" s="37"/>
      <c r="D19" s="38"/>
      <c r="E19" s="39"/>
      <c r="F19" s="39"/>
      <c r="G19" s="40" t="s">
        <v>87</v>
      </c>
      <c r="H19" s="40" t="s">
        <v>87</v>
      </c>
      <c r="I19" s="75"/>
    </row>
    <row r="20" ht="25" customHeight="1" spans="1:9">
      <c r="A20" s="41">
        <v>1</v>
      </c>
      <c r="B20" s="42">
        <v>2250400290</v>
      </c>
      <c r="C20" s="42" t="s">
        <v>37</v>
      </c>
      <c r="D20" s="42" t="s">
        <v>38</v>
      </c>
      <c r="E20" s="42">
        <v>1600</v>
      </c>
      <c r="F20" s="43" t="s">
        <v>39</v>
      </c>
      <c r="G20" s="44">
        <v>2.05</v>
      </c>
      <c r="H20" s="44">
        <v>2.4</v>
      </c>
      <c r="I20" s="76" t="s">
        <v>88</v>
      </c>
    </row>
    <row r="21" ht="25" customHeight="1" spans="1:9">
      <c r="A21" s="41"/>
      <c r="B21" s="42">
        <v>2250602540</v>
      </c>
      <c r="C21" s="42" t="s">
        <v>37</v>
      </c>
      <c r="D21" s="42" t="s">
        <v>38</v>
      </c>
      <c r="E21" s="42">
        <v>400</v>
      </c>
      <c r="F21" s="43" t="s">
        <v>39</v>
      </c>
      <c r="G21" s="45"/>
      <c r="H21" s="45"/>
      <c r="I21" s="77"/>
    </row>
    <row r="22" ht="25" customHeight="1" spans="1:9">
      <c r="A22" s="46">
        <v>2</v>
      </c>
      <c r="B22" s="42">
        <v>2250503507</v>
      </c>
      <c r="C22" s="42" t="s">
        <v>45</v>
      </c>
      <c r="D22" s="42" t="s">
        <v>46</v>
      </c>
      <c r="E22" s="42">
        <v>76000</v>
      </c>
      <c r="F22" s="43" t="s">
        <v>39</v>
      </c>
      <c r="G22" s="44">
        <v>5.05</v>
      </c>
      <c r="H22" s="44">
        <v>6.6</v>
      </c>
      <c r="I22" s="76" t="s">
        <v>89</v>
      </c>
    </row>
    <row r="23" ht="25" customHeight="1" spans="1:9">
      <c r="A23" s="47"/>
      <c r="B23" s="42">
        <v>2250503713</v>
      </c>
      <c r="C23" s="42" t="s">
        <v>45</v>
      </c>
      <c r="D23" s="42" t="s">
        <v>46</v>
      </c>
      <c r="E23" s="42">
        <v>20000</v>
      </c>
      <c r="F23" s="43" t="s">
        <v>39</v>
      </c>
      <c r="G23" s="48"/>
      <c r="H23" s="48"/>
      <c r="I23" s="78"/>
    </row>
    <row r="24" ht="25" customHeight="1" spans="1:9">
      <c r="A24" s="47"/>
      <c r="B24" s="42">
        <v>2250600143</v>
      </c>
      <c r="C24" s="42" t="s">
        <v>45</v>
      </c>
      <c r="D24" s="42" t="s">
        <v>46</v>
      </c>
      <c r="E24" s="42">
        <v>52000</v>
      </c>
      <c r="F24" s="43" t="s">
        <v>39</v>
      </c>
      <c r="G24" s="48"/>
      <c r="H24" s="48"/>
      <c r="I24" s="78"/>
    </row>
    <row r="25" ht="25" customHeight="1" spans="1:9">
      <c r="A25" s="49"/>
      <c r="B25" s="42">
        <v>2250600390</v>
      </c>
      <c r="C25" s="42" t="s">
        <v>45</v>
      </c>
      <c r="D25" s="42" t="s">
        <v>46</v>
      </c>
      <c r="E25" s="42">
        <v>52000</v>
      </c>
      <c r="F25" s="43" t="s">
        <v>39</v>
      </c>
      <c r="G25" s="45"/>
      <c r="H25" s="45"/>
      <c r="I25" s="77"/>
    </row>
    <row r="26" ht="25" customHeight="1" spans="1:9">
      <c r="A26" s="41">
        <v>3</v>
      </c>
      <c r="B26" s="42">
        <v>2250501568</v>
      </c>
      <c r="C26" s="42" t="s">
        <v>51</v>
      </c>
      <c r="D26" s="42" t="s">
        <v>52</v>
      </c>
      <c r="E26" s="42">
        <v>32000</v>
      </c>
      <c r="F26" s="43" t="s">
        <v>39</v>
      </c>
      <c r="G26" s="50">
        <v>0.85</v>
      </c>
      <c r="H26" s="50">
        <v>1.2</v>
      </c>
      <c r="I26" s="79" t="s">
        <v>88</v>
      </c>
    </row>
    <row r="27" ht="25" customHeight="1" spans="1:9">
      <c r="A27" s="46">
        <v>4</v>
      </c>
      <c r="B27" s="42">
        <v>2250401729</v>
      </c>
      <c r="C27" s="42" t="s">
        <v>54</v>
      </c>
      <c r="D27" s="42" t="s">
        <v>55</v>
      </c>
      <c r="E27" s="42">
        <v>8000</v>
      </c>
      <c r="F27" s="43" t="s">
        <v>39</v>
      </c>
      <c r="G27" s="44">
        <v>1.55</v>
      </c>
      <c r="H27" s="44">
        <v>2.2</v>
      </c>
      <c r="I27" s="76" t="s">
        <v>90</v>
      </c>
    </row>
    <row r="28" ht="25" customHeight="1" spans="1:9">
      <c r="A28" s="49"/>
      <c r="B28" s="42">
        <v>2250501568</v>
      </c>
      <c r="C28" s="42" t="s">
        <v>54</v>
      </c>
      <c r="D28" s="42" t="s">
        <v>55</v>
      </c>
      <c r="E28" s="42">
        <v>56000</v>
      </c>
      <c r="F28" s="43" t="s">
        <v>39</v>
      </c>
      <c r="G28" s="45"/>
      <c r="H28" s="45"/>
      <c r="I28" s="77"/>
    </row>
    <row r="29" ht="25" customHeight="1" spans="1:9">
      <c r="A29" s="49"/>
      <c r="B29" s="51"/>
      <c r="C29" s="52"/>
      <c r="D29" s="52"/>
      <c r="E29" s="53"/>
      <c r="F29" s="52"/>
      <c r="G29" s="54"/>
      <c r="H29" s="55"/>
      <c r="I29" s="80"/>
    </row>
    <row r="30" ht="25" customHeight="1" spans="1:9">
      <c r="A30" s="56">
        <v>4</v>
      </c>
      <c r="B30" s="9"/>
      <c r="C30" s="32"/>
      <c r="D30" s="40" t="s">
        <v>91</v>
      </c>
      <c r="E30" s="57">
        <f>SUM(E20:E29)</f>
        <v>298000</v>
      </c>
      <c r="F30" s="40"/>
      <c r="G30" s="58">
        <f>SUM(G20:G29)</f>
        <v>9.5</v>
      </c>
      <c r="H30" s="58">
        <f>SUM(H20:H29)</f>
        <v>12.4</v>
      </c>
      <c r="I30" s="81" t="s">
        <v>92</v>
      </c>
    </row>
    <row r="31" ht="25" customHeight="1" spans="1:9">
      <c r="A31" s="59"/>
      <c r="D31" s="60" t="s">
        <v>93</v>
      </c>
      <c r="E31" s="61">
        <v>4</v>
      </c>
      <c r="I31" s="82"/>
    </row>
    <row r="32" ht="25" customHeight="1" spans="1:9">
      <c r="A32" s="59"/>
      <c r="D32" s="60" t="s">
        <v>94</v>
      </c>
      <c r="E32" s="62" t="s">
        <v>95</v>
      </c>
      <c r="I32" s="82"/>
    </row>
    <row r="33" ht="25" customHeight="1" spans="1:9">
      <c r="A33" s="59"/>
      <c r="D33" s="60" t="s">
        <v>96</v>
      </c>
      <c r="E33" s="62" t="s">
        <v>42</v>
      </c>
      <c r="I33" s="82"/>
    </row>
    <row r="34" customHeight="1" spans="1:9">
      <c r="A34" s="63"/>
      <c r="B34" s="64"/>
      <c r="C34" s="64"/>
      <c r="D34" s="64"/>
      <c r="E34" s="64"/>
      <c r="F34" s="64"/>
      <c r="G34" s="64"/>
      <c r="H34" s="64"/>
      <c r="I34" s="83"/>
    </row>
    <row r="36" ht="41" customHeight="1" spans="1:3">
      <c r="A36" s="65" t="s">
        <v>59</v>
      </c>
      <c r="B36" s="65"/>
      <c r="C36" s="66" t="s">
        <v>60</v>
      </c>
    </row>
    <row r="37" ht="28" customHeight="1" spans="1:3">
      <c r="A37" s="65" t="s">
        <v>61</v>
      </c>
      <c r="B37" s="65"/>
      <c r="C37" s="67">
        <v>2358</v>
      </c>
    </row>
    <row r="38" ht="56" customHeight="1" spans="1:3">
      <c r="A38" s="65" t="s">
        <v>62</v>
      </c>
      <c r="B38" s="65"/>
      <c r="C38" s="68" t="s">
        <v>63</v>
      </c>
    </row>
    <row r="39" ht="34" customHeight="1" spans="1:3">
      <c r="A39" s="65" t="s">
        <v>64</v>
      </c>
      <c r="B39" s="65"/>
      <c r="C39" s="66" t="s">
        <v>65</v>
      </c>
    </row>
    <row r="40" ht="32" customHeight="1" spans="1:3">
      <c r="A40" s="65" t="s">
        <v>66</v>
      </c>
      <c r="B40" s="65"/>
      <c r="C40" s="69" t="s">
        <v>20</v>
      </c>
    </row>
    <row r="41" customHeight="1" spans="1:3">
      <c r="A41" s="65" t="s">
        <v>67</v>
      </c>
      <c r="B41" s="65"/>
      <c r="C41" s="66" t="s">
        <v>68</v>
      </c>
    </row>
    <row r="42" customHeight="1" spans="1:3">
      <c r="A42" s="65" t="s">
        <v>69</v>
      </c>
      <c r="B42" s="65"/>
      <c r="C42" s="66" t="s">
        <v>68</v>
      </c>
    </row>
    <row r="43" customHeight="1" spans="1:3">
      <c r="A43" s="65" t="s">
        <v>70</v>
      </c>
      <c r="B43" s="65"/>
      <c r="C43" s="70" t="s">
        <v>71</v>
      </c>
    </row>
    <row r="44" customHeight="1" spans="1:3">
      <c r="A44" s="71" t="s">
        <v>72</v>
      </c>
      <c r="B44" s="71"/>
      <c r="C44" s="66" t="s">
        <v>13</v>
      </c>
    </row>
    <row r="45" customHeight="1" spans="1:3">
      <c r="A45" s="65" t="s">
        <v>73</v>
      </c>
      <c r="B45" s="65"/>
      <c r="C45" s="66" t="s">
        <v>41</v>
      </c>
    </row>
    <row r="46" customHeight="1" spans="1:3">
      <c r="A46" s="65" t="s">
        <v>74</v>
      </c>
      <c r="B46" s="65"/>
      <c r="C46" s="66" t="s">
        <v>75</v>
      </c>
    </row>
  </sheetData>
  <mergeCells count="39">
    <mergeCell ref="A1:I1"/>
    <mergeCell ref="E13:F13"/>
    <mergeCell ref="E14:F14"/>
    <mergeCell ref="A15:C15"/>
    <mergeCell ref="E15:F15"/>
    <mergeCell ref="A17:C17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18:A19"/>
    <mergeCell ref="A20:A21"/>
    <mergeCell ref="A22:A25"/>
    <mergeCell ref="A27:A28"/>
    <mergeCell ref="B18:B19"/>
    <mergeCell ref="C18:C19"/>
    <mergeCell ref="D18:D19"/>
    <mergeCell ref="E18:E19"/>
    <mergeCell ref="F18:F19"/>
    <mergeCell ref="G20:G21"/>
    <mergeCell ref="G22:G25"/>
    <mergeCell ref="G27:G28"/>
    <mergeCell ref="H20:H21"/>
    <mergeCell ref="H22:H25"/>
    <mergeCell ref="H27:H28"/>
    <mergeCell ref="I18:I19"/>
    <mergeCell ref="I20:I21"/>
    <mergeCell ref="I22:I25"/>
    <mergeCell ref="I27:I28"/>
    <mergeCell ref="A4:D5"/>
    <mergeCell ref="A8:D9"/>
    <mergeCell ref="A12:D13"/>
  </mergeCells>
  <pageMargins left="0.75" right="0.75" top="1" bottom="1" header="0.5" footer="0.5"/>
  <pageSetup paperSize="9" scale="65" orientation="portrait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INVOICE</vt:lpstr>
      <vt:lpstr>PACKING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D000208</dc:creator>
  <cp:lastModifiedBy>D000208</cp:lastModifiedBy>
  <dcterms:created xsi:type="dcterms:W3CDTF">2025-07-17T08:11:00Z</dcterms:created>
  <dcterms:modified xsi:type="dcterms:W3CDTF">2025-08-20T14:05:55Z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405EDDA453444C6DA6D29C0547ACF2F9</vt:lpwstr>
  </property>
  <property fmtid="{D5CDD505-2E9C-101B-9397-08002B2CF9AE}" pid="3" name="KSOProductBuildVer">
    <vt:lpwstr>2052-11.8.2.12118</vt:lpwstr>
  </property>
</Properties>
</file>