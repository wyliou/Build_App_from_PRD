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Liou\Documents\app_import_consolidation-main\app_import_consolidation-main\Data\to_do\batch1\"/>
    </mc:Choice>
  </mc:AlternateContent>
  <xr:revisionPtr revIDLastSave="0" documentId="8_{3179F5C5-5A4C-46A3-85D8-BEF0A6185460}" xr6:coauthVersionLast="47" xr6:coauthVersionMax="47" xr10:uidLastSave="{00000000-0000-0000-0000-000000000000}"/>
  <bookViews>
    <workbookView xWindow="38292" yWindow="-108" windowWidth="29016" windowHeight="15816" tabRatio="702" firstSheet="1" activeTab="1" xr2:uid="{DB282C96-AB2E-490C-A27A-31AF3891C854}"/>
  </bookViews>
  <sheets>
    <sheet name="shipping mark" sheetId="9" state="hidden" r:id="rId1"/>
    <sheet name="Invoice" sheetId="17" r:id="rId2"/>
    <sheet name="PACKING " sheetId="18" r:id="rId3"/>
    <sheet name="CONTRACT " sheetId="8" r:id="rId4"/>
    <sheet name="送貨單" sheetId="16" r:id="rId5"/>
    <sheet name="注意事項" sheetId="12" r:id="rId6"/>
    <sheet name="新標籤" sheetId="15" r:id="rId7"/>
    <sheet name="DC" sheetId="14" r:id="rId8"/>
  </sheets>
  <externalReferences>
    <externalReference r:id="rId9"/>
    <externalReference r:id="rId10"/>
    <externalReference r:id="rId11"/>
  </externalReferences>
  <definedNames>
    <definedName name="ADR_REM">" "</definedName>
    <definedName name="ADR_REMMEMORANGE">"1;7"</definedName>
    <definedName name="AMT_B">400</definedName>
    <definedName name="AMT_TOTAL">1200</definedName>
    <definedName name="BODY_PAGE">1</definedName>
    <definedName name="CONSIGNEE">"HANPIN BVI INTERNATIONAL CO., LTD"</definedName>
    <definedName name="CONSIGNEE_ADD">"Unit 601, 6/F, CCT Telecom Bldg.,11 Wo Shing Street, Fotan, Shantin, N.T., Hong Kong."</definedName>
    <definedName name="CONSIGNEE_ADDMEMORANGE">"1;7"</definedName>
    <definedName name="CONSIGNEEMEMORANGE">"1;3"</definedName>
    <definedName name="Count_In_OnePage">1</definedName>
    <definedName name="CUR_ID">""</definedName>
    <definedName name="CUR_ID_B">""</definedName>
    <definedName name="CUR_ID_E">""</definedName>
    <definedName name="CUR_ID_H">""</definedName>
    <definedName name="CUS_OS_NO">""</definedName>
    <definedName name="CUS_OS_NO_B">"201145563"</definedName>
    <definedName name="CUS_OS_NO_TF">"201144191"</definedName>
    <definedName name="CUS_SENDCUS_NAME">""</definedName>
    <definedName name="CUS_WH_ADR">"Unit 601, 6/F, CCT Telecom Bldg.,11 Wo Shing Street, Fotan, Shantin, N.T., Hong Kong."</definedName>
    <definedName name="CUS_WH_ADRMEMORANGE">"1;5"</definedName>
    <definedName name="CUS_WH_CNT_MAN">"Ms Catherine"</definedName>
    <definedName name="CUS_WH_CNT_MANMEMORANGE">"1;7"</definedName>
    <definedName name="CUS_WH_FAX_NO">""</definedName>
    <definedName name="CUS_WH_NAME">"HANPIN BVI INTERNATIONAL CO., LTD"</definedName>
    <definedName name="CUS_WH_NAMEMEMORANGE">"1;4"</definedName>
    <definedName name="CUS_WH_TEL_NO">"(852) 2881 5068"</definedName>
    <definedName name="CUST_ADR_ENG">""</definedName>
    <definedName name="CUST_ADR_ENGMEMORANGE">"1;5"</definedName>
    <definedName name="CUST_ADR1">"Palm Grove House P.O. Box438，Road Town,Tortola,British Virgin Islands"</definedName>
    <definedName name="CUST_ADR1MEMORANGE">"1;7"</definedName>
    <definedName name="CUST_MAN1">"ROBBE#126"</definedName>
    <definedName name="CUST_MAN1MEMORANGE">"1;5"</definedName>
    <definedName name="CUST_NM_ENG">"HANPIN BVI INTERNATIONAL CO., LTD"</definedName>
    <definedName name="CUST_NM_ENGMEMORANGE">"1;3"</definedName>
    <definedName name="CUST_TEL1">"0755-2737-8666"</definedName>
    <definedName name="DELIVERY">" "</definedName>
    <definedName name="DELIVERY_DBEDITMEMORANGE">"1;4"</definedName>
    <definedName name="DELIVERYMEMORANGE">"1;5"</definedName>
    <definedName name="DocumentFunction" localSheetId="3">#REF!</definedName>
    <definedName name="DocumentFunction" localSheetId="0">#REF!</definedName>
    <definedName name="DocumentFunction" localSheetId="5">#REF!</definedName>
    <definedName name="DocumentFunction" localSheetId="4">#REF!</definedName>
    <definedName name="DocumentFunction" localSheetId="6">#REF!</definedName>
    <definedName name="DocumentFunction">#REF!</definedName>
    <definedName name="DRAWFOOTLINE">0</definedName>
    <definedName name="FAS_TABLE_BODY">"25;2;44;10;"</definedName>
    <definedName name="FAS_TABLE_BODY_AUTOSIZE">"[以下空白]"</definedName>
    <definedName name="HCUS_OS_NO">""</definedName>
    <definedName name="HINVOICE_NO">""</definedName>
    <definedName name="INV_NO_H">"A104110311"</definedName>
    <definedName name="INV_QTY">5000</definedName>
    <definedName name="ITM">"1"</definedName>
    <definedName name="LPT_AMT">4625</definedName>
    <definedName name="LPT_AMT_USD">" Dollars  Four Thousand Six Hundred Twenty Five Only"</definedName>
    <definedName name="MRK_NAME">"LITTELFUSE"</definedName>
    <definedName name="MY_WH_NAME">""</definedName>
    <definedName name="NM_ENG">""</definedName>
    <definedName name="NOW_PAGE">1</definedName>
    <definedName name="PAGES_ALL">1</definedName>
    <definedName name="PI_NO">"TRUCK"</definedName>
    <definedName name="PI_NOMEMORANGE">"1;5"</definedName>
    <definedName name="PRD_NM">"025102.5NRT1L"</definedName>
    <definedName name="PRD_NO_SUP">""</definedName>
    <definedName name="PRD_ORI">"PH"</definedName>
    <definedName name="PRD_UINT">"PCS"</definedName>
    <definedName name="PRD_UP">0.08</definedName>
    <definedName name="_xlnm.Print_Area" localSheetId="3">'CONTRACT '!$A$1:$H$31</definedName>
    <definedName name="_xlnm.Print_Area" localSheetId="1">Invoice!$A$1:$O$44</definedName>
    <definedName name="_xlnm.Print_Area" localSheetId="5">注意事項!$A$1:$I$31</definedName>
    <definedName name="_xlnm.Print_Area" localSheetId="4">#REF!</definedName>
    <definedName name="_xlnm.Print_Area" localSheetId="6">[2]Invoice!$A$1:$K$45</definedName>
    <definedName name="_xlnm.Print_Area">#REF!</definedName>
    <definedName name="PS_2DD">"03"</definedName>
    <definedName name="PS_2MM">"11"</definedName>
    <definedName name="PS_2YY1">"2015"</definedName>
    <definedName name="PSWD_USR_NAME">"Rita Chen"</definedName>
    <definedName name="QS_CUR_NM">""</definedName>
    <definedName name="REM_HEAD">""</definedName>
    <definedName name="REM_HEADMEMORANGE">"4;9"</definedName>
    <definedName name="REPORT_BODY_ROWS">2</definedName>
    <definedName name="SA_LPT_AMT">4625</definedName>
    <definedName name="SHIPMENT_FROM">"HK TO HK"</definedName>
    <definedName name="SHIPMENT_TERM">"FOB HK"</definedName>
    <definedName name="ShowPrintScale">1</definedName>
    <definedName name="ShowZeroValues">"FALSE"</definedName>
    <definedName name="SPEC">""</definedName>
    <definedName name="SUP_PRD_NO_B">"414-COMBO-401"</definedName>
    <definedName name="SUP_PRD_NO_BODY_SA">"422-1300-051"</definedName>
    <definedName name="SYS_ADR_E">"27F, No.97, Chung Shin Road, Sec.4, San Chung City, Taipei Hsien, Taiwan, R.O.C."</definedName>
    <definedName name="SYS_ADR_EMEMORANGE">"1;9"</definedName>
    <definedName name="SYS_NAME_ENG">"ACTION ELECTRONICS CO., LTD.(BVI)"</definedName>
    <definedName name="TOTLAL_QTY">57000</definedName>
    <definedName name="UNIT_NAME_AQ">"PCS"</definedName>
    <definedName name="外包裝" localSheetId="5">#REF!</definedName>
    <definedName name="外包裝" localSheetId="4">#REF!</definedName>
    <definedName name="外包裝" localSheetId="6">#REF!</definedName>
    <definedName name="外包裝">#REF!</definedName>
    <definedName name="外箱" localSheetId="5">#REF!</definedName>
    <definedName name="外箱" localSheetId="4">#REF!</definedName>
    <definedName name="外箱" localSheetId="6">#REF!</definedName>
    <definedName name="外箱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7" l="1"/>
  <c r="P21" i="17"/>
  <c r="I22" i="17"/>
  <c r="P22" i="17"/>
  <c r="I23" i="17"/>
  <c r="P23" i="17"/>
  <c r="I24" i="17"/>
  <c r="P24" i="17"/>
  <c r="I25" i="17"/>
  <c r="P25" i="17"/>
  <c r="I26" i="17"/>
  <c r="P26" i="17"/>
  <c r="I27" i="17"/>
  <c r="P27" i="17"/>
  <c r="I28" i="17"/>
  <c r="P28" i="17"/>
  <c r="E38" i="17"/>
  <c r="I38" i="17"/>
  <c r="O38" i="17"/>
  <c r="F5" i="18"/>
  <c r="F6" i="18"/>
  <c r="E33" i="18"/>
  <c r="F34" i="18" s="1"/>
  <c r="F33" i="18"/>
  <c r="H33" i="18"/>
  <c r="I33" i="18"/>
  <c r="A9" i="8"/>
  <c r="C9" i="8"/>
  <c r="H13" i="8"/>
  <c r="H14" i="8"/>
  <c r="H15" i="8"/>
  <c r="H16" i="8"/>
  <c r="H17" i="8"/>
  <c r="H18" i="8"/>
  <c r="F25" i="8"/>
  <c r="H25" i="8"/>
  <c r="G7" i="16"/>
  <c r="F11" i="16"/>
  <c r="F12" i="16" s="1"/>
  <c r="F13" i="16" s="1"/>
  <c r="F14" i="16" s="1"/>
  <c r="F15" i="16" s="1"/>
  <c r="F16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K20" authorId="0" shapeId="0" xr:uid="{C2A666F4-DC78-4CEC-9C44-F559CD09BA70}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sharedStrings.xml><?xml version="1.0" encoding="utf-8"?>
<sst xmlns="http://schemas.openxmlformats.org/spreadsheetml/2006/main" count="397" uniqueCount="249">
  <si>
    <t>外箱要求貼或標注:</t>
  </si>
  <si>
    <t>货物品牌</t>
  </si>
  <si>
    <t>Littelfuse</t>
  </si>
  <si>
    <r>
      <t>型号</t>
    </r>
    <r>
      <rPr>
        <sz val="12"/>
        <color indexed="10"/>
        <rFont val="Times New Roman"/>
        <family val="1"/>
      </rPr>
      <t>:</t>
    </r>
  </si>
  <si>
    <t>SMAJ58CA</t>
  </si>
  <si>
    <t>P654P3100SBRP</t>
  </si>
  <si>
    <t>SP3051-04HTG</t>
  </si>
  <si>
    <t>P3500SBLRP</t>
  </si>
  <si>
    <t>SDP0240T023G6RP</t>
  </si>
  <si>
    <t>CS7N60FA9HDY</t>
  </si>
  <si>
    <t>CS7N65A3R-G</t>
  </si>
  <si>
    <t>B1</t>
  </si>
  <si>
    <t>QHT002</t>
  </si>
  <si>
    <t>COMMERCIAL INVOICE</t>
  </si>
  <si>
    <t>Shipper/Exporter</t>
  </si>
  <si>
    <t>No. &amp; Date of Invoice</t>
  </si>
  <si>
    <t>ACTION ELECTRONICS CO.,LTD</t>
  </si>
  <si>
    <t>A114081421</t>
  </si>
  <si>
    <t>Bill To:</t>
  </si>
  <si>
    <t xml:space="preserve"> Payment Term</t>
  </si>
  <si>
    <t>SerNet (SuZhou) Technologies Corporation</t>
  </si>
  <si>
    <t>SN_FTM 120
Days</t>
  </si>
  <si>
    <t>No.8, Tangzhuang Rode ,Suzhou Industrial Park</t>
  </si>
  <si>
    <t xml:space="preserve"> ATTN: Jason  TEL:0512 6761 3993 ext: 6598/6583</t>
  </si>
  <si>
    <t>Ship To:</t>
  </si>
  <si>
    <t xml:space="preserve"> Trade Term</t>
  </si>
  <si>
    <t>DAP  SZ</t>
  </si>
  <si>
    <t>No.8, Tangzhuang Rode ,Suzhou Industrial Park  ATTN: Jason  TEL:0512 6761 3993 ext: 6598/6583</t>
  </si>
  <si>
    <t>Port of Loading</t>
  </si>
  <si>
    <t>Port of Discharge</t>
  </si>
  <si>
    <t xml:space="preserve"> Remarks:</t>
  </si>
  <si>
    <t>HK</t>
  </si>
  <si>
    <t>SZ</t>
  </si>
  <si>
    <t>Carrier</t>
  </si>
  <si>
    <t>Sailing on/or About</t>
  </si>
  <si>
    <t>BY  DHL</t>
  </si>
  <si>
    <t>贸易国：</t>
  </si>
  <si>
    <t>Anguilla</t>
  </si>
  <si>
    <t>ITEM</t>
  </si>
  <si>
    <t>PO No.</t>
  </si>
  <si>
    <t>Part No.</t>
  </si>
  <si>
    <t>型号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</si>
  <si>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</si>
  <si>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</si>
  <si>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</si>
  <si>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</si>
  <si>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</si>
  <si>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</si>
  <si>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</si>
  <si>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</si>
  <si>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</si>
  <si>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Description of Goods</t>
  </si>
  <si>
    <t>Net WT(KGS)</t>
  </si>
  <si>
    <t>30135001LF</t>
  </si>
  <si>
    <t>PCS</t>
  </si>
  <si>
    <t>USD</t>
  </si>
  <si>
    <t>CN</t>
  </si>
  <si>
    <t>/</t>
  </si>
  <si>
    <t>境外品牌（其他）</t>
  </si>
  <si>
    <t>30158001LF</t>
  </si>
  <si>
    <t>SMBJ58A</t>
  </si>
  <si>
    <t>301J16A0LF</t>
  </si>
  <si>
    <t>SMAJ16A</t>
  </si>
  <si>
    <t>30300001LF</t>
  </si>
  <si>
    <t>TH</t>
  </si>
  <si>
    <t>30323000LF</t>
  </si>
  <si>
    <t>SH230</t>
  </si>
  <si>
    <t>30335000LF</t>
  </si>
  <si>
    <t>P3500SBLRP-S</t>
  </si>
  <si>
    <t xml:space="preserve">                  TOTAL</t>
  </si>
  <si>
    <t>ACTION ELECTRONICS CO., LTD.</t>
  </si>
  <si>
    <t>PACKING LIST</t>
  </si>
  <si>
    <t>No &amp; Date of Invoice</t>
  </si>
  <si>
    <t>Remarks:</t>
  </si>
  <si>
    <t xml:space="preserve">ATTN: Ann  TEL: 0512-6761 3993  ext:6501 / 64682 </t>
  </si>
  <si>
    <t>Port of Departure</t>
  </si>
  <si>
    <t>Port of Arrival</t>
  </si>
  <si>
    <t>DHL</t>
  </si>
  <si>
    <t>CTNS</t>
  </si>
  <si>
    <t>型號</t>
  </si>
  <si>
    <t>CTN NO.</t>
  </si>
  <si>
    <t>Net WT</t>
  </si>
  <si>
    <t>Gross WT</t>
  </si>
  <si>
    <t>MEASUREMENT  L*W*H(CM)</t>
  </si>
  <si>
    <t>KGS</t>
  </si>
  <si>
    <t>1</t>
  </si>
  <si>
    <t>2250100170</t>
  </si>
  <si>
    <t>39*36*15</t>
  </si>
  <si>
    <t>2</t>
  </si>
  <si>
    <t>2250500414</t>
  </si>
  <si>
    <t>42*38*38</t>
  </si>
  <si>
    <t>3</t>
  </si>
  <si>
    <t>37*36*35</t>
  </si>
  <si>
    <t>4</t>
  </si>
  <si>
    <t>2250300757</t>
  </si>
  <si>
    <t>36*22*23</t>
  </si>
  <si>
    <t>5</t>
  </si>
  <si>
    <t>2250800499</t>
  </si>
  <si>
    <t>39*36*8</t>
  </si>
  <si>
    <t>6</t>
  </si>
  <si>
    <t>2250301934</t>
  </si>
  <si>
    <t>7</t>
  </si>
  <si>
    <t>2250201427</t>
  </si>
  <si>
    <t>8</t>
  </si>
  <si>
    <t>2250200088</t>
  </si>
  <si>
    <t>9</t>
  </si>
  <si>
    <t>TOTAL</t>
  </si>
  <si>
    <t>件数</t>
  </si>
  <si>
    <t>ACTION ELECTRONICS CO., Ltd.</t>
  </si>
  <si>
    <t>OMC Offices, Babrow Building, The Valley, AI-2640, Anguilla.</t>
  </si>
  <si>
    <t>CONTRACT</t>
  </si>
  <si>
    <t>*****************</t>
  </si>
  <si>
    <t>Contract No :</t>
  </si>
  <si>
    <t>Date</t>
  </si>
  <si>
    <t>Vendor Code</t>
  </si>
  <si>
    <t xml:space="preserve">           Shipped From</t>
  </si>
  <si>
    <t>To</t>
  </si>
  <si>
    <t>VIA</t>
  </si>
  <si>
    <t>Payment term</t>
  </si>
  <si>
    <t>Location</t>
  </si>
  <si>
    <t>Incoterm</t>
  </si>
  <si>
    <t>PAGES</t>
  </si>
  <si>
    <t>Item No.</t>
  </si>
  <si>
    <t>ORIGIN</t>
  </si>
  <si>
    <t>Q'TY</t>
  </si>
  <si>
    <t>U/Price(USD)</t>
  </si>
  <si>
    <t>TTL AMT(USD)</t>
  </si>
  <si>
    <t>卖方：　　　</t>
  </si>
  <si>
    <t>买方：　　　</t>
  </si>
  <si>
    <t>中磊電子（蘇州）有限公司</t>
  </si>
  <si>
    <t xml:space="preserve">     ACTION ELECTRONICS CO.,LTD</t>
  </si>
  <si>
    <t xml:space="preserve">客戶名稱：中磊電子（蘇州）有限公司  </t>
  </si>
  <si>
    <t>（報關料交貨）</t>
  </si>
  <si>
    <r>
      <t>客戶地址：工業園區唐庒路</t>
    </r>
    <r>
      <rPr>
        <sz val="14"/>
        <color indexed="8"/>
        <rFont val="Arial"/>
        <family val="2"/>
      </rPr>
      <t xml:space="preserve"> 8</t>
    </r>
    <r>
      <rPr>
        <sz val="14"/>
        <color indexed="8"/>
        <rFont val="宋体"/>
        <charset val="134"/>
      </rPr>
      <t>號</t>
    </r>
    <r>
      <rPr>
        <sz val="14"/>
        <color indexed="8"/>
        <rFont val="Arial"/>
        <family val="2"/>
      </rPr>
      <t xml:space="preserve">                                                                              </t>
    </r>
  </si>
  <si>
    <t>送貨日期：</t>
  </si>
  <si>
    <t>序號</t>
  </si>
  <si>
    <t>PO號碼</t>
  </si>
  <si>
    <r>
      <t>廠商名稱</t>
    </r>
    <r>
      <rPr>
        <sz val="12"/>
        <color indexed="8"/>
        <rFont val="Arial"/>
        <family val="2"/>
      </rPr>
      <t xml:space="preserve"> </t>
    </r>
    <r>
      <rPr>
        <sz val="11"/>
        <color indexed="8"/>
        <rFont val="宋体"/>
        <charset val="134"/>
      </rPr>
      <t xml:space="preserve">                                 (</t>
    </r>
    <r>
      <rPr>
        <sz val="10"/>
        <color indexed="10"/>
        <rFont val="宋体"/>
        <charset val="134"/>
      </rPr>
      <t>掃</t>
    </r>
    <r>
      <rPr>
        <sz val="10"/>
        <color indexed="10"/>
        <rFont val="Arial"/>
        <family val="2"/>
      </rPr>
      <t>PO</t>
    </r>
    <r>
      <rPr>
        <sz val="10"/>
        <color indexed="10"/>
        <rFont val="宋体"/>
        <charset val="134"/>
      </rPr>
      <t>號自動帶出對應廠商名稱</t>
    </r>
    <r>
      <rPr>
        <sz val="11"/>
        <color indexed="8"/>
        <rFont val="宋体"/>
        <charset val="134"/>
      </rPr>
      <t>）</t>
    </r>
  </si>
  <si>
    <t>料號</t>
  </si>
  <si>
    <t>報關單號</t>
  </si>
  <si>
    <t>送貨單號</t>
  </si>
  <si>
    <t>交貨數量</t>
  </si>
  <si>
    <t>ACTION</t>
  </si>
  <si>
    <t>2250200088;2250201427;2250301934</t>
  </si>
  <si>
    <r>
      <rPr>
        <sz val="14"/>
        <color indexed="8"/>
        <rFont val="Arial Unicode MS"/>
        <family val="2"/>
      </rPr>
      <t>送貨人：</t>
    </r>
    <r>
      <rPr>
        <sz val="14"/>
        <color indexed="8"/>
        <rFont val="Arial"/>
        <family val="2"/>
      </rPr>
      <t>XXX</t>
    </r>
  </si>
  <si>
    <r>
      <t xml:space="preserve">      </t>
    </r>
    <r>
      <rPr>
        <sz val="14"/>
        <color indexed="8"/>
        <rFont val="Arial Unicode MS"/>
        <family val="2"/>
      </rPr>
      <t>車牌號</t>
    </r>
    <r>
      <rPr>
        <sz val="14"/>
        <color indexed="8"/>
        <rFont val="Arial"/>
        <family val="2"/>
      </rPr>
      <t>:</t>
    </r>
    <r>
      <rPr>
        <sz val="14"/>
        <color indexed="8"/>
        <rFont val="Arial Unicode MS"/>
        <family val="2"/>
      </rPr>
      <t>蘇</t>
    </r>
    <r>
      <rPr>
        <sz val="14"/>
        <color indexed="8"/>
        <rFont val="Arial"/>
        <family val="2"/>
      </rPr>
      <t>E.00000</t>
    </r>
  </si>
  <si>
    <r>
      <rPr>
        <sz val="14"/>
        <color indexed="8"/>
        <rFont val="Arial Unicode MS"/>
        <family val="2"/>
      </rPr>
      <t>收貨人：</t>
    </r>
    <r>
      <rPr>
        <sz val="14"/>
        <color indexed="8"/>
        <rFont val="Arial"/>
        <family val="2"/>
      </rPr>
      <t>XXXXX</t>
    </r>
  </si>
  <si>
    <r>
      <t xml:space="preserve">REMARK </t>
    </r>
    <r>
      <rPr>
        <b/>
        <sz val="16"/>
        <rFont val="標楷體"/>
        <family val="2"/>
      </rPr>
      <t>：</t>
    </r>
  </si>
  <si>
    <r>
      <t>1</t>
    </r>
    <r>
      <rPr>
        <sz val="13"/>
        <rFont val="細明體"/>
        <charset val="134"/>
      </rPr>
      <t>、</t>
    </r>
  </si>
  <si>
    <r>
      <t>New barcode label request</t>
    </r>
    <r>
      <rPr>
        <sz val="10"/>
        <rFont val="宋体"/>
        <charset val="134"/>
      </rPr>
      <t>（</t>
    </r>
    <r>
      <rPr>
        <sz val="10"/>
        <color indexed="10"/>
        <rFont val="宋体"/>
        <charset val="134"/>
      </rPr>
      <t>盤</t>
    </r>
    <r>
      <rPr>
        <sz val="10"/>
        <color indexed="10"/>
        <rFont val="Arial"/>
        <family val="2"/>
      </rPr>
      <t>/</t>
    </r>
    <r>
      <rPr>
        <sz val="10"/>
        <color indexed="10"/>
        <rFont val="宋体"/>
        <charset val="134"/>
      </rPr>
      <t>盒</t>
    </r>
    <r>
      <rPr>
        <sz val="10"/>
        <color indexed="10"/>
        <rFont val="Arial"/>
        <family val="2"/>
      </rPr>
      <t>/</t>
    </r>
    <r>
      <rPr>
        <sz val="10"/>
        <color indexed="10"/>
        <rFont val="宋体"/>
        <charset val="134"/>
      </rPr>
      <t>箱</t>
    </r>
    <r>
      <rPr>
        <sz val="10"/>
        <color indexed="10"/>
        <rFont val="Arial"/>
        <family val="2"/>
      </rPr>
      <t xml:space="preserve">) LABEL </t>
    </r>
    <r>
      <rPr>
        <sz val="10"/>
        <color indexed="10"/>
        <rFont val="宋体"/>
        <charset val="134"/>
      </rPr>
      <t>請貼至最小包裝</t>
    </r>
    <r>
      <rPr>
        <sz val="10"/>
        <color indexed="10"/>
        <rFont val="Arial"/>
        <family val="2"/>
      </rPr>
      <t xml:space="preserve"> </t>
    </r>
    <r>
      <rPr>
        <b/>
        <sz val="10"/>
        <color indexed="12"/>
        <rFont val="Arial"/>
        <family val="2"/>
      </rPr>
      <t>(</t>
    </r>
    <r>
      <rPr>
        <b/>
        <sz val="10"/>
        <color indexed="12"/>
        <rFont val="細明體"/>
        <charset val="134"/>
      </rPr>
      <t>請使用</t>
    </r>
    <r>
      <rPr>
        <b/>
        <sz val="10"/>
        <color indexed="12"/>
        <rFont val="Arial"/>
        <family val="2"/>
      </rPr>
      <t>"</t>
    </r>
    <r>
      <rPr>
        <b/>
        <sz val="10"/>
        <color indexed="12"/>
        <rFont val="細明體"/>
        <charset val="134"/>
      </rPr>
      <t>二維條碼</t>
    </r>
    <r>
      <rPr>
        <b/>
        <sz val="10"/>
        <color indexed="12"/>
        <rFont val="Arial"/>
        <family val="2"/>
      </rPr>
      <t>"</t>
    </r>
    <r>
      <rPr>
        <sz val="10"/>
        <color indexed="10"/>
        <rFont val="Arial"/>
        <family val="2"/>
      </rPr>
      <t xml:space="preserve"> ) (Veder Code:QHT002) 、 ( 廠商碼:B1)</t>
    </r>
  </si>
  <si>
    <r>
      <t>[LABEL:SERNET]--&gt;</t>
    </r>
    <r>
      <rPr>
        <b/>
        <sz val="13"/>
        <color indexed="8"/>
        <rFont val="宋体"/>
        <charset val="134"/>
      </rPr>
      <t>使用新樣式</t>
    </r>
    <r>
      <rPr>
        <b/>
        <sz val="13"/>
        <color indexed="8"/>
        <rFont val="宋体"/>
        <charset val="134"/>
      </rPr>
      <t>,</t>
    </r>
    <r>
      <rPr>
        <b/>
        <sz val="13"/>
        <color indexed="8"/>
        <rFont val="宋体"/>
        <charset val="134"/>
      </rPr>
      <t>如</t>
    </r>
    <r>
      <rPr>
        <b/>
        <sz val="13"/>
        <color indexed="8"/>
        <rFont val="宋体"/>
        <charset val="134"/>
      </rPr>
      <t>Invoice檔中所示!! (請注意..Label上需有MSD等級的標識)</t>
    </r>
  </si>
  <si>
    <r>
      <t>外箱標</t>
    </r>
    <r>
      <rPr>
        <b/>
        <sz val="13"/>
        <color indexed="8"/>
        <rFont val="宋体"/>
        <charset val="134"/>
      </rPr>
      <t>,</t>
    </r>
    <r>
      <rPr>
        <b/>
        <sz val="13"/>
        <color indexed="8"/>
        <rFont val="宋体"/>
        <charset val="134"/>
      </rPr>
      <t>一張最多只有</t>
    </r>
    <r>
      <rPr>
        <b/>
        <sz val="13"/>
        <color indexed="8"/>
        <rFont val="宋体"/>
        <charset val="134"/>
      </rPr>
      <t>10</t>
    </r>
    <r>
      <rPr>
        <b/>
        <sz val="13"/>
        <color indexed="8"/>
        <rFont val="宋体"/>
        <charset val="134"/>
      </rPr>
      <t>組</t>
    </r>
    <r>
      <rPr>
        <b/>
        <sz val="13"/>
        <color indexed="8"/>
        <rFont val="宋体"/>
        <charset val="134"/>
      </rPr>
      <t xml:space="preserve">. ( </t>
    </r>
    <r>
      <rPr>
        <b/>
        <sz val="13"/>
        <color indexed="8"/>
        <rFont val="宋体"/>
        <charset val="134"/>
      </rPr>
      <t>若有</t>
    </r>
    <r>
      <rPr>
        <b/>
        <sz val="13"/>
        <color indexed="8"/>
        <rFont val="宋体"/>
        <charset val="134"/>
      </rPr>
      <t>20</t>
    </r>
    <r>
      <rPr>
        <b/>
        <sz val="13"/>
        <color indexed="8"/>
        <rFont val="宋体"/>
        <charset val="134"/>
      </rPr>
      <t>包，請張貼兩張</t>
    </r>
    <r>
      <rPr>
        <b/>
        <sz val="13"/>
        <color indexed="8"/>
        <rFont val="宋体"/>
        <charset val="134"/>
      </rPr>
      <t>10</t>
    </r>
    <r>
      <rPr>
        <b/>
        <sz val="13"/>
        <color indexed="8"/>
        <rFont val="宋体"/>
        <charset val="134"/>
      </rPr>
      <t>個的標籤，以此類推</t>
    </r>
    <r>
      <rPr>
        <b/>
        <sz val="13"/>
        <color indexed="8"/>
        <rFont val="宋体"/>
        <charset val="134"/>
      </rPr>
      <t>... )</t>
    </r>
  </si>
  <si>
    <r>
      <t xml:space="preserve">(** </t>
    </r>
    <r>
      <rPr>
        <b/>
        <sz val="13"/>
        <color indexed="8"/>
        <rFont val="宋体"/>
        <charset val="134"/>
      </rPr>
      <t>內盤、外箱皆需加貼</t>
    </r>
    <r>
      <rPr>
        <b/>
        <sz val="13"/>
        <color indexed="8"/>
        <rFont val="宋体"/>
        <charset val="134"/>
      </rPr>
      <t xml:space="preserve"> / </t>
    </r>
    <r>
      <rPr>
        <b/>
        <sz val="13"/>
        <color indexed="8"/>
        <rFont val="宋体"/>
        <charset val="134"/>
      </rPr>
      <t>標籤底色</t>
    </r>
    <r>
      <rPr>
        <b/>
        <sz val="13"/>
        <color indexed="8"/>
        <rFont val="宋体"/>
        <charset val="134"/>
      </rPr>
      <t>"白色" 並加上"月份標籤")----&gt;做在標簽上</t>
    </r>
  </si>
  <si>
    <r>
      <t>(**Update"</t>
    </r>
    <r>
      <rPr>
        <b/>
        <sz val="13"/>
        <color indexed="8"/>
        <rFont val="宋体"/>
        <charset val="134"/>
      </rPr>
      <t>月份標籤</t>
    </r>
    <r>
      <rPr>
        <b/>
        <sz val="13"/>
        <color indexed="8"/>
        <rFont val="宋体"/>
        <charset val="134"/>
      </rPr>
      <t xml:space="preserve">" </t>
    </r>
    <r>
      <rPr>
        <b/>
        <sz val="13"/>
        <color indexed="8"/>
        <rFont val="宋体"/>
        <charset val="134"/>
      </rPr>
      <t>版本</t>
    </r>
    <r>
      <rPr>
        <b/>
        <sz val="13"/>
        <color indexed="8"/>
        <rFont val="宋体"/>
        <charset val="134"/>
      </rPr>
      <t>,</t>
    </r>
    <r>
      <rPr>
        <b/>
        <sz val="13"/>
        <color indexed="8"/>
        <rFont val="宋体"/>
        <charset val="134"/>
      </rPr>
      <t>請參考</t>
    </r>
    <r>
      <rPr>
        <b/>
        <sz val="13"/>
        <color indexed="8"/>
        <rFont val="宋体"/>
        <charset val="134"/>
      </rPr>
      <t>invoice</t>
    </r>
    <r>
      <rPr>
        <b/>
        <sz val="13"/>
        <color indexed="8"/>
        <rFont val="宋体"/>
        <charset val="134"/>
      </rPr>
      <t xml:space="preserve">檔中說明,需與實貨D/C相符,
</t>
    </r>
  </si>
  <si>
    <r>
      <t>並貼在</t>
    </r>
    <r>
      <rPr>
        <b/>
        <sz val="13"/>
        <color indexed="8"/>
        <rFont val="宋体"/>
        <charset val="134"/>
      </rPr>
      <t>barcode label</t>
    </r>
    <r>
      <rPr>
        <b/>
        <sz val="13"/>
        <color indexed="8"/>
        <rFont val="宋体"/>
        <charset val="134"/>
      </rPr>
      <t>的右下角</t>
    </r>
    <r>
      <rPr>
        <b/>
        <sz val="13"/>
        <color indexed="8"/>
        <rFont val="宋体"/>
        <charset val="134"/>
      </rPr>
      <t>)-</t>
    </r>
    <r>
      <rPr>
        <b/>
        <sz val="13"/>
        <color indexed="8"/>
        <rFont val="宋体"/>
        <charset val="134"/>
      </rPr>
      <t>內</t>
    </r>
    <r>
      <rPr>
        <b/>
        <sz val="13"/>
        <color indexed="8"/>
        <rFont val="宋体"/>
        <charset val="134"/>
      </rPr>
      <t>/</t>
    </r>
    <r>
      <rPr>
        <b/>
        <sz val="13"/>
        <color indexed="8"/>
        <rFont val="宋体"/>
        <charset val="134"/>
      </rPr>
      <t>外貼的月份標簽需一致</t>
    </r>
  </si>
  <si>
    <t>**請務必加強Double Check, 注意標簽上的內與外不要打錯</t>
  </si>
  <si>
    <t>2、</t>
  </si>
  <si>
    <r>
      <t>請使用</t>
    </r>
    <r>
      <rPr>
        <b/>
        <sz val="13"/>
        <color indexed="8"/>
        <rFont val="宋体"/>
        <charset val="134"/>
      </rPr>
      <t>Date code</t>
    </r>
    <r>
      <rPr>
        <b/>
        <sz val="13"/>
        <color indexed="8"/>
        <rFont val="宋体"/>
        <charset val="134"/>
      </rPr>
      <t>一年內之料</t>
    </r>
    <r>
      <rPr>
        <b/>
        <sz val="13"/>
        <color indexed="8"/>
        <rFont val="宋体"/>
        <charset val="134"/>
      </rPr>
      <t>,</t>
    </r>
    <r>
      <rPr>
        <b/>
        <sz val="13"/>
        <color indexed="8"/>
        <rFont val="宋体"/>
        <charset val="134"/>
      </rPr>
      <t>做出貨</t>
    </r>
  </si>
  <si>
    <t>3、</t>
  </si>
  <si>
    <t>請按客戶CPN包裝</t>
  </si>
  <si>
    <t>4、</t>
  </si>
  <si>
    <t>"如實貨標籤產地是TW的，請把原廠外箱加貼一張標籤:〝MADE IN TAIWAN,CHINA"</t>
  </si>
  <si>
    <t>5、</t>
  </si>
  <si>
    <r>
      <t>隨貨需附上</t>
    </r>
    <r>
      <rPr>
        <b/>
        <sz val="13"/>
        <color indexed="8"/>
        <rFont val="宋体"/>
        <charset val="134"/>
      </rPr>
      <t>"檢驗報告"</t>
    </r>
    <r>
      <rPr>
        <b/>
        <sz val="13"/>
        <color indexed="8"/>
        <rFont val="宋体"/>
        <charset val="134"/>
      </rPr>
      <t>"送貨單"</t>
    </r>
    <r>
      <rPr>
        <b/>
        <sz val="13"/>
        <color indexed="8"/>
        <rFont val="宋体"/>
        <charset val="134"/>
      </rPr>
      <t>(請放置於C/N.1 箱內，並於箱上註明"內附檢驗報告"字樣)</t>
    </r>
  </si>
  <si>
    <t>6、</t>
  </si>
  <si>
    <t>超過10箱出貨需打板後，才可出貨</t>
  </si>
  <si>
    <t>7、</t>
  </si>
  <si>
    <t>請在外箱及最小包裝的標簽上,打上產地MADE IN”或者"ORIGIN"后面跟国家名，不要跟城市名（有些城市名好几个国家都有）， 也不要单独只有一个国家名称，没有“MADE IN”字样</t>
  </si>
  <si>
    <t>8、</t>
  </si>
  <si>
    <t>隨貨附A4紙打印送貨單</t>
  </si>
  <si>
    <t>9、</t>
  </si>
  <si>
    <t>打板高度不超過1.8M</t>
  </si>
  <si>
    <r>
      <t>10</t>
    </r>
    <r>
      <rPr>
        <sz val="13"/>
        <rFont val="宋体"/>
        <charset val="134"/>
      </rPr>
      <t>、</t>
    </r>
  </si>
  <si>
    <t>外箱原廠標籤Taiwan產地,請用白色標籤紙覆蓋掉</t>
  </si>
  <si>
    <r>
      <t>如實貨標籤產地是</t>
    </r>
    <r>
      <rPr>
        <sz val="11"/>
        <rFont val="Calibri"/>
        <family val="2"/>
      </rPr>
      <t>TW</t>
    </r>
    <r>
      <rPr>
        <sz val="11"/>
        <rFont val="宋体"/>
        <charset val="134"/>
      </rPr>
      <t>，</t>
    </r>
    <r>
      <rPr>
        <b/>
        <sz val="11"/>
        <color indexed="10"/>
        <rFont val="宋体"/>
        <charset val="134"/>
      </rPr>
      <t>實貨</t>
    </r>
    <r>
      <rPr>
        <b/>
        <sz val="11"/>
        <color indexed="10"/>
        <rFont val="Calibri"/>
        <family val="2"/>
      </rPr>
      <t>/</t>
    </r>
    <r>
      <rPr>
        <b/>
        <sz val="11"/>
        <color indexed="10"/>
        <rFont val="宋体"/>
        <charset val="134"/>
      </rPr>
      <t>中盒</t>
    </r>
    <r>
      <rPr>
        <b/>
        <sz val="11"/>
        <color indexed="10"/>
        <rFont val="Calibri"/>
        <family val="2"/>
      </rPr>
      <t>/</t>
    </r>
    <r>
      <rPr>
        <b/>
        <sz val="11"/>
        <color indexed="10"/>
        <rFont val="宋体"/>
        <charset val="134"/>
      </rPr>
      <t>外箱標籤</t>
    </r>
    <r>
      <rPr>
        <sz val="11"/>
        <rFont val="Calibri"/>
        <family val="2"/>
      </rPr>
      <t xml:space="preserve"> </t>
    </r>
    <r>
      <rPr>
        <sz val="11"/>
        <rFont val="宋体"/>
        <charset val="134"/>
      </rPr>
      <t>請打</t>
    </r>
    <r>
      <rPr>
        <sz val="11"/>
        <color indexed="8"/>
        <rFont val="Calibri"/>
        <family val="2"/>
      </rPr>
      <t>:</t>
    </r>
    <r>
      <rPr>
        <sz val="11"/>
        <color indexed="8"/>
        <rFont val="宋体"/>
        <charset val="134"/>
      </rPr>
      <t>〝</t>
    </r>
    <r>
      <rPr>
        <sz val="11"/>
        <color indexed="8"/>
        <rFont val="Calibri"/>
        <family val="2"/>
      </rPr>
      <t>MADE IN TAIWAN,CHINA"</t>
    </r>
  </si>
  <si>
    <r>
      <t>如實貨標籤產地是</t>
    </r>
    <r>
      <rPr>
        <sz val="12"/>
        <color indexed="8"/>
        <rFont val="Calibri"/>
        <family val="2"/>
      </rPr>
      <t>TW</t>
    </r>
    <r>
      <rPr>
        <sz val="12"/>
        <color indexed="8"/>
        <rFont val="宋体"/>
        <charset val="134"/>
      </rPr>
      <t>的</t>
    </r>
    <r>
      <rPr>
        <sz val="12"/>
        <color indexed="8"/>
        <rFont val="Calibri"/>
        <family val="2"/>
      </rPr>
      <t>,</t>
    </r>
    <r>
      <rPr>
        <sz val="12"/>
        <color indexed="8"/>
        <rFont val="宋体"/>
        <charset val="134"/>
      </rPr>
      <t>內外標請打</t>
    </r>
    <r>
      <rPr>
        <sz val="12"/>
        <color indexed="8"/>
        <rFont val="Calibri"/>
        <family val="2"/>
      </rPr>
      <t>TW,CN</t>
    </r>
  </si>
  <si>
    <r>
      <rPr>
        <b/>
        <sz val="14"/>
        <color indexed="10"/>
        <rFont val="新細明體"/>
        <charset val="134"/>
      </rPr>
      <t>客</t>
    </r>
    <r>
      <rPr>
        <b/>
        <sz val="14"/>
        <color indexed="10"/>
        <rFont val="宋体"/>
        <charset val="134"/>
      </rPr>
      <t>户标签名</t>
    </r>
  </si>
  <si>
    <r>
      <rPr>
        <b/>
        <sz val="14"/>
        <color indexed="10"/>
        <rFont val="新細明體"/>
        <charset val="134"/>
      </rPr>
      <t>新宁提</t>
    </r>
    <r>
      <rPr>
        <b/>
        <sz val="14"/>
        <color indexed="10"/>
        <rFont val="宋体"/>
        <charset val="134"/>
      </rPr>
      <t>货商编号</t>
    </r>
  </si>
  <si>
    <r>
      <rPr>
        <b/>
        <sz val="12"/>
        <color indexed="10"/>
        <rFont val="新細明體"/>
        <charset val="134"/>
      </rPr>
      <t>貼標要求：(箱/盒/</t>
    </r>
    <r>
      <rPr>
        <b/>
        <sz val="12"/>
        <color indexed="10"/>
        <rFont val="宋体"/>
        <charset val="134"/>
      </rPr>
      <t>盘</t>
    </r>
    <r>
      <rPr>
        <b/>
        <sz val="12"/>
        <color indexed="10"/>
        <rFont val="新細明體"/>
        <charset val="134"/>
      </rPr>
      <t>/</t>
    </r>
    <r>
      <rPr>
        <b/>
        <sz val="12"/>
        <color indexed="10"/>
        <rFont val="宋体"/>
        <charset val="134"/>
      </rPr>
      <t>仓库</t>
    </r>
    <r>
      <rPr>
        <b/>
        <sz val="12"/>
        <color indexed="10"/>
        <rFont val="新細明體"/>
        <charset val="134"/>
      </rPr>
      <t>通用</t>
    </r>
    <r>
      <rPr>
        <b/>
        <sz val="12"/>
        <color indexed="10"/>
        <rFont val="宋体"/>
        <charset val="134"/>
      </rPr>
      <t>唛头</t>
    </r>
    <r>
      <rPr>
        <b/>
        <sz val="12"/>
        <color indexed="10"/>
        <rFont val="新細明體"/>
        <charset val="134"/>
      </rPr>
      <t>）</t>
    </r>
  </si>
  <si>
    <t>中怡保稅+Tony(V/C:QHT002)(廠商碼:B1)</t>
  </si>
  <si>
    <t>CT00086</t>
  </si>
  <si>
    <t>標籤尺寸：80*50</t>
  </si>
  <si>
    <t>中怡非保稅(V/C:HT002)(廠商碼:F1)</t>
  </si>
  <si>
    <t>CT00087</t>
  </si>
  <si>
    <t>中怡數寬(V/C:DHT004)(廠商碼:KW)</t>
  </si>
  <si>
    <t>CT00088</t>
  </si>
  <si>
    <t>盒/盘標籤</t>
  </si>
  <si>
    <t>80*50</t>
  </si>
  <si>
    <t>外箱標籤</t>
  </si>
  <si>
    <t>Reel ID:</t>
  </si>
  <si>
    <t>[00]&amp;Vendor ID(廠商碼B1固定）&amp;出貨日期6码(YYMMDD)&amp;REED ID(4碼同一日出貨續下去)</t>
  </si>
  <si>
    <t>08為實貨DC月份（數字+方框打在標籤上,不用有顏色）</t>
  </si>
  <si>
    <t>Carton No:</t>
  </si>
  <si>
    <t>[C][廠商碼B1固定][出貨日期YYMMDD(6碼)][10進制4碼流水碼]</t>
  </si>
  <si>
    <t>BARCODE:</t>
  </si>
  <si>
    <t>00B12011220001</t>
  </si>
  <si>
    <t>MSD:[由客戶提供]</t>
  </si>
  <si>
    <t>CB12011220001</t>
  </si>
  <si>
    <t xml:space="preserve">Part No: </t>
  </si>
  <si>
    <t>CUS PN</t>
  </si>
  <si>
    <t>PB固定</t>
  </si>
  <si>
    <t>P/N:</t>
  </si>
  <si>
    <t>VENDOR :</t>
  </si>
  <si>
    <r>
      <rPr>
        <b/>
        <sz val="12"/>
        <color indexed="10"/>
        <rFont val="宋体"/>
        <charset val="134"/>
      </rPr>
      <t>QHT002(依据提货商编号固定</t>
    </r>
    <r>
      <rPr>
        <b/>
        <sz val="12"/>
        <color indexed="8"/>
        <rFont val="宋体"/>
        <charset val="134"/>
      </rPr>
      <t>）</t>
    </r>
  </si>
  <si>
    <t>V/C:</t>
  </si>
  <si>
    <t>Date Code:</t>
  </si>
  <si>
    <t>實貨DC(YYWW固定格式)</t>
  </si>
  <si>
    <t>M/C：</t>
  </si>
  <si>
    <t>空白</t>
  </si>
  <si>
    <t xml:space="preserve">Lot Code : </t>
  </si>
  <si>
    <t>實貨LOT</t>
  </si>
  <si>
    <t>MSD：</t>
  </si>
  <si>
    <t>由客戶提供</t>
  </si>
  <si>
    <t xml:space="preserve">QTY : </t>
  </si>
  <si>
    <t>QTY</t>
  </si>
  <si>
    <t>SQTY:</t>
  </si>
  <si>
    <t>此外箱標籤包含的盤個數</t>
  </si>
  <si>
    <r>
      <rPr>
        <b/>
        <sz val="12"/>
        <rFont val="新細明體"/>
        <charset val="134"/>
      </rPr>
      <t>外箱二維內容:[CT:][C][廠商碼][出貨日期][10進制4碼流水碼][;][PN:][CUS PN][;][TQTY][;][SQTY][;][VC][;][MC][;][MSD][;（外箱標籤內容與盤標籤內容鏈接用</t>
    </r>
    <r>
      <rPr>
        <b/>
        <sz val="12"/>
        <color indexed="10"/>
        <rFont val="新細明體"/>
        <charset val="134"/>
      </rPr>
      <t>“；”</t>
    </r>
    <r>
      <rPr>
        <b/>
        <sz val="12"/>
        <rFont val="新細明體"/>
        <charset val="134"/>
      </rPr>
      <t>號隔開，盤與盤標籤內容用</t>
    </r>
    <r>
      <rPr>
        <b/>
        <sz val="12"/>
        <color indexed="10"/>
        <rFont val="新細明體"/>
        <charset val="134"/>
      </rPr>
      <t>“#”</t>
    </r>
    <r>
      <rPr>
        <b/>
        <sz val="12"/>
        <rFont val="新細明體"/>
        <charset val="134"/>
      </rPr>
      <t>隔開）][</t>
    </r>
    <r>
      <rPr>
        <b/>
        <sz val="12"/>
        <rFont val="宋体"/>
        <charset val="134"/>
      </rPr>
      <t>该</t>
    </r>
    <r>
      <rPr>
        <b/>
        <sz val="12"/>
        <rFont val="新細明體"/>
        <charset val="134"/>
      </rPr>
      <t>Carton</t>
    </r>
    <r>
      <rPr>
        <b/>
        <sz val="12"/>
        <rFont val="宋体"/>
        <charset val="134"/>
      </rPr>
      <t>内</t>
    </r>
    <r>
      <rPr>
        <b/>
        <sz val="12"/>
        <rFont val="新細明體"/>
        <charset val="134"/>
      </rPr>
      <t>所有ReelID</t>
    </r>
    <r>
      <rPr>
        <b/>
        <sz val="12"/>
        <rFont val="宋体"/>
        <charset val="134"/>
      </rPr>
      <t>内</t>
    </r>
    <r>
      <rPr>
        <b/>
        <sz val="12"/>
        <rFont val="新細明體"/>
        <charset val="134"/>
      </rPr>
      <t>容（RID: [Vendor code][出貨日期][REED ID];QTY:[QTY];DC:[實貨DCYYWW];RDC:[出貨日期YYWW];LC:[LOTE CODE]）</t>
    </r>
    <r>
      <rPr>
        <b/>
        <sz val="12"/>
        <color indexed="10"/>
        <rFont val="新細明體"/>
        <charset val="134"/>
      </rPr>
      <t>“#;”</t>
    </r>
    <r>
      <rPr>
        <b/>
        <sz val="12"/>
        <rFont val="新細明體"/>
        <charset val="134"/>
      </rPr>
      <t>結尾</t>
    </r>
  </si>
  <si>
    <t>Maker Code:</t>
  </si>
  <si>
    <t>原廠料號（ITEM)</t>
  </si>
  <si>
    <t>MADE IN</t>
  </si>
  <si>
    <t>實貨產地</t>
  </si>
  <si>
    <t>出货日期6碼</t>
  </si>
  <si>
    <t>產地</t>
  </si>
  <si>
    <t>TQTY:</t>
  </si>
  <si>
    <t>此外箱標籤包含的數量（每張外箱標籤最多做10盤盤標籤信息）</t>
  </si>
  <si>
    <t>Page:</t>
  </si>
  <si>
    <t>此外箱標籤序號/此外箱標籤總張數）</t>
  </si>
  <si>
    <t>二維BARCODE:RID: [Vendor code][出貨日期][REED ID];PN:[CUS PN];VC:[Vendor code];DC:[實貨DCYYWW];RDC:[出貨日期YYWW];QTY:[QTY];MC:;MSD:1;LC:[LOTE CODE];</t>
  </si>
  <si>
    <t>一箱Carton No會打印多張label，label的序號，即同一Caron No 有幾張，目前為第幾張</t>
  </si>
  <si>
    <t>二維碼掃描內容：</t>
  </si>
  <si>
    <t>INVOICE</t>
  </si>
  <si>
    <t>RID:00B12011220001;PN:30300017LF-V;VC:QHT002;DC:2036;RDC:2047;QTY:2500;MC:P0640SBLRP;MSD:1;LC:0GN3225B-1735-09;</t>
  </si>
  <si>
    <t>PB固定，MSD：有客戶提供，08為實貨DC月份（數字+方框打在標籤上,不用有顏色）</t>
  </si>
  <si>
    <t>CT:CB12011220001;PN:30300017LF- V;TQTY:25000;SQTY:10;VC:QHT002;MC:;MSD:1;RID:00B12010160001;QTY :2500;DC:2036;RDC:2047;LC:0GN3225B-1735- 09#RID:00B12011220002;QTY:2500;DC:2036;RDC:2047;LC:0GN3225B- 1735- 09#RID:00B12011220003;QTY:2500;DC:2036;RDC:2047;LC:0GN3225B- 1735- 09#RID:00B12011220004;QTY:2500;DC:2036;RDC:2047;LC:0GN3225B- 1735- 09#RID:00B12011220005;QTY:2500;DC:2036;RDC:2047;LC:0GN3225B- 1735- 09#RID:00B12011220006;QTY:2500;DC:2036;RDC:2047;LC:0GN3225B- 1735- 09#RID:00B12011220007;QTY:2500;DC:2036;RDC:2047;LC:0GN3225B- 1735- 09#RID:00B12011220008;QTY:2500;DC:2036;RDC:2047;LC:0GN3225B- 1735- 09#RID:00B12011220009;QTY:2500;DC:2036;RDC:2047;LC:0GN3225B- 1735- 09#RID:00B12011220010;QTY:2500;DC:2036;RDC:2047;LC:0GN3225B- 1735-09#;</t>
  </si>
  <si>
    <t>客户单号</t>
  </si>
  <si>
    <t>出库单号</t>
  </si>
  <si>
    <t>SKUCODE</t>
  </si>
  <si>
    <t>料号</t>
  </si>
  <si>
    <t>原厂DC</t>
  </si>
  <si>
    <t>DC4</t>
  </si>
  <si>
    <t>LOT</t>
  </si>
  <si>
    <t>REELID</t>
  </si>
  <si>
    <t>原产国</t>
  </si>
  <si>
    <t>最小包装数</t>
  </si>
  <si>
    <t>CUSPN</t>
  </si>
  <si>
    <t>CUSPO</t>
  </si>
  <si>
    <t>箱号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</si>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</sst>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88" formatCode="0.00_ "/>
    <numFmt numFmtId="189" formatCode="yyyy/m/d;@"/>
    <numFmt numFmtId="190" formatCode="#,##0.00_ "/>
    <numFmt numFmtId="191" formatCode="0.00_);[Red]\(0.00\)"/>
    <numFmt numFmtId="192" formatCode="0_ "/>
    <numFmt numFmtId="193" formatCode="_ * #,##0_ ;_ * \-#,##0_ ;_ * &quot;-&quot;??_ ;_ @_ "/>
    <numFmt numFmtId="194" formatCode="0.0000_);[Red]\(0.0000\)"/>
    <numFmt numFmtId="195" formatCode="_ * #,##0.00_ ;_ * \-#,##0.00_ ;_ * &quot;-&quot;??_ ;_ @_ "/>
    <numFmt numFmtId="196" formatCode="#,##0;[Red]#,##0"/>
    <numFmt numFmtId="197" formatCode="m&quot;月&quot;d&quot;日&quot;;@"/>
  </numFmts>
  <fonts count="131">
    <font>
      <sz val="10"/>
      <name val="Arial"/>
      <family val="2"/>
    </font>
    <font>
      <sz val="12"/>
      <name val="Arial"/>
      <family val="2"/>
    </font>
    <font>
      <b/>
      <sz val="12"/>
      <name val="新細明體"/>
      <charset val="134"/>
    </font>
    <font>
      <b/>
      <sz val="15"/>
      <color indexed="8"/>
      <name val="宋体"/>
      <charset val="134"/>
    </font>
    <font>
      <b/>
      <sz val="15"/>
      <name val="新細明體"/>
      <charset val="134"/>
    </font>
    <font>
      <b/>
      <sz val="12"/>
      <color indexed="8"/>
      <name val="宋体"/>
      <charset val="134"/>
    </font>
    <font>
      <b/>
      <sz val="12"/>
      <name val="宋体"/>
      <charset val="134"/>
    </font>
    <font>
      <b/>
      <sz val="11"/>
      <color indexed="8"/>
      <name val="宋体"/>
      <charset val="134"/>
    </font>
    <font>
      <b/>
      <sz val="10"/>
      <name val="新細明體"/>
      <charset val="134"/>
    </font>
    <font>
      <b/>
      <sz val="12"/>
      <color indexed="8"/>
      <name val="SimSun"/>
    </font>
    <font>
      <b/>
      <sz val="12"/>
      <name val="Segoe UI Semibold"/>
      <family val="2"/>
      <charset val="134"/>
    </font>
    <font>
      <b/>
      <sz val="30"/>
      <color indexed="12"/>
      <name val="Garamond"/>
      <family val="2"/>
    </font>
    <font>
      <b/>
      <sz val="48"/>
      <name val="Garamond"/>
      <family val="2"/>
    </font>
    <font>
      <sz val="13"/>
      <name val="新細明體"/>
      <charset val="134"/>
    </font>
    <font>
      <sz val="13"/>
      <name val="Arial"/>
      <family val="2"/>
    </font>
    <font>
      <sz val="13"/>
      <color indexed="18"/>
      <name val="Arial"/>
      <family val="2"/>
    </font>
    <font>
      <sz val="12"/>
      <name val="新細明體"/>
      <charset val="134"/>
    </font>
    <font>
      <b/>
      <sz val="16"/>
      <name val="Arial"/>
      <family val="2"/>
    </font>
    <font>
      <sz val="36"/>
      <name val="Arial"/>
      <family val="2"/>
    </font>
    <font>
      <sz val="14"/>
      <name val="Arial"/>
      <family val="2"/>
    </font>
    <font>
      <sz val="10"/>
      <name val="新細明體"/>
      <charset val="134"/>
    </font>
    <font>
      <b/>
      <sz val="13"/>
      <name val="細明體"/>
      <charset val="134"/>
    </font>
    <font>
      <b/>
      <sz val="13"/>
      <color indexed="16"/>
      <name val="Arial"/>
      <family val="2"/>
    </font>
    <font>
      <b/>
      <sz val="13"/>
      <name val="Arial"/>
      <family val="2"/>
    </font>
    <font>
      <b/>
      <sz val="13"/>
      <color indexed="18"/>
      <name val="Arial"/>
      <family val="2"/>
    </font>
    <font>
      <sz val="11"/>
      <name val="宋体"/>
      <charset val="134"/>
    </font>
    <font>
      <sz val="12"/>
      <color indexed="8"/>
      <name val="宋体"/>
      <charset val="134"/>
    </font>
    <font>
      <sz val="9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name val="Times New Roman"/>
      <family val="1"/>
    </font>
    <font>
      <b/>
      <sz val="10"/>
      <name val="宋体"/>
      <charset val="134"/>
    </font>
    <font>
      <sz val="10"/>
      <name val="Times New Roman"/>
      <family val="1"/>
    </font>
    <font>
      <sz val="10"/>
      <name val="宋体"/>
      <charset val="134"/>
    </font>
    <font>
      <sz val="10"/>
      <name val="細明體"/>
      <charset val="134"/>
    </font>
    <font>
      <b/>
      <sz val="18"/>
      <name val="Arial"/>
      <family val="2"/>
    </font>
    <font>
      <sz val="10"/>
      <name val="微软雅黑"/>
      <family val="2"/>
      <charset val="134"/>
    </font>
    <font>
      <b/>
      <sz val="9"/>
      <name val="Arial"/>
      <family val="2"/>
    </font>
    <font>
      <sz val="10"/>
      <name val="Arial Unicode MS"/>
      <family val="2"/>
    </font>
    <font>
      <b/>
      <sz val="12"/>
      <name val="Arial"/>
      <family val="2"/>
    </font>
    <font>
      <sz val="11"/>
      <name val="Times New Roman"/>
      <family val="1"/>
    </font>
    <font>
      <b/>
      <sz val="9"/>
      <name val="Times New Roman"/>
      <family val="1"/>
    </font>
    <font>
      <sz val="12"/>
      <name val="宋体"/>
      <charset val="134"/>
    </font>
    <font>
      <b/>
      <sz val="22"/>
      <name val="Arial"/>
      <family val="2"/>
    </font>
    <font>
      <b/>
      <sz val="11"/>
      <name val="宋体"/>
      <charset val="134"/>
    </font>
    <font>
      <sz val="10"/>
      <color indexed="12"/>
      <name val="新細明體"/>
      <charset val="134"/>
    </font>
    <font>
      <b/>
      <sz val="11"/>
      <name val="新細明體"/>
      <charset val="134"/>
    </font>
    <font>
      <sz val="12"/>
      <color indexed="10"/>
      <name val="細明體"/>
      <charset val="134"/>
    </font>
    <font>
      <sz val="12"/>
      <color indexed="8"/>
      <name val="Times New Roman"/>
      <family val="1"/>
    </font>
    <font>
      <b/>
      <sz val="10"/>
      <color indexed="10"/>
      <name val="Arial"/>
      <family val="2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17"/>
      <name val="新細明體"/>
      <charset val="134"/>
    </font>
    <font>
      <sz val="11"/>
      <color indexed="8"/>
      <name val="宋体"/>
      <charset val="134"/>
    </font>
    <font>
      <sz val="12"/>
      <color indexed="8"/>
      <name val="新細明體"/>
      <charset val="134"/>
    </font>
    <font>
      <sz val="12"/>
      <color indexed="20"/>
      <name val="新細明體"/>
      <charset val="134"/>
    </font>
    <font>
      <b/>
      <sz val="12"/>
      <color indexed="10"/>
      <name val="新細明體"/>
      <charset val="134"/>
    </font>
    <font>
      <b/>
      <sz val="11"/>
      <color indexed="8"/>
      <name val="Arial"/>
      <family val="2"/>
    </font>
    <font>
      <sz val="10"/>
      <color indexed="8"/>
      <name val="MS Sans Serif"/>
      <family val="2"/>
    </font>
    <font>
      <sz val="11"/>
      <color indexed="9"/>
      <name val="宋体"/>
      <charset val="134"/>
    </font>
    <font>
      <sz val="12"/>
      <color indexed="8"/>
      <name val="Palatino"/>
      <family val="2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sz val="12"/>
      <color indexed="20"/>
      <name val="宋体"/>
      <charset val="134"/>
    </font>
    <font>
      <sz val="10"/>
      <color indexed="17"/>
      <name val="新細明體"/>
      <charset val="134"/>
    </font>
    <font>
      <i/>
      <sz val="11"/>
      <color indexed="23"/>
      <name val="宋体"/>
      <charset val="134"/>
    </font>
    <font>
      <sz val="12"/>
      <color indexed="17"/>
      <name val="新細明體"/>
      <charset val="134"/>
    </font>
    <font>
      <sz val="11"/>
      <color indexed="20"/>
      <name val="新細明體"/>
      <charset val="134"/>
    </font>
    <font>
      <sz val="12"/>
      <color indexed="8"/>
      <name val="宋体"/>
      <charset val="134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4"/>
      <color indexed="10"/>
      <name val="新細明體"/>
      <charset val="134"/>
    </font>
    <font>
      <b/>
      <sz val="14"/>
      <color indexed="10"/>
      <name val="宋体"/>
      <charset val="134"/>
    </font>
    <font>
      <b/>
      <sz val="12"/>
      <color indexed="10"/>
      <name val="宋体"/>
      <charset val="134"/>
    </font>
    <font>
      <b/>
      <sz val="16"/>
      <name val="標楷體"/>
      <family val="2"/>
    </font>
    <font>
      <sz val="13"/>
      <name val="細明體"/>
      <charset val="134"/>
    </font>
    <font>
      <sz val="10"/>
      <color indexed="10"/>
      <name val="宋体"/>
      <charset val="134"/>
    </font>
    <font>
      <b/>
      <sz val="10"/>
      <color indexed="12"/>
      <name val="Arial"/>
      <family val="2"/>
    </font>
    <font>
      <b/>
      <sz val="10"/>
      <color indexed="12"/>
      <name val="細明體"/>
      <charset val="134"/>
    </font>
    <font>
      <b/>
      <sz val="13"/>
      <color indexed="8"/>
      <name val="宋体"/>
      <charset val="134"/>
    </font>
    <font>
      <sz val="13"/>
      <name val="宋体"/>
      <charset val="134"/>
    </font>
    <font>
      <sz val="11"/>
      <name val="Calibri"/>
      <family val="2"/>
    </font>
    <font>
      <b/>
      <sz val="11"/>
      <color indexed="10"/>
      <name val="宋体"/>
      <charset val="134"/>
    </font>
    <font>
      <b/>
      <sz val="11"/>
      <color indexed="10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4"/>
      <color indexed="8"/>
      <name val="Arial"/>
      <family val="2"/>
    </font>
    <font>
      <sz val="14"/>
      <color indexed="8"/>
      <name val="宋体"/>
      <charset val="134"/>
    </font>
    <font>
      <sz val="12"/>
      <color indexed="8"/>
      <name val="Arial"/>
      <family val="2"/>
    </font>
    <font>
      <sz val="14"/>
      <color indexed="8"/>
      <name val="Arial Unicode MS"/>
      <family val="2"/>
    </font>
    <font>
      <sz val="12"/>
      <color indexed="10"/>
      <name val="Times New Roman"/>
      <family val="1"/>
    </font>
    <font>
      <sz val="14"/>
      <name val="宋体"/>
      <charset val="134"/>
    </font>
    <font>
      <b/>
      <sz val="14"/>
      <color rgb="FFFF0000"/>
      <name val="新細明體"/>
      <charset val="134"/>
    </font>
    <font>
      <b/>
      <sz val="12"/>
      <color rgb="FFFF0000"/>
      <name val="新細明體"/>
      <charset val="134"/>
    </font>
    <font>
      <b/>
      <sz val="12"/>
      <color rgb="FF000000"/>
      <name val="Arial Unicode MS"/>
      <family val="2"/>
    </font>
    <font>
      <b/>
      <sz val="12"/>
      <color theme="1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新細明體"/>
      <charset val="134"/>
    </font>
    <font>
      <b/>
      <sz val="10"/>
      <color theme="1"/>
      <name val="新細明體"/>
      <charset val="134"/>
      <scheme val="major"/>
    </font>
    <font>
      <b/>
      <sz val="10"/>
      <color rgb="FFFF00FF"/>
      <name val="新細明體"/>
      <charset val="134"/>
      <scheme val="major"/>
    </font>
    <font>
      <b/>
      <sz val="11"/>
      <color theme="1"/>
      <name val="新細明體"/>
      <charset val="134"/>
      <scheme val="major"/>
    </font>
    <font>
      <b/>
      <sz val="14"/>
      <color theme="1"/>
      <name val="新細明體"/>
      <charset val="134"/>
      <scheme val="major"/>
    </font>
    <font>
      <b/>
      <sz val="12"/>
      <color theme="1"/>
      <name val="新細明體"/>
      <charset val="134"/>
      <scheme val="major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新細明體"/>
      <charset val="134"/>
      <scheme val="minor"/>
    </font>
    <font>
      <sz val="16"/>
      <color theme="1"/>
      <name val="Arial Unicode MS"/>
      <family val="2"/>
    </font>
    <font>
      <sz val="12"/>
      <color theme="1"/>
      <name val="Arial Unicode MS"/>
      <family val="2"/>
    </font>
    <font>
      <sz val="14"/>
      <color theme="1"/>
      <name val="宋体"/>
      <charset val="134"/>
    </font>
    <font>
      <sz val="12"/>
      <color theme="1"/>
      <name val="宋体"/>
      <charset val="134"/>
    </font>
    <font>
      <sz val="14"/>
      <color theme="1"/>
      <name val="Arial"/>
      <family val="2"/>
    </font>
    <font>
      <sz val="10"/>
      <color rgb="FFFF0000"/>
      <name val="新細明體"/>
      <charset val="134"/>
    </font>
    <font>
      <sz val="10"/>
      <color theme="1"/>
      <name val="新細明體"/>
      <charset val="134"/>
      <scheme val="minor"/>
    </font>
    <font>
      <sz val="10"/>
      <color rgb="FFFF0000"/>
      <name val="宋体"/>
      <charset val="134"/>
    </font>
    <font>
      <sz val="10"/>
      <color rgb="FFFF0000"/>
      <name val="Arial"/>
      <family val="2"/>
    </font>
    <font>
      <sz val="10"/>
      <color theme="1"/>
      <name val="Arial Unicode MS"/>
      <family val="2"/>
    </font>
    <font>
      <sz val="18"/>
      <color theme="1"/>
      <name val="新細明體"/>
      <charset val="134"/>
      <scheme val="minor"/>
    </font>
    <font>
      <sz val="14"/>
      <color rgb="FFFF0000"/>
      <name val="新細明體"/>
      <charset val="134"/>
    </font>
    <font>
      <sz val="10"/>
      <name val="Arial"/>
      <family val="2"/>
    </font>
    <font>
      <sz val="9"/>
      <name val="細明體"/>
      <family val="3"/>
      <charset val="136"/>
    </font>
  </fonts>
  <fills count="2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090">
    <xf numFmtId="0" fontId="0" fillId="0" borderId="0"/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4" fontId="61" fillId="13" borderId="5" applyProtection="0">
      <alignment horizontal="left" vertical="center" indent="1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16" fillId="0" borderId="0"/>
    <xf numFmtId="0" fontId="129" fillId="0" borderId="0"/>
    <xf numFmtId="0" fontId="57" fillId="11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30" fillId="0" borderId="0"/>
    <xf numFmtId="0" fontId="57" fillId="7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2" fillId="0" borderId="0"/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16" fillId="0" borderId="0"/>
    <xf numFmtId="0" fontId="54" fillId="2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16" fillId="0" borderId="0"/>
    <xf numFmtId="0" fontId="54" fillId="2" borderId="0" applyNumberFormat="0" applyBorder="0" applyAlignment="0" applyProtection="0">
      <alignment vertical="center"/>
    </xf>
    <xf numFmtId="0" fontId="62" fillId="0" borderId="0"/>
    <xf numFmtId="0" fontId="30" fillId="0" borderId="0"/>
    <xf numFmtId="0" fontId="54" fillId="2" borderId="0" applyNumberFormat="0" applyBorder="0" applyAlignment="0" applyProtection="0">
      <alignment vertical="center"/>
    </xf>
    <xf numFmtId="0" fontId="16" fillId="0" borderId="0"/>
    <xf numFmtId="0" fontId="54" fillId="2" borderId="0" applyNumberFormat="0" applyBorder="0" applyAlignment="0" applyProtection="0">
      <alignment vertical="center"/>
    </xf>
    <xf numFmtId="4" fontId="64" fillId="18" borderId="5" applyProtection="0">
      <alignment horizontal="right" vertical="center"/>
    </xf>
    <xf numFmtId="0" fontId="54" fillId="2" borderId="0" applyNumberFormat="0" applyBorder="0" applyAlignment="0" applyProtection="0">
      <alignment vertical="center"/>
    </xf>
    <xf numFmtId="0" fontId="65" fillId="0" borderId="6" applyNumberFormat="0" applyFill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6" fillId="0" borderId="7" applyNumberFormat="0" applyFill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7" fillId="0" borderId="8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7" fillId="0" borderId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129" fillId="0" borderId="0"/>
    <xf numFmtId="0" fontId="69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129" fillId="0" borderId="0">
      <alignment wrapText="1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3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74" fillId="0" borderId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73" fillId="2" borderId="0" applyNumberFormat="0" applyBorder="0" applyAlignment="0" applyProtection="0">
      <alignment vertical="center"/>
    </xf>
    <xf numFmtId="0" fontId="73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7" fillId="0" borderId="0">
      <alignment vertical="center"/>
    </xf>
    <xf numFmtId="0" fontId="16" fillId="0" borderId="0"/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16" fillId="0" borderId="0"/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75" fillId="10" borderId="3" applyNumberForma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129" fillId="0" borderId="0"/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129" fillId="0" borderId="0"/>
    <xf numFmtId="0" fontId="72" fillId="4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129" fillId="0" borderId="0"/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129" fillId="0" borderId="0"/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77" fillId="10" borderId="1" applyNumberFormat="0" applyAlignment="0" applyProtection="0">
      <alignment vertical="center"/>
    </xf>
    <xf numFmtId="0" fontId="78" fillId="12" borderId="4" applyNumberFormat="0" applyAlignment="0" applyProtection="0">
      <alignment vertical="center"/>
    </xf>
    <xf numFmtId="0" fontId="79" fillId="0" borderId="10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0" fontId="63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1" fillId="5" borderId="1" applyNumberFormat="0" applyAlignment="0" applyProtection="0">
      <alignment vertical="center"/>
    </xf>
    <xf numFmtId="0" fontId="30" fillId="0" borderId="0"/>
    <xf numFmtId="0" fontId="129" fillId="0" borderId="0"/>
    <xf numFmtId="0" fontId="16" fillId="0" borderId="0"/>
    <xf numFmtId="0" fontId="58" fillId="0" borderId="0">
      <alignment vertical="center"/>
    </xf>
    <xf numFmtId="0" fontId="129" fillId="0" borderId="0">
      <alignment wrapText="1"/>
    </xf>
    <xf numFmtId="0" fontId="129" fillId="0" borderId="0"/>
    <xf numFmtId="0" fontId="129" fillId="0" borderId="0">
      <alignment wrapText="1"/>
    </xf>
    <xf numFmtId="0" fontId="74" fillId="0" borderId="0">
      <alignment vertical="center"/>
    </xf>
    <xf numFmtId="0" fontId="74" fillId="0" borderId="0">
      <alignment vertical="center"/>
    </xf>
    <xf numFmtId="0" fontId="129" fillId="0" borderId="0"/>
    <xf numFmtId="0" fontId="129" fillId="0" borderId="0"/>
    <xf numFmtId="0" fontId="46" fillId="0" borderId="0"/>
    <xf numFmtId="0" fontId="46" fillId="0" borderId="0"/>
    <xf numFmtId="0" fontId="57" fillId="7" borderId="2" applyNumberFormat="0" applyFont="0" applyAlignment="0" applyProtection="0">
      <alignment vertical="center"/>
    </xf>
  </cellStyleXfs>
  <cellXfs count="406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58" fontId="0" fillId="0" borderId="0" xfId="0" applyNumberFormat="1"/>
    <xf numFmtId="0" fontId="2" fillId="0" borderId="0" xfId="134" applyFont="1" applyFill="1" applyBorder="1" applyAlignment="1"/>
    <xf numFmtId="0" fontId="2" fillId="22" borderId="0" xfId="134" applyFont="1" applyFill="1" applyBorder="1" applyAlignment="1"/>
    <xf numFmtId="0" fontId="103" fillId="0" borderId="11" xfId="134" applyFont="1" applyFill="1" applyBorder="1" applyAlignment="1"/>
    <xf numFmtId="0" fontId="104" fillId="0" borderId="0" xfId="134" applyFont="1" applyFill="1" applyBorder="1" applyAlignment="1"/>
    <xf numFmtId="0" fontId="104" fillId="0" borderId="11" xfId="134" applyFont="1" applyFill="1" applyBorder="1" applyAlignment="1"/>
    <xf numFmtId="0" fontId="105" fillId="0" borderId="0" xfId="0" applyFont="1" applyFill="1" applyBorder="1" applyAlignment="1">
      <alignment vertical="center"/>
    </xf>
    <xf numFmtId="0" fontId="3" fillId="20" borderId="0" xfId="1078" applyFont="1" applyFill="1" applyBorder="1" applyAlignment="1">
      <alignment vertical="center"/>
    </xf>
    <xf numFmtId="0" fontId="3" fillId="22" borderId="0" xfId="1078" applyFont="1" applyFill="1" applyBorder="1" applyAlignment="1">
      <alignment horizontal="center" vertical="center"/>
    </xf>
    <xf numFmtId="0" fontId="3" fillId="20" borderId="0" xfId="1078" applyFont="1" applyFill="1" applyBorder="1" applyAlignment="1">
      <alignment horizontal="center" vertical="center"/>
    </xf>
    <xf numFmtId="0" fontId="4" fillId="20" borderId="0" xfId="134" applyFont="1" applyFill="1" applyBorder="1" applyAlignment="1">
      <alignment horizontal="left" vertical="center"/>
    </xf>
    <xf numFmtId="0" fontId="5" fillId="0" borderId="0" xfId="1078" applyFont="1" applyFill="1" applyBorder="1" applyAlignment="1">
      <alignment vertical="center"/>
    </xf>
    <xf numFmtId="0" fontId="5" fillId="22" borderId="0" xfId="1078" applyFont="1" applyFill="1" applyBorder="1" applyAlignment="1">
      <alignment vertical="center"/>
    </xf>
    <xf numFmtId="0" fontId="106" fillId="0" borderId="0" xfId="1078" applyFont="1" applyFill="1" applyBorder="1" applyAlignment="1">
      <alignment vertical="center" wrapText="1"/>
    </xf>
    <xf numFmtId="0" fontId="107" fillId="0" borderId="0" xfId="1078" applyFont="1" applyFill="1" applyBorder="1" applyAlignment="1">
      <alignment vertical="center" wrapText="1"/>
    </xf>
    <xf numFmtId="0" fontId="2" fillId="0" borderId="0" xfId="134" applyFont="1" applyFill="1" applyBorder="1" applyAlignment="1">
      <alignment wrapText="1"/>
    </xf>
    <xf numFmtId="0" fontId="104" fillId="0" borderId="0" xfId="134" applyFont="1" applyFill="1" applyBorder="1" applyAlignment="1">
      <alignment wrapText="1"/>
    </xf>
    <xf numFmtId="0" fontId="107" fillId="0" borderId="0" xfId="1078" applyFont="1" applyFill="1" applyBorder="1" applyAlignment="1">
      <alignment horizontal="left" vertical="center"/>
    </xf>
    <xf numFmtId="0" fontId="5" fillId="0" borderId="0" xfId="1078" applyFont="1" applyFill="1" applyBorder="1" applyAlignment="1">
      <alignment vertical="center" wrapText="1"/>
    </xf>
    <xf numFmtId="0" fontId="5" fillId="22" borderId="0" xfId="1078" applyFont="1" applyFill="1" applyBorder="1" applyAlignment="1">
      <alignment horizontal="center" vertical="center" wrapText="1"/>
    </xf>
    <xf numFmtId="0" fontId="107" fillId="0" borderId="0" xfId="1078" applyFont="1" applyFill="1" applyBorder="1" applyAlignment="1">
      <alignment vertical="center"/>
    </xf>
    <xf numFmtId="0" fontId="107" fillId="0" borderId="0" xfId="1078" applyFont="1" applyFill="1" applyBorder="1" applyAlignment="1">
      <alignment horizontal="right" vertical="center"/>
    </xf>
    <xf numFmtId="0" fontId="6" fillId="0" borderId="0" xfId="134" applyFont="1" applyFill="1" applyBorder="1" applyAlignment="1"/>
    <xf numFmtId="0" fontId="104" fillId="0" borderId="0" xfId="134" applyFont="1" applyFill="1" applyBorder="1" applyAlignment="1">
      <alignment horizontal="left" vertical="center"/>
    </xf>
    <xf numFmtId="0" fontId="5" fillId="0" borderId="0" xfId="1078" applyFont="1" applyFill="1" applyBorder="1" applyAlignment="1">
      <alignment horizontal="center" vertical="center" wrapText="1"/>
    </xf>
    <xf numFmtId="0" fontId="108" fillId="0" borderId="0" xfId="134" applyFont="1" applyFill="1" applyBorder="1" applyAlignment="1">
      <alignment wrapText="1"/>
    </xf>
    <xf numFmtId="0" fontId="7" fillId="0" borderId="0" xfId="1078" applyFont="1" applyFill="1" applyBorder="1" applyAlignment="1">
      <alignment horizontal="center" vertical="center" wrapText="1"/>
    </xf>
    <xf numFmtId="0" fontId="108" fillId="0" borderId="0" xfId="134" applyFont="1" applyFill="1" applyBorder="1" applyAlignment="1">
      <alignment horizontal="left" vertical="top" wrapText="1"/>
    </xf>
    <xf numFmtId="0" fontId="2" fillId="0" borderId="0" xfId="134" applyFont="1" applyFill="1" applyBorder="1" applyAlignment="1">
      <alignment vertical="top" wrapText="1"/>
    </xf>
    <xf numFmtId="0" fontId="5" fillId="0" borderId="0" xfId="1078" applyFont="1" applyFill="1" applyBorder="1" applyAlignment="1">
      <alignment vertical="top" wrapText="1"/>
    </xf>
    <xf numFmtId="49" fontId="8" fillId="0" borderId="0" xfId="134" applyNumberFormat="1" applyFont="1" applyFill="1" applyBorder="1" applyAlignment="1">
      <alignment vertical="center"/>
    </xf>
    <xf numFmtId="0" fontId="9" fillId="0" borderId="0" xfId="1078" applyFont="1" applyFill="1" applyBorder="1" applyAlignment="1">
      <alignment vertical="center"/>
    </xf>
    <xf numFmtId="58" fontId="10" fillId="0" borderId="0" xfId="134" applyNumberFormat="1" applyFont="1" applyFill="1" applyBorder="1" applyAlignment="1"/>
    <xf numFmtId="0" fontId="5" fillId="0" borderId="0" xfId="1078" applyFont="1" applyFill="1" applyBorder="1" applyAlignment="1">
      <alignment horizontal="right" vertical="center"/>
    </xf>
    <xf numFmtId="0" fontId="5" fillId="0" borderId="0" xfId="1078" applyFont="1" applyFill="1" applyBorder="1" applyAlignment="1">
      <alignment horizontal="left" vertical="center"/>
    </xf>
    <xf numFmtId="0" fontId="2" fillId="0" borderId="0" xfId="134" applyFont="1" applyFill="1" applyBorder="1" applyAlignment="1">
      <alignment horizontal="left" vertical="top"/>
    </xf>
    <xf numFmtId="0" fontId="11" fillId="0" borderId="0" xfId="134" applyFont="1" applyFill="1" applyBorder="1" applyAlignment="1">
      <alignment vertical="center"/>
    </xf>
    <xf numFmtId="0" fontId="12" fillId="0" borderId="0" xfId="134" applyFont="1" applyFill="1" applyBorder="1" applyAlignment="1">
      <alignment vertical="center"/>
    </xf>
    <xf numFmtId="0" fontId="2" fillId="0" borderId="0" xfId="134" applyFont="1" applyFill="1" applyBorder="1" applyAlignment="1">
      <alignment horizontal="center"/>
    </xf>
    <xf numFmtId="0" fontId="1" fillId="0" borderId="0" xfId="1078" applyFont="1" applyAlignment="1">
      <alignment vertical="center"/>
    </xf>
    <xf numFmtId="0" fontId="13" fillId="0" borderId="0" xfId="1078" applyFont="1" applyAlignment="1">
      <alignment vertical="center"/>
    </xf>
    <xf numFmtId="0" fontId="13" fillId="0" borderId="0" xfId="1078" applyFont="1" applyFill="1" applyBorder="1" applyAlignment="1">
      <alignment vertical="center"/>
    </xf>
    <xf numFmtId="0" fontId="14" fillId="0" borderId="0" xfId="1078" applyFont="1" applyAlignment="1">
      <alignment vertical="center"/>
    </xf>
    <xf numFmtId="0" fontId="15" fillId="0" borderId="0" xfId="1078" applyFont="1" applyAlignment="1">
      <alignment vertical="center"/>
    </xf>
    <xf numFmtId="0" fontId="14" fillId="0" borderId="0" xfId="1078" applyFont="1" applyFill="1" applyBorder="1" applyAlignment="1">
      <alignment vertical="center"/>
    </xf>
    <xf numFmtId="0" fontId="16" fillId="0" borderId="0" xfId="1078"/>
    <xf numFmtId="0" fontId="18" fillId="0" borderId="0" xfId="1078" applyFont="1" applyAlignment="1">
      <alignment vertical="center"/>
    </xf>
    <xf numFmtId="0" fontId="19" fillId="0" borderId="0" xfId="1078" applyFont="1" applyAlignment="1">
      <alignment horizontal="right" vertical="center"/>
    </xf>
    <xf numFmtId="0" fontId="19" fillId="0" borderId="0" xfId="1078" applyFont="1" applyAlignment="1">
      <alignment vertical="center"/>
    </xf>
    <xf numFmtId="0" fontId="1" fillId="0" borderId="0" xfId="1078" applyFont="1" applyBorder="1" applyAlignment="1">
      <alignment vertical="center"/>
    </xf>
    <xf numFmtId="0" fontId="0" fillId="0" borderId="0" xfId="1078" applyFont="1" applyFill="1" applyAlignment="1">
      <alignment vertical="center"/>
    </xf>
    <xf numFmtId="0" fontId="109" fillId="0" borderId="0" xfId="1078" applyFont="1" applyAlignment="1">
      <alignment vertical="center"/>
    </xf>
    <xf numFmtId="0" fontId="110" fillId="0" borderId="0" xfId="1078" applyFont="1" applyAlignment="1">
      <alignment vertical="center"/>
    </xf>
    <xf numFmtId="0" fontId="0" fillId="0" borderId="0" xfId="1078" applyFont="1" applyAlignment="1">
      <alignment vertical="center"/>
    </xf>
    <xf numFmtId="0" fontId="20" fillId="0" borderId="0" xfId="1078" applyFont="1" applyAlignment="1">
      <alignment vertical="center"/>
    </xf>
    <xf numFmtId="0" fontId="111" fillId="0" borderId="0" xfId="1078" applyFont="1" applyAlignment="1">
      <alignment vertical="center"/>
    </xf>
    <xf numFmtId="0" fontId="112" fillId="0" borderId="0" xfId="1078" applyFont="1" applyAlignment="1">
      <alignment vertical="center"/>
    </xf>
    <xf numFmtId="0" fontId="14" fillId="0" borderId="0" xfId="1078" applyFont="1" applyFill="1" applyAlignment="1">
      <alignment vertical="center"/>
    </xf>
    <xf numFmtId="0" fontId="13" fillId="0" borderId="0" xfId="1078" applyFont="1" applyFill="1" applyAlignment="1">
      <alignment vertical="center"/>
    </xf>
    <xf numFmtId="0" fontId="21" fillId="0" borderId="0" xfId="1078" applyFont="1" applyFill="1" applyAlignment="1">
      <alignment vertical="center" wrapText="1"/>
    </xf>
    <xf numFmtId="0" fontId="22" fillId="0" borderId="0" xfId="1078" applyFont="1" applyFill="1" applyAlignment="1">
      <alignment vertical="center" wrapText="1"/>
    </xf>
    <xf numFmtId="0" fontId="22" fillId="0" borderId="0" xfId="1078" applyFont="1" applyFill="1" applyAlignment="1">
      <alignment horizontal="left" vertical="center" wrapText="1"/>
    </xf>
    <xf numFmtId="0" fontId="14" fillId="0" borderId="0" xfId="1078" applyFont="1" applyAlignment="1">
      <alignment horizontal="right" vertical="center"/>
    </xf>
    <xf numFmtId="0" fontId="112" fillId="0" borderId="0" xfId="0" applyFont="1"/>
    <xf numFmtId="0" fontId="113" fillId="0" borderId="0" xfId="0" applyFont="1"/>
    <xf numFmtId="0" fontId="113" fillId="0" borderId="0" xfId="1078" applyFont="1" applyBorder="1"/>
    <xf numFmtId="0" fontId="114" fillId="0" borderId="0" xfId="1078" applyFont="1" applyFill="1" applyBorder="1" applyAlignment="1">
      <alignment vertical="center"/>
    </xf>
    <xf numFmtId="0" fontId="112" fillId="0" borderId="0" xfId="1078" applyFont="1" applyFill="1" applyBorder="1" applyAlignment="1">
      <alignment vertical="center"/>
    </xf>
    <xf numFmtId="0" fontId="23" fillId="0" borderId="0" xfId="1078" applyFont="1" applyFill="1" applyBorder="1" applyAlignment="1">
      <alignment vertical="center"/>
    </xf>
    <xf numFmtId="0" fontId="113" fillId="0" borderId="0" xfId="1078" applyFont="1"/>
    <xf numFmtId="0" fontId="24" fillId="0" borderId="0" xfId="1078" applyFont="1" applyFill="1" applyAlignment="1">
      <alignment vertical="center"/>
    </xf>
    <xf numFmtId="0" fontId="14" fillId="0" borderId="0" xfId="1078" applyFont="1" applyFill="1" applyBorder="1" applyAlignment="1">
      <alignment horizontal="right" vertical="center"/>
    </xf>
    <xf numFmtId="0" fontId="113" fillId="0" borderId="0" xfId="0" applyFont="1" applyFill="1" applyBorder="1" applyAlignment="1"/>
    <xf numFmtId="0" fontId="16" fillId="0" borderId="0" xfId="1078" applyBorder="1"/>
    <xf numFmtId="0" fontId="25" fillId="0" borderId="0" xfId="0" applyFont="1"/>
    <xf numFmtId="0" fontId="16" fillId="0" borderId="0" xfId="1078" applyBorder="1" applyAlignment="1">
      <alignment horizontal="left"/>
    </xf>
    <xf numFmtId="0" fontId="14" fillId="0" borderId="0" xfId="0" applyFont="1" applyAlignment="1">
      <alignment horizontal="right" vertical="center"/>
    </xf>
    <xf numFmtId="0" fontId="115" fillId="0" borderId="0" xfId="0" applyFont="1"/>
    <xf numFmtId="38" fontId="1" fillId="0" borderId="0" xfId="1078" applyNumberFormat="1" applyFont="1" applyAlignment="1">
      <alignment vertical="center"/>
    </xf>
    <xf numFmtId="0" fontId="20" fillId="10" borderId="0" xfId="1078" applyFont="1" applyFill="1" applyAlignment="1">
      <alignment vertical="center"/>
    </xf>
    <xf numFmtId="38" fontId="20" fillId="0" borderId="0" xfId="1078" applyNumberFormat="1" applyFont="1" applyAlignment="1">
      <alignment vertical="center"/>
    </xf>
    <xf numFmtId="38" fontId="13" fillId="0" borderId="0" xfId="1078" applyNumberFormat="1" applyFont="1" applyAlignment="1">
      <alignment vertical="center"/>
    </xf>
    <xf numFmtId="0" fontId="13" fillId="10" borderId="0" xfId="1078" applyFont="1" applyFill="1" applyAlignment="1">
      <alignment vertical="center"/>
    </xf>
    <xf numFmtId="38" fontId="14" fillId="0" borderId="0" xfId="1078" applyNumberFormat="1" applyFont="1" applyAlignment="1">
      <alignment vertical="center"/>
    </xf>
    <xf numFmtId="38" fontId="13" fillId="0" borderId="0" xfId="1078" applyNumberFormat="1" applyFont="1" applyFill="1" applyBorder="1" applyAlignment="1">
      <alignment vertical="center"/>
    </xf>
    <xf numFmtId="38" fontId="15" fillId="0" borderId="0" xfId="1078" applyNumberFormat="1" applyFont="1" applyAlignment="1">
      <alignment vertical="center"/>
    </xf>
    <xf numFmtId="38" fontId="14" fillId="0" borderId="0" xfId="1078" applyNumberFormat="1" applyFont="1" applyFill="1" applyBorder="1" applyAlignment="1">
      <alignment vertical="center"/>
    </xf>
    <xf numFmtId="188" fontId="1" fillId="0" borderId="0" xfId="1078" applyNumberFormat="1" applyFont="1" applyAlignment="1">
      <alignment vertical="center"/>
    </xf>
    <xf numFmtId="188" fontId="13" fillId="0" borderId="0" xfId="1078" applyNumberFormat="1" applyFont="1" applyAlignment="1">
      <alignment vertical="center"/>
    </xf>
    <xf numFmtId="188" fontId="13" fillId="0" borderId="0" xfId="1078" applyNumberFormat="1" applyFont="1" applyFill="1" applyBorder="1" applyAlignment="1">
      <alignment vertical="center"/>
    </xf>
    <xf numFmtId="188" fontId="14" fillId="0" borderId="0" xfId="1078" applyNumberFormat="1" applyFont="1" applyAlignment="1">
      <alignment vertical="center"/>
    </xf>
    <xf numFmtId="188" fontId="15" fillId="0" borderId="0" xfId="1078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188" fontId="14" fillId="0" borderId="0" xfId="1078" applyNumberFormat="1" applyFont="1" applyFill="1" applyBorder="1" applyAlignment="1">
      <alignment vertical="center"/>
    </xf>
    <xf numFmtId="0" fontId="116" fillId="0" borderId="0" xfId="0" applyFont="1" applyFill="1" applyAlignment="1">
      <alignment vertical="center"/>
    </xf>
    <xf numFmtId="0" fontId="116" fillId="0" borderId="0" xfId="0" applyFont="1" applyFill="1" applyBorder="1" applyAlignment="1">
      <alignment vertical="center"/>
    </xf>
    <xf numFmtId="0" fontId="118" fillId="0" borderId="11" xfId="0" applyFont="1" applyFill="1" applyBorder="1" applyAlignment="1">
      <alignment vertical="center"/>
    </xf>
    <xf numFmtId="0" fontId="118" fillId="0" borderId="11" xfId="0" applyFont="1" applyFill="1" applyBorder="1" applyAlignment="1">
      <alignment horizontal="center" vertical="center"/>
    </xf>
    <xf numFmtId="0" fontId="120" fillId="0" borderId="11" xfId="0" applyFont="1" applyFill="1" applyBorder="1" applyAlignment="1">
      <alignment horizontal="center" vertical="center" wrapText="1"/>
    </xf>
    <xf numFmtId="0" fontId="27" fillId="0" borderId="12" xfId="0" applyNumberFormat="1" applyFont="1" applyFill="1" applyBorder="1" applyAlignment="1">
      <alignment horizontal="left" wrapText="1"/>
    </xf>
    <xf numFmtId="0" fontId="1" fillId="0" borderId="23" xfId="0" applyFont="1" applyFill="1" applyBorder="1" applyAlignment="1">
      <alignment horizontal="center" vertical="center" wrapText="1"/>
    </xf>
    <xf numFmtId="0" fontId="118" fillId="0" borderId="23" xfId="0" applyFont="1" applyFill="1" applyBorder="1" applyAlignment="1">
      <alignment horizontal="center" vertical="center"/>
    </xf>
    <xf numFmtId="0" fontId="27" fillId="0" borderId="11" xfId="0" applyNumberFormat="1" applyFont="1" applyFill="1" applyBorder="1" applyAlignment="1">
      <alignment horizontal="left" wrapText="1"/>
    </xf>
    <xf numFmtId="0" fontId="0" fillId="0" borderId="11" xfId="1077" applyNumberFormat="1" applyFont="1" applyFill="1" applyBorder="1" applyAlignment="1">
      <alignment horizontal="left" vertical="center" wrapText="1"/>
    </xf>
    <xf numFmtId="49" fontId="0" fillId="0" borderId="11" xfId="1077" applyNumberFormat="1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18" fillId="0" borderId="24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16" xfId="0" applyFont="1" applyFill="1" applyBorder="1" applyAlignment="1">
      <alignment horizontal="center" wrapText="1"/>
    </xf>
    <xf numFmtId="0" fontId="116" fillId="24" borderId="12" xfId="0" applyFont="1" applyFill="1" applyBorder="1" applyAlignment="1">
      <alignment vertical="center"/>
    </xf>
    <xf numFmtId="0" fontId="116" fillId="24" borderId="14" xfId="0" applyFont="1" applyFill="1" applyBorder="1" applyAlignment="1">
      <alignment vertical="center"/>
    </xf>
    <xf numFmtId="0" fontId="116" fillId="24" borderId="13" xfId="0" applyFont="1" applyFill="1" applyBorder="1" applyAlignment="1">
      <alignment vertical="center"/>
    </xf>
    <xf numFmtId="0" fontId="116" fillId="24" borderId="15" xfId="0" applyFont="1" applyFill="1" applyBorder="1" applyAlignment="1">
      <alignment vertical="center"/>
    </xf>
    <xf numFmtId="0" fontId="116" fillId="24" borderId="0" xfId="0" applyFont="1" applyFill="1" applyBorder="1" applyAlignment="1">
      <alignment vertical="center"/>
    </xf>
    <xf numFmtId="0" fontId="116" fillId="24" borderId="16" xfId="0" applyFont="1" applyFill="1" applyBorder="1" applyAlignment="1">
      <alignment vertical="center"/>
    </xf>
    <xf numFmtId="0" fontId="121" fillId="24" borderId="16" xfId="0" applyFont="1" applyFill="1" applyBorder="1" applyAlignment="1">
      <alignment horizontal="left" vertical="center"/>
    </xf>
    <xf numFmtId="0" fontId="116" fillId="24" borderId="17" xfId="0" applyFont="1" applyFill="1" applyBorder="1" applyAlignment="1">
      <alignment vertical="center"/>
    </xf>
    <xf numFmtId="0" fontId="116" fillId="24" borderId="18" xfId="0" applyFont="1" applyFill="1" applyBorder="1" applyAlignment="1">
      <alignment vertical="center"/>
    </xf>
    <xf numFmtId="0" fontId="116" fillId="24" borderId="19" xfId="0" applyFont="1" applyFill="1" applyBorder="1" applyAlignment="1">
      <alignment vertical="center"/>
    </xf>
    <xf numFmtId="0" fontId="16" fillId="0" borderId="0" xfId="711" applyFont="1" applyFill="1"/>
    <xf numFmtId="0" fontId="0" fillId="0" borderId="0" xfId="0" applyFill="1"/>
    <xf numFmtId="0" fontId="0" fillId="0" borderId="0" xfId="711" applyFont="1" applyFill="1"/>
    <xf numFmtId="0" fontId="0" fillId="0" borderId="0" xfId="132" applyFont="1" applyFill="1"/>
    <xf numFmtId="0" fontId="0" fillId="0" borderId="0" xfId="711" applyFont="1" applyFill="1" applyAlignment="1"/>
    <xf numFmtId="0" fontId="32" fillId="0" borderId="20" xfId="132" applyFont="1" applyFill="1" applyBorder="1" applyAlignment="1">
      <alignment horizontal="center" vertical="center"/>
    </xf>
    <xf numFmtId="0" fontId="32" fillId="0" borderId="11" xfId="132" applyFont="1" applyFill="1" applyBorder="1" applyAlignment="1">
      <alignment horizontal="center" vertical="center"/>
    </xf>
    <xf numFmtId="0" fontId="32" fillId="0" borderId="22" xfId="132" applyFont="1" applyFill="1" applyBorder="1" applyAlignment="1">
      <alignment horizontal="center" vertical="center"/>
    </xf>
    <xf numFmtId="58" fontId="0" fillId="0" borderId="11" xfId="132" applyNumberFormat="1" applyFont="1" applyFill="1" applyBorder="1" applyAlignment="1">
      <alignment horizontal="center" vertical="center"/>
    </xf>
    <xf numFmtId="0" fontId="33" fillId="21" borderId="11" xfId="132" applyFont="1" applyFill="1" applyBorder="1" applyAlignment="1">
      <alignment horizontal="center" vertical="center"/>
    </xf>
    <xf numFmtId="0" fontId="0" fillId="0" borderId="11" xfId="132" applyFont="1" applyFill="1" applyBorder="1" applyAlignment="1">
      <alignment horizontal="center" vertical="center"/>
    </xf>
    <xf numFmtId="0" fontId="32" fillId="0" borderId="11" xfId="711" applyFont="1" applyFill="1" applyBorder="1" applyAlignment="1">
      <alignment horizontal="center" vertical="center"/>
    </xf>
    <xf numFmtId="0" fontId="0" fillId="0" borderId="11" xfId="711" applyFont="1" applyFill="1" applyBorder="1" applyAlignment="1">
      <alignment horizontal="center" vertical="center"/>
    </xf>
    <xf numFmtId="0" fontId="34" fillId="0" borderId="11" xfId="711" applyFont="1" applyFill="1" applyBorder="1" applyAlignment="1">
      <alignment horizontal="center" vertical="center"/>
    </xf>
    <xf numFmtId="0" fontId="36" fillId="0" borderId="0" xfId="711" applyFont="1" applyFill="1" applyBorder="1" applyAlignment="1">
      <alignment horizontal="right" vertical="center"/>
    </xf>
    <xf numFmtId="0" fontId="0" fillId="0" borderId="0" xfId="132" applyFont="1" applyFill="1" applyBorder="1" applyAlignment="1">
      <alignment horizontal="center" vertical="center"/>
    </xf>
    <xf numFmtId="0" fontId="37" fillId="0" borderId="0" xfId="711" applyFont="1" applyFill="1" applyAlignment="1">
      <alignment horizontal="center" vertical="center"/>
    </xf>
    <xf numFmtId="0" fontId="37" fillId="0" borderId="0" xfId="711" applyFont="1" applyFill="1" applyAlignment="1">
      <alignment vertical="center"/>
    </xf>
    <xf numFmtId="0" fontId="27" fillId="0" borderId="0" xfId="0" applyFont="1" applyFill="1" applyBorder="1" applyAlignment="1">
      <alignment horizontal="right"/>
    </xf>
    <xf numFmtId="0" fontId="0" fillId="0" borderId="0" xfId="132" applyFont="1" applyFill="1" applyBorder="1" applyAlignment="1">
      <alignment horizontal="right" vertical="center"/>
    </xf>
    <xf numFmtId="0" fontId="35" fillId="0" borderId="13" xfId="711" applyFont="1" applyFill="1" applyBorder="1"/>
    <xf numFmtId="3" fontId="35" fillId="0" borderId="13" xfId="711" applyNumberFormat="1" applyFont="1" applyFill="1" applyBorder="1" applyAlignment="1"/>
    <xf numFmtId="190" fontId="35" fillId="0" borderId="13" xfId="711" applyNumberFormat="1" applyFont="1" applyFill="1" applyBorder="1"/>
    <xf numFmtId="0" fontId="35" fillId="0" borderId="0" xfId="711" applyFont="1" applyFill="1" applyBorder="1"/>
    <xf numFmtId="3" fontId="35" fillId="0" borderId="0" xfId="711" applyNumberFormat="1" applyFont="1" applyFill="1" applyBorder="1" applyAlignment="1"/>
    <xf numFmtId="0" fontId="35" fillId="0" borderId="0" xfId="711" applyFont="1" applyFill="1" applyBorder="1" applyAlignment="1"/>
    <xf numFmtId="190" fontId="35" fillId="0" borderId="0" xfId="711" applyNumberFormat="1" applyFont="1" applyFill="1" applyBorder="1"/>
    <xf numFmtId="0" fontId="37" fillId="0" borderId="0" xfId="711" applyFont="1" applyFill="1"/>
    <xf numFmtId="0" fontId="35" fillId="0" borderId="0" xfId="711" applyFont="1" applyFill="1"/>
    <xf numFmtId="0" fontId="35" fillId="0" borderId="0" xfId="711" applyFont="1" applyFill="1" applyAlignment="1"/>
    <xf numFmtId="0" fontId="37" fillId="0" borderId="0" xfId="711" applyFont="1" applyFill="1" applyAlignment="1"/>
    <xf numFmtId="0" fontId="38" fillId="0" borderId="0" xfId="0" applyFont="1" applyFill="1"/>
    <xf numFmtId="0" fontId="0" fillId="0" borderId="0" xfId="0" applyFont="1" applyFill="1"/>
    <xf numFmtId="3" fontId="37" fillId="0" borderId="0" xfId="0" applyNumberFormat="1" applyFont="1" applyFill="1" applyAlignment="1"/>
    <xf numFmtId="4" fontId="37" fillId="0" borderId="0" xfId="0" applyNumberFormat="1" applyFont="1" applyFill="1"/>
    <xf numFmtId="0" fontId="38" fillId="0" borderId="0" xfId="711" applyFont="1" applyFill="1"/>
    <xf numFmtId="3" fontId="37" fillId="0" borderId="0" xfId="711" applyNumberFormat="1" applyFont="1" applyFill="1" applyAlignment="1"/>
    <xf numFmtId="191" fontId="116" fillId="0" borderId="0" xfId="0" applyNumberFormat="1" applyFont="1" applyFill="1" applyBorder="1" applyAlignment="1">
      <alignment vertical="center"/>
    </xf>
    <xf numFmtId="0" fontId="116" fillId="0" borderId="14" xfId="0" applyFont="1" applyFill="1" applyBorder="1" applyAlignment="1">
      <alignment vertical="center"/>
    </xf>
    <xf numFmtId="0" fontId="122" fillId="0" borderId="13" xfId="0" applyFont="1" applyFill="1" applyBorder="1"/>
    <xf numFmtId="0" fontId="116" fillId="0" borderId="13" xfId="0" applyFont="1" applyFill="1" applyBorder="1" applyAlignment="1">
      <alignment vertical="center"/>
    </xf>
    <xf numFmtId="191" fontId="116" fillId="0" borderId="13" xfId="0" applyNumberFormat="1" applyFont="1" applyFill="1" applyBorder="1" applyAlignment="1">
      <alignment vertical="center"/>
    </xf>
    <xf numFmtId="0" fontId="123" fillId="0" borderId="12" xfId="0" applyFont="1" applyFill="1" applyBorder="1" applyAlignment="1">
      <alignment vertical="center"/>
    </xf>
    <xf numFmtId="0" fontId="123" fillId="0" borderId="0" xfId="0" applyFont="1" applyFill="1" applyBorder="1" applyAlignment="1">
      <alignment vertical="center"/>
    </xf>
    <xf numFmtId="191" fontId="123" fillId="0" borderId="0" xfId="0" applyNumberFormat="1" applyFont="1" applyFill="1" applyBorder="1" applyAlignment="1">
      <alignment vertical="center"/>
    </xf>
    <xf numFmtId="0" fontId="32" fillId="0" borderId="14" xfId="1088" applyFont="1" applyFill="1" applyBorder="1"/>
    <xf numFmtId="0" fontId="32" fillId="0" borderId="13" xfId="1088" applyFont="1" applyFill="1" applyBorder="1"/>
    <xf numFmtId="0" fontId="0" fillId="0" borderId="13" xfId="1088" applyFont="1" applyFill="1" applyBorder="1"/>
    <xf numFmtId="0" fontId="124" fillId="0" borderId="15" xfId="1088" applyFont="1" applyFill="1" applyBorder="1"/>
    <xf numFmtId="191" fontId="0" fillId="0" borderId="13" xfId="1088" applyNumberFormat="1" applyFont="1" applyFill="1" applyBorder="1"/>
    <xf numFmtId="0" fontId="0" fillId="0" borderId="12" xfId="0" applyFont="1" applyFill="1" applyBorder="1" applyAlignment="1"/>
    <xf numFmtId="0" fontId="0" fillId="0" borderId="0" xfId="1088" applyFont="1" applyFill="1" applyBorder="1" applyAlignment="1">
      <alignment horizontal="left"/>
    </xf>
    <xf numFmtId="0" fontId="0" fillId="0" borderId="0" xfId="1088" applyFont="1" applyFill="1" applyBorder="1"/>
    <xf numFmtId="0" fontId="0" fillId="0" borderId="16" xfId="1088" applyFont="1" applyFill="1" applyBorder="1"/>
    <xf numFmtId="191" fontId="0" fillId="0" borderId="0" xfId="1088" applyNumberFormat="1" applyFont="1" applyFill="1" applyBorder="1"/>
    <xf numFmtId="189" fontId="0" fillId="0" borderId="12" xfId="0" applyNumberFormat="1" applyFont="1" applyFill="1" applyBorder="1" applyAlignment="1">
      <alignment horizontal="left"/>
    </xf>
    <xf numFmtId="0" fontId="0" fillId="0" borderId="12" xfId="1088" applyFont="1" applyFill="1" applyBorder="1"/>
    <xf numFmtId="0" fontId="0" fillId="0" borderId="17" xfId="1087" applyFont="1" applyFill="1" applyBorder="1" applyAlignment="1">
      <alignment horizontal="left"/>
    </xf>
    <xf numFmtId="0" fontId="0" fillId="0" borderId="18" xfId="1087" applyFont="1" applyFill="1" applyBorder="1"/>
    <xf numFmtId="0" fontId="0" fillId="0" borderId="18" xfId="714" applyFont="1" applyFill="1" applyBorder="1"/>
    <xf numFmtId="0" fontId="0" fillId="0" borderId="19" xfId="714" applyFont="1" applyFill="1" applyBorder="1"/>
    <xf numFmtId="0" fontId="0" fillId="0" borderId="17" xfId="1088" applyFont="1" applyFill="1" applyBorder="1"/>
    <xf numFmtId="191" fontId="0" fillId="0" borderId="18" xfId="1088" applyNumberFormat="1" applyFont="1" applyFill="1" applyBorder="1"/>
    <xf numFmtId="0" fontId="32" fillId="0" borderId="14" xfId="1087" applyFont="1" applyFill="1" applyBorder="1"/>
    <xf numFmtId="0" fontId="0" fillId="0" borderId="15" xfId="1088" applyFont="1" applyFill="1" applyBorder="1"/>
    <xf numFmtId="191" fontId="0" fillId="0" borderId="0" xfId="1088" applyNumberFormat="1" applyFont="1" applyFill="1"/>
    <xf numFmtId="0" fontId="0" fillId="0" borderId="12" xfId="1088" applyFont="1" applyFill="1" applyBorder="1" applyAlignment="1">
      <alignment horizontal="left"/>
    </xf>
    <xf numFmtId="0" fontId="32" fillId="0" borderId="0" xfId="1088" applyFont="1" applyFill="1" applyBorder="1" applyAlignment="1">
      <alignment horizontal="left"/>
    </xf>
    <xf numFmtId="0" fontId="0" fillId="0" borderId="16" xfId="1088" applyFont="1" applyFill="1" applyBorder="1" applyAlignment="1"/>
    <xf numFmtId="0" fontId="32" fillId="0" borderId="0" xfId="1088" applyFont="1" applyFill="1"/>
    <xf numFmtId="191" fontId="0" fillId="0" borderId="0" xfId="1087" applyNumberFormat="1" applyFont="1" applyFill="1"/>
    <xf numFmtId="0" fontId="0" fillId="0" borderId="12" xfId="0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0" borderId="17" xfId="1088" applyFont="1" applyFill="1" applyBorder="1" applyAlignment="1"/>
    <xf numFmtId="0" fontId="0" fillId="0" borderId="18" xfId="1088" applyFont="1" applyFill="1" applyBorder="1" applyAlignment="1"/>
    <xf numFmtId="0" fontId="0" fillId="0" borderId="19" xfId="1088" applyFont="1" applyFill="1" applyBorder="1" applyAlignment="1"/>
    <xf numFmtId="191" fontId="36" fillId="0" borderId="0" xfId="1088" applyNumberFormat="1" applyFont="1" applyFill="1"/>
    <xf numFmtId="0" fontId="0" fillId="0" borderId="0" xfId="1088" applyFont="1" applyFill="1"/>
    <xf numFmtId="0" fontId="40" fillId="0" borderId="0" xfId="1088" applyFont="1" applyFill="1" applyBorder="1"/>
    <xf numFmtId="191" fontId="0" fillId="0" borderId="0" xfId="0" applyNumberFormat="1" applyFont="1" applyFill="1" applyBorder="1" applyAlignment="1"/>
    <xf numFmtId="0" fontId="0" fillId="0" borderId="0" xfId="1088" applyFont="1" applyFill="1" applyAlignment="1">
      <alignment horizontal="left"/>
    </xf>
    <xf numFmtId="0" fontId="0" fillId="0" borderId="16" xfId="1088" applyFont="1" applyFill="1" applyBorder="1" applyAlignment="1">
      <alignment horizontal="left"/>
    </xf>
    <xf numFmtId="0" fontId="0" fillId="0" borderId="18" xfId="1088" applyFont="1" applyFill="1" applyBorder="1"/>
    <xf numFmtId="0" fontId="0" fillId="0" borderId="19" xfId="1088" applyFont="1" applyFill="1" applyBorder="1"/>
    <xf numFmtId="191" fontId="0" fillId="0" borderId="0" xfId="0" applyNumberFormat="1" applyFont="1" applyFill="1" applyBorder="1" applyAlignment="1">
      <alignment horizontal="center" vertical="center"/>
    </xf>
    <xf numFmtId="0" fontId="124" fillId="0" borderId="15" xfId="1087" applyFont="1" applyFill="1" applyBorder="1" applyAlignment="1"/>
    <xf numFmtId="0" fontId="0" fillId="0" borderId="17" xfId="0" applyFont="1" applyFill="1" applyBorder="1" applyAlignment="1">
      <alignment horizontal="left"/>
    </xf>
    <xf numFmtId="0" fontId="32" fillId="0" borderId="0" xfId="1088" applyFont="1" applyFill="1" applyBorder="1"/>
    <xf numFmtId="0" fontId="124" fillId="0" borderId="16" xfId="1088" applyFont="1" applyFill="1" applyBorder="1"/>
    <xf numFmtId="0" fontId="125" fillId="0" borderId="16" xfId="1088" applyFont="1" applyFill="1" applyBorder="1" applyAlignment="1">
      <alignment horizontal="right"/>
    </xf>
    <xf numFmtId="191" fontId="32" fillId="0" borderId="11" xfId="1088" applyNumberFormat="1" applyFont="1" applyFill="1" applyBorder="1" applyAlignment="1">
      <alignment horizontal="center"/>
    </xf>
    <xf numFmtId="0" fontId="28" fillId="0" borderId="11" xfId="0" applyFont="1" applyFill="1" applyBorder="1" applyAlignment="1">
      <alignment horizontal="center" vertical="center" wrapText="1" shrinkToFit="1"/>
    </xf>
    <xf numFmtId="49" fontId="42" fillId="0" borderId="11" xfId="1077" applyNumberFormat="1" applyFont="1" applyFill="1" applyBorder="1" applyAlignment="1">
      <alignment horizontal="left" vertical="center"/>
    </xf>
    <xf numFmtId="0" fontId="42" fillId="0" borderId="11" xfId="1086" applyNumberFormat="1" applyFont="1" applyFill="1" applyBorder="1" applyAlignment="1">
      <alignment horizontal="center" vertical="center"/>
    </xf>
    <xf numFmtId="0" fontId="42" fillId="0" borderId="11" xfId="1077" applyNumberFormat="1" applyFont="1" applyFill="1" applyBorder="1" applyAlignment="1">
      <alignment horizontal="center" vertical="center"/>
    </xf>
    <xf numFmtId="191" fontId="116" fillId="0" borderId="11" xfId="0" applyNumberFormat="1" applyFont="1" applyFill="1" applyBorder="1" applyAlignment="1">
      <alignment horizontal="center" vertical="center"/>
    </xf>
    <xf numFmtId="191" fontId="42" fillId="0" borderId="11" xfId="0" applyNumberFormat="1" applyFont="1" applyFill="1" applyBorder="1" applyAlignment="1">
      <alignment horizontal="center" vertical="center"/>
    </xf>
    <xf numFmtId="49" fontId="126" fillId="0" borderId="11" xfId="0" applyNumberFormat="1" applyFont="1" applyBorder="1" applyAlignment="1">
      <alignment horizontal="left" vertical="center"/>
    </xf>
    <xf numFmtId="0" fontId="126" fillId="0" borderId="11" xfId="0" applyNumberFormat="1" applyFont="1" applyBorder="1" applyAlignment="1">
      <alignment horizontal="center" vertical="center"/>
    </xf>
    <xf numFmtId="191" fontId="126" fillId="0" borderId="11" xfId="0" applyNumberFormat="1" applyFont="1" applyBorder="1" applyAlignment="1">
      <alignment horizontal="center" vertical="center"/>
    </xf>
    <xf numFmtId="192" fontId="32" fillId="0" borderId="11" xfId="1088" applyNumberFormat="1" applyFont="1" applyFill="1" applyBorder="1" applyAlignment="1">
      <alignment horizontal="center" vertical="center"/>
    </xf>
    <xf numFmtId="0" fontId="0" fillId="0" borderId="11" xfId="1088" applyFont="1" applyFill="1" applyBorder="1" applyAlignment="1">
      <alignment vertical="center"/>
    </xf>
    <xf numFmtId="0" fontId="32" fillId="0" borderId="11" xfId="1088" applyFont="1" applyFill="1" applyBorder="1" applyAlignment="1">
      <alignment vertical="center"/>
    </xf>
    <xf numFmtId="0" fontId="43" fillId="0" borderId="11" xfId="1088" applyFont="1" applyFill="1" applyBorder="1" applyAlignment="1">
      <alignment horizontal="center" vertical="center"/>
    </xf>
    <xf numFmtId="0" fontId="32" fillId="0" borderId="11" xfId="0" applyFont="1" applyFill="1" applyBorder="1" applyAlignment="1">
      <alignment horizontal="center" vertical="center"/>
    </xf>
    <xf numFmtId="193" fontId="43" fillId="0" borderId="11" xfId="1088" applyNumberFormat="1" applyFont="1" applyFill="1" applyBorder="1" applyAlignment="1">
      <alignment horizontal="center" vertical="center"/>
    </xf>
    <xf numFmtId="191" fontId="43" fillId="0" borderId="11" xfId="1088" applyNumberFormat="1" applyFont="1" applyFill="1" applyBorder="1" applyAlignment="1">
      <alignment horizontal="center" vertical="center"/>
    </xf>
    <xf numFmtId="0" fontId="116" fillId="0" borderId="12" xfId="0" applyFont="1" applyFill="1" applyBorder="1" applyAlignment="1">
      <alignment vertical="center"/>
    </xf>
    <xf numFmtId="0" fontId="37" fillId="0" borderId="0" xfId="1088" applyFont="1" applyFill="1" applyAlignment="1">
      <alignment horizontal="center" vertical="center"/>
    </xf>
    <xf numFmtId="0" fontId="37" fillId="0" borderId="0" xfId="1088" applyFont="1" applyFill="1"/>
    <xf numFmtId="0" fontId="116" fillId="0" borderId="17" xfId="0" applyFont="1" applyFill="1" applyBorder="1" applyAlignment="1">
      <alignment vertical="center"/>
    </xf>
    <xf numFmtId="0" fontId="116" fillId="0" borderId="18" xfId="0" applyFont="1" applyFill="1" applyBorder="1" applyAlignment="1">
      <alignment vertical="center"/>
    </xf>
    <xf numFmtId="191" fontId="116" fillId="0" borderId="18" xfId="0" applyNumberFormat="1" applyFont="1" applyFill="1" applyBorder="1" applyAlignment="1">
      <alignment vertical="center"/>
    </xf>
    <xf numFmtId="0" fontId="116" fillId="0" borderId="25" xfId="0" applyFont="1" applyFill="1" applyBorder="1" applyAlignment="1">
      <alignment vertical="center"/>
    </xf>
    <xf numFmtId="0" fontId="116" fillId="0" borderId="26" xfId="0" applyFont="1" applyFill="1" applyBorder="1" applyAlignment="1">
      <alignment vertical="center"/>
    </xf>
    <xf numFmtId="0" fontId="123" fillId="0" borderId="18" xfId="0" applyFont="1" applyFill="1" applyBorder="1" applyAlignment="1">
      <alignment vertical="center"/>
    </xf>
    <xf numFmtId="0" fontId="20" fillId="0" borderId="0" xfId="0" applyFont="1" applyFill="1" applyBorder="1" applyAlignment="1"/>
    <xf numFmtId="0" fontId="0" fillId="0" borderId="0" xfId="1087" applyFont="1" applyFill="1"/>
    <xf numFmtId="0" fontId="0" fillId="0" borderId="0" xfId="1088" applyFont="1" applyFill="1" applyAlignment="1">
      <alignment horizontal="center" vertical="center"/>
    </xf>
    <xf numFmtId="0" fontId="44" fillId="0" borderId="26" xfId="0" applyFont="1" applyFill="1" applyBorder="1" applyAlignment="1"/>
    <xf numFmtId="0" fontId="32" fillId="0" borderId="11" xfId="1088" applyFont="1" applyFill="1" applyBorder="1" applyAlignment="1">
      <alignment horizontal="center"/>
    </xf>
    <xf numFmtId="0" fontId="42" fillId="0" borderId="11" xfId="923" applyFont="1" applyFill="1" applyBorder="1" applyAlignment="1">
      <alignment horizontal="center" vertical="center"/>
    </xf>
    <xf numFmtId="0" fontId="42" fillId="0" borderId="11" xfId="0" applyFont="1" applyFill="1" applyBorder="1" applyAlignment="1">
      <alignment horizontal="center" vertical="center"/>
    </xf>
    <xf numFmtId="0" fontId="46" fillId="0" borderId="0" xfId="0" applyFont="1" applyFill="1" applyAlignment="1">
      <alignment vertical="center"/>
    </xf>
    <xf numFmtId="0" fontId="126" fillId="0" borderId="11" xfId="0" applyFont="1" applyBorder="1" applyAlignment="1">
      <alignment horizontal="center" vertical="center"/>
    </xf>
    <xf numFmtId="0" fontId="126" fillId="0" borderId="11" xfId="0" applyFont="1" applyFill="1" applyBorder="1" applyAlignment="1">
      <alignment horizontal="center" vertical="center"/>
    </xf>
    <xf numFmtId="0" fontId="116" fillId="0" borderId="16" xfId="0" applyFont="1" applyFill="1" applyBorder="1" applyAlignment="1">
      <alignment vertical="center"/>
    </xf>
    <xf numFmtId="0" fontId="116" fillId="0" borderId="28" xfId="0" applyFont="1" applyFill="1" applyBorder="1" applyAlignment="1">
      <alignment vertical="center"/>
    </xf>
    <xf numFmtId="0" fontId="116" fillId="0" borderId="19" xfId="0" applyFont="1" applyFill="1" applyBorder="1" applyAlignment="1">
      <alignment vertical="center"/>
    </xf>
    <xf numFmtId="0" fontId="116" fillId="0" borderId="29" xfId="0" applyFont="1" applyFill="1" applyBorder="1" applyAlignment="1">
      <alignment vertical="center"/>
    </xf>
    <xf numFmtId="0" fontId="127" fillId="0" borderId="0" xfId="0" applyFont="1" applyFill="1" applyBorder="1" applyAlignment="1">
      <alignment vertical="center"/>
    </xf>
    <xf numFmtId="0" fontId="127" fillId="0" borderId="14" xfId="0" applyFont="1" applyFill="1" applyBorder="1" applyAlignment="1">
      <alignment vertical="center"/>
    </xf>
    <xf numFmtId="0" fontId="128" fillId="0" borderId="11" xfId="0" applyFont="1" applyFill="1" applyBorder="1"/>
    <xf numFmtId="0" fontId="127" fillId="0" borderId="13" xfId="0" applyFont="1" applyFill="1" applyBorder="1" applyAlignment="1">
      <alignment vertical="center"/>
    </xf>
    <xf numFmtId="0" fontId="32" fillId="0" borderId="12" xfId="1087" applyFont="1" applyFill="1" applyBorder="1"/>
    <xf numFmtId="0" fontId="32" fillId="0" borderId="0" xfId="1087" applyFont="1" applyFill="1" applyBorder="1"/>
    <xf numFmtId="0" fontId="0" fillId="0" borderId="0" xfId="1087" applyFont="1" applyFill="1" applyBorder="1"/>
    <xf numFmtId="0" fontId="0" fillId="0" borderId="16" xfId="1087" applyFont="1" applyFill="1" applyBorder="1"/>
    <xf numFmtId="0" fontId="0" fillId="0" borderId="0" xfId="0" applyFont="1" applyFill="1" applyBorder="1" applyAlignment="1"/>
    <xf numFmtId="49" fontId="0" fillId="0" borderId="0" xfId="1087" applyNumberFormat="1" applyFont="1" applyFill="1" applyBorder="1" applyAlignment="1">
      <alignment horizontal="center"/>
    </xf>
    <xf numFmtId="189" fontId="0" fillId="0" borderId="0" xfId="0" applyNumberFormat="1" applyFont="1" applyFill="1" applyBorder="1" applyAlignment="1"/>
    <xf numFmtId="189" fontId="0" fillId="0" borderId="0" xfId="0" applyNumberFormat="1" applyFont="1" applyFill="1" applyBorder="1" applyAlignment="1">
      <alignment horizontal="left"/>
    </xf>
    <xf numFmtId="0" fontId="0" fillId="0" borderId="12" xfId="1087" applyFont="1" applyFill="1" applyBorder="1"/>
    <xf numFmtId="0" fontId="0" fillId="0" borderId="18" xfId="1087" applyFont="1" applyFill="1" applyBorder="1" applyAlignment="1">
      <alignment horizontal="left"/>
    </xf>
    <xf numFmtId="0" fontId="0" fillId="0" borderId="19" xfId="1087" applyFont="1" applyFill="1" applyBorder="1"/>
    <xf numFmtId="0" fontId="0" fillId="0" borderId="17" xfId="1087" applyFont="1" applyFill="1" applyBorder="1"/>
    <xf numFmtId="0" fontId="32" fillId="0" borderId="13" xfId="1087" applyFont="1" applyFill="1" applyBorder="1"/>
    <xf numFmtId="0" fontId="0" fillId="0" borderId="13" xfId="1087" applyFont="1" applyFill="1" applyBorder="1"/>
    <xf numFmtId="0" fontId="0" fillId="0" borderId="15" xfId="1087" applyFont="1" applyFill="1" applyBorder="1"/>
    <xf numFmtId="0" fontId="32" fillId="0" borderId="16" xfId="1088" applyFont="1" applyFill="1" applyBorder="1" applyAlignment="1">
      <alignment horizontal="left"/>
    </xf>
    <xf numFmtId="0" fontId="0" fillId="0" borderId="12" xfId="1087" applyFont="1" applyFill="1" applyBorder="1" applyAlignment="1"/>
    <xf numFmtId="0" fontId="0" fillId="0" borderId="16" xfId="0" applyFont="1" applyFill="1" applyBorder="1" applyAlignment="1">
      <alignment vertical="top"/>
    </xf>
    <xf numFmtId="0" fontId="37" fillId="0" borderId="0" xfId="1087" applyFont="1" applyFill="1" applyBorder="1"/>
    <xf numFmtId="0" fontId="0" fillId="0" borderId="17" xfId="0" applyFont="1" applyFill="1" applyBorder="1" applyAlignment="1"/>
    <xf numFmtId="0" fontId="0" fillId="0" borderId="18" xfId="0" applyFont="1" applyFill="1" applyBorder="1" applyAlignment="1"/>
    <xf numFmtId="0" fontId="37" fillId="0" borderId="17" xfId="0" applyFont="1" applyFill="1" applyBorder="1" applyAlignment="1"/>
    <xf numFmtId="0" fontId="0" fillId="0" borderId="19" xfId="1087" applyFont="1" applyFill="1" applyBorder="1" applyAlignment="1"/>
    <xf numFmtId="0" fontId="0" fillId="0" borderId="19" xfId="0" applyFont="1" applyFill="1" applyBorder="1" applyAlignment="1">
      <alignment horizontal="center"/>
    </xf>
    <xf numFmtId="0" fontId="37" fillId="0" borderId="17" xfId="1087" applyFont="1" applyFill="1" applyBorder="1"/>
    <xf numFmtId="0" fontId="31" fillId="0" borderId="12" xfId="1087" applyFont="1" applyFill="1" applyBorder="1" applyAlignment="1">
      <alignment horizontal="center" vertical="center"/>
    </xf>
    <xf numFmtId="0" fontId="31" fillId="0" borderId="0" xfId="1087" applyFont="1" applyFill="1" applyBorder="1" applyAlignment="1">
      <alignment horizontal="center" vertical="center"/>
    </xf>
    <xf numFmtId="0" fontId="48" fillId="0" borderId="13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 wrapText="1" shrinkToFit="1"/>
    </xf>
    <xf numFmtId="0" fontId="1" fillId="0" borderId="0" xfId="0" applyFont="1" applyFill="1" applyBorder="1" applyAlignment="1">
      <alignment horizontal="center" vertical="center" wrapText="1" shrinkToFit="1"/>
    </xf>
    <xf numFmtId="190" fontId="1" fillId="0" borderId="0" xfId="0" applyNumberFormat="1" applyFont="1" applyFill="1" applyBorder="1" applyAlignment="1">
      <alignment horizontal="center" vertical="center" wrapText="1" shrinkToFit="1"/>
    </xf>
    <xf numFmtId="194" fontId="1" fillId="0" borderId="0" xfId="0" applyNumberFormat="1" applyFont="1" applyFill="1" applyBorder="1" applyAlignment="1">
      <alignment horizontal="center" vertical="center" wrapText="1" shrinkToFit="1"/>
    </xf>
    <xf numFmtId="0" fontId="1" fillId="0" borderId="0" xfId="0" applyNumberFormat="1" applyFont="1" applyFill="1" applyBorder="1" applyAlignment="1">
      <alignment horizontal="center" vertical="center" wrapText="1" shrinkToFit="1"/>
    </xf>
    <xf numFmtId="0" fontId="28" fillId="0" borderId="0" xfId="0" applyFont="1" applyFill="1" applyBorder="1" applyAlignment="1">
      <alignment horizontal="center" vertical="center" wrapText="1" shrinkToFit="1"/>
    </xf>
    <xf numFmtId="190" fontId="28" fillId="0" borderId="0" xfId="0" applyNumberFormat="1" applyFont="1" applyFill="1" applyBorder="1" applyAlignment="1">
      <alignment horizontal="center" vertical="center" wrapText="1" shrinkToFit="1"/>
    </xf>
    <xf numFmtId="194" fontId="28" fillId="0" borderId="0" xfId="0" applyNumberFormat="1" applyFont="1" applyFill="1" applyBorder="1" applyAlignment="1">
      <alignment horizontal="center" vertical="center" wrapText="1" shrinkToFit="1"/>
    </xf>
    <xf numFmtId="0" fontId="28" fillId="0" borderId="0" xfId="0" applyNumberFormat="1" applyFont="1" applyFill="1" applyBorder="1" applyAlignment="1">
      <alignment horizontal="center" vertical="center" wrapText="1" shrinkToFit="1"/>
    </xf>
    <xf numFmtId="0" fontId="1" fillId="0" borderId="20" xfId="1087" applyFont="1" applyFill="1" applyBorder="1"/>
    <xf numFmtId="0" fontId="1" fillId="0" borderId="21" xfId="1087" applyFont="1" applyFill="1" applyBorder="1"/>
    <xf numFmtId="193" fontId="43" fillId="0" borderId="21" xfId="1087" applyNumberFormat="1" applyFont="1" applyFill="1" applyBorder="1" applyAlignment="1">
      <alignment horizontal="center"/>
    </xf>
    <xf numFmtId="0" fontId="43" fillId="0" borderId="21" xfId="1087" applyFont="1" applyFill="1" applyBorder="1"/>
    <xf numFmtId="194" fontId="43" fillId="0" borderId="21" xfId="1087" applyNumberFormat="1" applyFont="1" applyFill="1" applyBorder="1" applyAlignment="1">
      <alignment horizontal="center"/>
    </xf>
    <xf numFmtId="0" fontId="127" fillId="0" borderId="15" xfId="0" applyFont="1" applyFill="1" applyBorder="1" applyAlignment="1">
      <alignment vertical="center"/>
    </xf>
    <xf numFmtId="0" fontId="20" fillId="0" borderId="16" xfId="0" applyFont="1" applyFill="1" applyBorder="1" applyAlignment="1"/>
    <xf numFmtId="0" fontId="20" fillId="0" borderId="18" xfId="0" applyFont="1" applyFill="1" applyBorder="1" applyAlignment="1">
      <alignment vertical="center"/>
    </xf>
    <xf numFmtId="0" fontId="49" fillId="0" borderId="19" xfId="0" applyFont="1" applyFill="1" applyBorder="1" applyAlignment="1">
      <alignment vertical="center"/>
    </xf>
    <xf numFmtId="0" fontId="20" fillId="0" borderId="13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0" fillId="0" borderId="16" xfId="0" applyFont="1" applyFill="1" applyBorder="1" applyAlignment="1">
      <alignment vertical="center"/>
    </xf>
    <xf numFmtId="0" fontId="49" fillId="0" borderId="0" xfId="0" applyFont="1" applyFill="1" applyBorder="1" applyAlignment="1">
      <alignment vertical="center"/>
    </xf>
    <xf numFmtId="0" fontId="49" fillId="0" borderId="16" xfId="0" applyFont="1" applyFill="1" applyBorder="1" applyAlignment="1">
      <alignment vertical="center"/>
    </xf>
    <xf numFmtId="0" fontId="124" fillId="0" borderId="18" xfId="1088" applyFont="1" applyFill="1" applyBorder="1"/>
    <xf numFmtId="0" fontId="20" fillId="0" borderId="13" xfId="0" applyFont="1" applyFill="1" applyBorder="1" applyAlignment="1"/>
    <xf numFmtId="0" fontId="20" fillId="0" borderId="18" xfId="0" applyFont="1" applyFill="1" applyBorder="1" applyAlignment="1"/>
    <xf numFmtId="0" fontId="50" fillId="0" borderId="13" xfId="0" applyFont="1" applyFill="1" applyBorder="1" applyAlignment="1">
      <alignment horizontal="center" vertical="center"/>
    </xf>
    <xf numFmtId="0" fontId="50" fillId="0" borderId="13" xfId="0" applyFont="1" applyFill="1" applyBorder="1" applyAlignment="1">
      <alignment wrapText="1"/>
    </xf>
    <xf numFmtId="0" fontId="48" fillId="0" borderId="15" xfId="0" applyFont="1" applyFill="1" applyBorder="1" applyAlignment="1">
      <alignment horizontal="center" vertical="center" wrapText="1"/>
    </xf>
    <xf numFmtId="191" fontId="1" fillId="0" borderId="0" xfId="0" applyNumberFormat="1" applyFont="1" applyFill="1" applyBorder="1" applyAlignment="1">
      <alignment horizontal="center" vertical="center" wrapText="1" shrinkToFit="1"/>
    </xf>
    <xf numFmtId="0" fontId="46" fillId="0" borderId="0" xfId="0" applyFont="1" applyFill="1" applyBorder="1" applyAlignment="1">
      <alignment horizontal="center" vertical="center" wrapText="1" shrinkToFit="1"/>
    </xf>
    <xf numFmtId="0" fontId="28" fillId="0" borderId="16" xfId="0" applyFont="1" applyFill="1" applyBorder="1" applyAlignment="1">
      <alignment horizontal="center" vertical="center" wrapText="1" shrinkToFit="1"/>
    </xf>
    <xf numFmtId="191" fontId="28" fillId="0" borderId="0" xfId="0" applyNumberFormat="1" applyFont="1" applyFill="1" applyBorder="1" applyAlignment="1">
      <alignment horizontal="center" vertical="center" wrapText="1" shrinkToFit="1"/>
    </xf>
    <xf numFmtId="195" fontId="43" fillId="0" borderId="21" xfId="1087" applyNumberFormat="1" applyFont="1" applyFill="1" applyBorder="1" applyAlignment="1">
      <alignment horizontal="center"/>
    </xf>
    <xf numFmtId="0" fontId="2" fillId="0" borderId="18" xfId="0" applyFont="1" applyFill="1" applyBorder="1" applyAlignment="1"/>
    <xf numFmtId="191" fontId="43" fillId="0" borderId="30" xfId="1087" applyNumberFormat="1" applyFont="1" applyFill="1" applyBorder="1" applyAlignment="1">
      <alignment horizontal="center"/>
    </xf>
    <xf numFmtId="1" fontId="51" fillId="0" borderId="0" xfId="1078" applyNumberFormat="1" applyFont="1" applyFill="1" applyBorder="1" applyAlignment="1">
      <alignment horizontal="left"/>
    </xf>
    <xf numFmtId="196" fontId="52" fillId="0" borderId="28" xfId="1070" applyNumberFormat="1" applyFont="1" applyFill="1" applyBorder="1" applyAlignment="1">
      <alignment horizontal="left" vertical="center"/>
    </xf>
    <xf numFmtId="197" fontId="53" fillId="0" borderId="28" xfId="1078" applyNumberFormat="1" applyFont="1" applyFill="1" applyBorder="1"/>
    <xf numFmtId="0" fontId="47" fillId="0" borderId="17" xfId="1087" applyFont="1" applyFill="1" applyBorder="1" applyAlignment="1">
      <alignment horizontal="center"/>
    </xf>
    <xf numFmtId="0" fontId="47" fillId="0" borderId="18" xfId="1087" applyFont="1" applyFill="1" applyBorder="1" applyAlignment="1">
      <alignment horizontal="center"/>
    </xf>
    <xf numFmtId="0" fontId="47" fillId="0" borderId="19" xfId="1087" applyFont="1" applyFill="1" applyBorder="1" applyAlignment="1">
      <alignment horizontal="center"/>
    </xf>
    <xf numFmtId="0" fontId="0" fillId="0" borderId="12" xfId="1087" applyFont="1" applyFill="1" applyBorder="1" applyAlignment="1">
      <alignment horizontal="center"/>
    </xf>
    <xf numFmtId="0" fontId="0" fillId="0" borderId="0" xfId="1087" applyFont="1" applyFill="1" applyBorder="1" applyAlignment="1">
      <alignment horizontal="center"/>
    </xf>
    <xf numFmtId="0" fontId="0" fillId="0" borderId="12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16" xfId="0" applyFont="1" applyFill="1" applyBorder="1" applyAlignment="1">
      <alignment horizontal="left" vertical="top" wrapText="1"/>
    </xf>
    <xf numFmtId="0" fontId="0" fillId="0" borderId="17" xfId="1088" applyFont="1" applyFill="1" applyBorder="1" applyAlignment="1">
      <alignment horizontal="left" wrapText="1"/>
    </xf>
    <xf numFmtId="0" fontId="0" fillId="0" borderId="18" xfId="1088" applyFont="1" applyFill="1" applyBorder="1" applyAlignment="1">
      <alignment horizontal="left" wrapText="1"/>
    </xf>
    <xf numFmtId="0" fontId="0" fillId="0" borderId="19" xfId="1088" applyFont="1" applyFill="1" applyBorder="1" applyAlignment="1">
      <alignment horizontal="left" wrapText="1"/>
    </xf>
    <xf numFmtId="0" fontId="0" fillId="0" borderId="12" xfId="0" applyFont="1" applyFill="1" applyBorder="1" applyAlignment="1">
      <alignment horizontal="left"/>
    </xf>
    <xf numFmtId="0" fontId="0" fillId="0" borderId="16" xfId="0" applyFont="1" applyFill="1" applyBorder="1" applyAlignment="1">
      <alignment horizontal="left"/>
    </xf>
    <xf numFmtId="189" fontId="0" fillId="0" borderId="17" xfId="0" applyNumberFormat="1" applyFont="1" applyFill="1" applyBorder="1" applyAlignment="1">
      <alignment horizontal="left"/>
    </xf>
    <xf numFmtId="189" fontId="0" fillId="0" borderId="19" xfId="0" applyNumberFormat="1" applyFont="1" applyFill="1" applyBorder="1" applyAlignment="1">
      <alignment horizontal="left"/>
    </xf>
    <xf numFmtId="0" fontId="1" fillId="0" borderId="21" xfId="1087" applyFont="1" applyFill="1" applyBorder="1" applyAlignment="1">
      <alignment horizontal="left"/>
    </xf>
    <xf numFmtId="0" fontId="0" fillId="0" borderId="12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16" xfId="0" applyFont="1" applyFill="1" applyBorder="1" applyAlignment="1">
      <alignment vertical="top" wrapText="1"/>
    </xf>
    <xf numFmtId="0" fontId="39" fillId="0" borderId="12" xfId="1088" applyFont="1" applyFill="1" applyBorder="1" applyAlignment="1">
      <alignment horizontal="center" vertical="center"/>
    </xf>
    <xf numFmtId="0" fontId="39" fillId="0" borderId="0" xfId="1088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left" vertical="center"/>
    </xf>
    <xf numFmtId="0" fontId="0" fillId="0" borderId="17" xfId="0" applyFont="1" applyFill="1" applyBorder="1" applyAlignment="1">
      <alignment horizontal="left"/>
    </xf>
    <xf numFmtId="0" fontId="0" fillId="0" borderId="18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left"/>
    </xf>
    <xf numFmtId="0" fontId="32" fillId="0" borderId="11" xfId="1087" applyFont="1" applyFill="1" applyBorder="1" applyAlignment="1">
      <alignment horizontal="center" vertical="center"/>
    </xf>
    <xf numFmtId="0" fontId="35" fillId="0" borderId="11" xfId="1087" applyFont="1" applyFill="1" applyBorder="1" applyAlignment="1">
      <alignment horizontal="center" vertical="center"/>
    </xf>
    <xf numFmtId="0" fontId="35" fillId="0" borderId="11" xfId="1087" applyFont="1" applyFill="1" applyBorder="1" applyAlignment="1">
      <alignment vertical="center"/>
    </xf>
    <xf numFmtId="0" fontId="41" fillId="0" borderId="11" xfId="1087" applyFont="1" applyFill="1" applyBorder="1" applyAlignment="1">
      <alignment horizontal="center" vertical="center" wrapText="1"/>
    </xf>
    <xf numFmtId="0" fontId="32" fillId="0" borderId="11" xfId="1088" applyFont="1" applyFill="1" applyBorder="1" applyAlignment="1">
      <alignment horizontal="center" vertical="center"/>
    </xf>
    <xf numFmtId="191" fontId="32" fillId="0" borderId="11" xfId="1088" applyNumberFormat="1" applyFont="1" applyFill="1" applyBorder="1" applyAlignment="1">
      <alignment horizontal="center" vertical="center"/>
    </xf>
    <xf numFmtId="0" fontId="35" fillId="0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45" fillId="0" borderId="27" xfId="0" applyFont="1" applyFill="1" applyBorder="1" applyAlignment="1">
      <alignment horizontal="center" vertical="center" wrapText="1"/>
    </xf>
    <xf numFmtId="0" fontId="45" fillId="0" borderId="24" xfId="0" applyFont="1" applyFill="1" applyBorder="1" applyAlignment="1">
      <alignment horizontal="center" vertical="center" wrapText="1"/>
    </xf>
    <xf numFmtId="0" fontId="0" fillId="0" borderId="12" xfId="1087" applyFont="1" applyFill="1" applyBorder="1" applyAlignment="1">
      <alignment horizontal="left" vertical="top" wrapText="1"/>
    </xf>
    <xf numFmtId="0" fontId="0" fillId="0" borderId="0" xfId="1087" applyFont="1" applyFill="1" applyBorder="1" applyAlignment="1">
      <alignment horizontal="left" vertical="top" wrapText="1"/>
    </xf>
    <xf numFmtId="0" fontId="0" fillId="0" borderId="16" xfId="1087" applyFont="1" applyFill="1" applyBorder="1" applyAlignment="1">
      <alignment horizontal="left" vertical="top" wrapText="1"/>
    </xf>
    <xf numFmtId="0" fontId="29" fillId="0" borderId="0" xfId="711" applyFont="1" applyFill="1" applyAlignment="1">
      <alignment horizontal="center"/>
    </xf>
    <xf numFmtId="0" fontId="30" fillId="0" borderId="0" xfId="711" applyFont="1" applyFill="1" applyAlignment="1">
      <alignment horizontal="center"/>
    </xf>
    <xf numFmtId="0" fontId="31" fillId="0" borderId="0" xfId="711" applyFont="1" applyFill="1" applyAlignment="1">
      <alignment horizontal="center" vertical="center"/>
    </xf>
    <xf numFmtId="0" fontId="0" fillId="0" borderId="0" xfId="711" applyFont="1" applyFill="1" applyAlignment="1">
      <alignment horizontal="center" vertical="center"/>
    </xf>
    <xf numFmtId="0" fontId="32" fillId="0" borderId="20" xfId="132" applyFont="1" applyFill="1" applyBorder="1" applyAlignment="1">
      <alignment horizontal="center" vertical="center"/>
    </xf>
    <xf numFmtId="0" fontId="0" fillId="0" borderId="22" xfId="711" applyFont="1" applyFill="1" applyBorder="1" applyAlignment="1">
      <alignment horizontal="center" vertical="center"/>
    </xf>
    <xf numFmtId="0" fontId="0" fillId="0" borderId="20" xfId="132" applyFont="1" applyFill="1" applyBorder="1" applyAlignment="1">
      <alignment horizontal="center" vertical="center"/>
    </xf>
    <xf numFmtId="0" fontId="32" fillId="0" borderId="22" xfId="132" applyFont="1" applyFill="1" applyBorder="1" applyAlignment="1">
      <alignment horizontal="center" vertical="center"/>
    </xf>
    <xf numFmtId="0" fontId="0" fillId="0" borderId="22" xfId="132" applyFont="1" applyFill="1" applyBorder="1" applyAlignment="1">
      <alignment horizontal="center" vertical="center"/>
    </xf>
    <xf numFmtId="0" fontId="35" fillId="0" borderId="20" xfId="711" applyFont="1" applyFill="1" applyBorder="1" applyAlignment="1">
      <alignment horizontal="center" vertical="center"/>
    </xf>
    <xf numFmtId="0" fontId="35" fillId="0" borderId="22" xfId="711" applyFont="1" applyFill="1" applyBorder="1" applyAlignment="1">
      <alignment horizontal="center" vertical="center"/>
    </xf>
    <xf numFmtId="0" fontId="118" fillId="0" borderId="20" xfId="0" applyFont="1" applyFill="1" applyBorder="1" applyAlignment="1">
      <alignment horizontal="center" vertical="center" wrapText="1"/>
    </xf>
    <xf numFmtId="0" fontId="118" fillId="0" borderId="21" xfId="0" applyFont="1" applyFill="1" applyBorder="1" applyAlignment="1">
      <alignment horizontal="center" vertical="center" wrapText="1"/>
    </xf>
    <xf numFmtId="0" fontId="118" fillId="0" borderId="22" xfId="0" applyFont="1" applyFill="1" applyBorder="1" applyAlignment="1">
      <alignment horizontal="center" vertical="center" wrapText="1"/>
    </xf>
    <xf numFmtId="0" fontId="121" fillId="24" borderId="12" xfId="0" applyFont="1" applyFill="1" applyBorder="1" applyAlignment="1">
      <alignment horizontal="left" vertical="center"/>
    </xf>
    <xf numFmtId="0" fontId="121" fillId="24" borderId="0" xfId="0" applyFont="1" applyFill="1" applyBorder="1" applyAlignment="1">
      <alignment horizontal="left" vertical="center"/>
    </xf>
    <xf numFmtId="189" fontId="119" fillId="0" borderId="15" xfId="0" applyNumberFormat="1" applyFont="1" applyFill="1" applyBorder="1" applyAlignment="1">
      <alignment horizontal="left" vertical="center"/>
    </xf>
    <xf numFmtId="189" fontId="119" fillId="0" borderId="16" xfId="0" applyNumberFormat="1" applyFont="1" applyFill="1" applyBorder="1" applyAlignment="1">
      <alignment horizontal="left" vertical="center"/>
    </xf>
    <xf numFmtId="189" fontId="119" fillId="0" borderId="19" xfId="0" applyNumberFormat="1" applyFont="1" applyFill="1" applyBorder="1" applyAlignment="1">
      <alignment horizontal="left" vertical="center"/>
    </xf>
    <xf numFmtId="0" fontId="117" fillId="0" borderId="14" xfId="0" applyFont="1" applyFill="1" applyBorder="1" applyAlignment="1">
      <alignment horizontal="center" vertical="center" wrapText="1"/>
    </xf>
    <xf numFmtId="0" fontId="117" fillId="0" borderId="13" xfId="0" applyFont="1" applyFill="1" applyBorder="1" applyAlignment="1">
      <alignment horizontal="center" vertical="center" wrapText="1"/>
    </xf>
    <xf numFmtId="0" fontId="117" fillId="0" borderId="15" xfId="0" applyFont="1" applyFill="1" applyBorder="1" applyAlignment="1">
      <alignment horizontal="center" vertical="center" wrapText="1"/>
    </xf>
    <xf numFmtId="0" fontId="117" fillId="0" borderId="12" xfId="0" applyFont="1" applyFill="1" applyBorder="1" applyAlignment="1">
      <alignment horizontal="center" vertical="center" wrapText="1"/>
    </xf>
    <xf numFmtId="0" fontId="117" fillId="0" borderId="0" xfId="0" applyFont="1" applyFill="1" applyBorder="1" applyAlignment="1">
      <alignment horizontal="center" vertical="center" wrapText="1"/>
    </xf>
    <xf numFmtId="0" fontId="117" fillId="0" borderId="16" xfId="0" applyFont="1" applyFill="1" applyBorder="1" applyAlignment="1">
      <alignment horizontal="center" vertical="center" wrapText="1"/>
    </xf>
    <xf numFmtId="0" fontId="117" fillId="0" borderId="17" xfId="0" applyFont="1" applyFill="1" applyBorder="1" applyAlignment="1">
      <alignment horizontal="center" vertical="center" wrapText="1"/>
    </xf>
    <xf numFmtId="0" fontId="117" fillId="0" borderId="18" xfId="0" applyFont="1" applyFill="1" applyBorder="1" applyAlignment="1">
      <alignment horizontal="center" vertical="center" wrapText="1"/>
    </xf>
    <xf numFmtId="0" fontId="117" fillId="0" borderId="19" xfId="0" applyFont="1" applyFill="1" applyBorder="1" applyAlignment="1">
      <alignment horizontal="center" vertical="center" wrapText="1"/>
    </xf>
    <xf numFmtId="0" fontId="119" fillId="0" borderId="14" xfId="0" applyFont="1" applyFill="1" applyBorder="1" applyAlignment="1">
      <alignment horizontal="left" vertical="center"/>
    </xf>
    <xf numFmtId="0" fontId="119" fillId="0" borderId="13" xfId="0" applyFont="1" applyFill="1" applyBorder="1" applyAlignment="1">
      <alignment horizontal="left" vertical="center"/>
    </xf>
    <xf numFmtId="0" fontId="119" fillId="0" borderId="12" xfId="0" applyFont="1" applyFill="1" applyBorder="1" applyAlignment="1">
      <alignment horizontal="left" vertical="center"/>
    </xf>
    <xf numFmtId="0" fontId="119" fillId="0" borderId="0" xfId="0" applyFont="1" applyFill="1" applyAlignment="1">
      <alignment horizontal="left" vertical="center"/>
    </xf>
    <xf numFmtId="0" fontId="119" fillId="0" borderId="17" xfId="0" applyFont="1" applyFill="1" applyBorder="1" applyAlignment="1">
      <alignment horizontal="left" vertical="center"/>
    </xf>
    <xf numFmtId="0" fontId="119" fillId="0" borderId="18" xfId="0" applyFont="1" applyFill="1" applyBorder="1" applyAlignment="1">
      <alignment horizontal="left" vertical="center"/>
    </xf>
    <xf numFmtId="0" fontId="119" fillId="0" borderId="13" xfId="0" applyFont="1" applyFill="1" applyBorder="1" applyAlignment="1">
      <alignment horizontal="right" vertical="center"/>
    </xf>
    <xf numFmtId="0" fontId="119" fillId="0" borderId="0" xfId="0" applyFont="1" applyFill="1" applyAlignment="1">
      <alignment horizontal="right" vertical="center"/>
    </xf>
    <xf numFmtId="0" fontId="119" fillId="0" borderId="18" xfId="0" applyFont="1" applyFill="1" applyBorder="1" applyAlignment="1">
      <alignment horizontal="right" vertical="center"/>
    </xf>
    <xf numFmtId="0" fontId="17" fillId="0" borderId="0" xfId="1078" applyFont="1" applyBorder="1" applyAlignment="1">
      <alignment horizontal="center" vertical="center"/>
    </xf>
    <xf numFmtId="0" fontId="106" fillId="23" borderId="12" xfId="1078" applyFont="1" applyFill="1" applyBorder="1" applyAlignment="1">
      <alignment horizontal="left" vertical="top" wrapText="1"/>
    </xf>
    <xf numFmtId="0" fontId="106" fillId="23" borderId="0" xfId="1078" applyFont="1" applyFill="1" applyBorder="1" applyAlignment="1">
      <alignment horizontal="left" vertical="top" wrapText="1"/>
    </xf>
    <xf numFmtId="0" fontId="2" fillId="0" borderId="0" xfId="134" applyFont="1" applyFill="1" applyBorder="1" applyAlignment="1">
      <alignment horizontal="left" vertical="top" wrapText="1"/>
    </xf>
    <xf numFmtId="0" fontId="2" fillId="23" borderId="13" xfId="134" applyFont="1" applyFill="1" applyBorder="1" applyAlignment="1">
      <alignment horizontal="left" vertical="top" wrapText="1"/>
    </xf>
    <xf numFmtId="0" fontId="2" fillId="23" borderId="0" xfId="134" applyFont="1" applyFill="1" applyBorder="1" applyAlignment="1">
      <alignment horizontal="left" vertical="top" wrapText="1"/>
    </xf>
  </cellXfs>
  <cellStyles count="1090">
    <cellStyle name="_x000a_386grabber=V" xfId="80" xr:uid="{FAB6DDE9-92AE-4A8F-ABF3-F020C3E2DBAE}"/>
    <cellStyle name="_1SerNet SAMPLE" xfId="89" xr:uid="{1FBFCCD9-46C3-401F-A772-3778867CF429}"/>
    <cellStyle name="_Book3" xfId="94" xr:uid="{A1EB9F38-FE4E-48EB-992D-4C83A18A2870}"/>
    <cellStyle name="_ET_STYLE_NoName_00_" xfId="81" xr:uid="{6135B93B-46B4-4CF2-AAE1-E401CD3C24F5}"/>
    <cellStyle name="20% - 强调文字颜色 1 2" xfId="9" xr:uid="{E94D2968-603F-47E2-9DC5-E8AEBC8F45FC}"/>
    <cellStyle name="20% - 强调文字颜色 2 2" xfId="97" xr:uid="{B2A2AE4D-9846-4054-9551-67CFE8D63C85}"/>
    <cellStyle name="20% - 强调文字颜色 3 2" xfId="100" xr:uid="{89C3660F-35B8-4112-B7C5-D5AF18C8ADC3}"/>
    <cellStyle name="20% - 强调文字颜色 4 2" xfId="103" xr:uid="{6AF62593-135E-44F3-8FB3-FA4F97425859}"/>
    <cellStyle name="20% - 强调文字颜色 5 2" xfId="107" xr:uid="{33F590EE-1B15-41C0-A784-296225183F86}"/>
    <cellStyle name="20% - 强调文字颜色 6 2" xfId="90" xr:uid="{B0481673-0C02-4F53-9E13-22BEBDA6FB9E}"/>
    <cellStyle name="40% - 强调文字颜色 1 2" xfId="82" xr:uid="{60883939-85AF-406E-AF5E-ECDB16D07E20}"/>
    <cellStyle name="40% - 强调文字颜色 2 2" xfId="86" xr:uid="{C36BBC9D-0BB4-4B39-9D44-38CB69E7F0D4}"/>
    <cellStyle name="40% - 强调文字颜色 3 2" xfId="109" xr:uid="{3BAAE45F-8367-4ABF-B682-8CAA99511A21}"/>
    <cellStyle name="40% - 强调文字颜色 4 2" xfId="45" xr:uid="{D631FCF6-2F9F-442F-8FDF-05161F3560A1}"/>
    <cellStyle name="40% - 强调文字颜色 5 2" xfId="87" xr:uid="{3D3F4D17-560A-48A0-A294-CCD302941A37}"/>
    <cellStyle name="40% - 强调文字颜色 6 2" xfId="88" xr:uid="{0615B19A-5F13-4694-A47F-AF359C3331F9}"/>
    <cellStyle name="60% - 强调文字颜色 1 2" xfId="110" xr:uid="{3C69C3B1-1894-4149-831E-969165439E67}"/>
    <cellStyle name="60% - 强调文字颜色 2 2" xfId="117" xr:uid="{482875CA-316D-4E9E-A708-47E04C8FA80A}"/>
    <cellStyle name="60% - 强调文字颜色 3 2" xfId="119" xr:uid="{E9F2B124-0E6E-4609-8C87-6E5C0AF2F44F}"/>
    <cellStyle name="60% - 强调文字颜色 4 2" xfId="122" xr:uid="{607A8FDC-84EE-4733-A261-7C11B7146319}"/>
    <cellStyle name="60% - 强调文字颜色 5 2" xfId="126" xr:uid="{3E9C9E9A-9179-47D0-8D79-A0526260D808}"/>
    <cellStyle name="60% - 强调文字颜色 6 2" xfId="127" xr:uid="{04BE547A-035B-41F1-8CBB-1E99DCB0D6E7}"/>
    <cellStyle name="AutoFormat Options" xfId="129" xr:uid="{90E432F0-44BD-47D0-9573-5C213C3706CD}"/>
    <cellStyle name="Norm੎੎" xfId="131" xr:uid="{60A0C752-F656-43F8-8CE1-9AC4CE3F2CD6}"/>
    <cellStyle name="Normal_Sheet1" xfId="132" xr:uid="{9888727D-406F-43B9-8129-0CB8A27F32D3}"/>
    <cellStyle name="Normal_供應商 Carton Label Format" xfId="134" xr:uid="{1AE8F443-696D-4562-A203-2306DA48625D}"/>
    <cellStyle name="SAPBEXstdData" xfId="136" xr:uid="{3B19839B-2E03-4E9C-A446-4D6DC4260CC8}"/>
    <cellStyle name="SAPBEXstdItem" xfId="64" xr:uid="{8DAA7601-A19C-4E92-8C57-9537127CEB5A}"/>
    <cellStyle name="一般" xfId="0" builtinId="0"/>
    <cellStyle name="一般 112" xfId="975" xr:uid="{56814F75-BEBE-4D21-8E1C-EE24985B531A}"/>
    <cellStyle name="一般 126" xfId="1027" xr:uid="{7D060A95-7B7C-485D-819B-5DEE5D83999F}"/>
    <cellStyle name="一般 128" xfId="1077" xr:uid="{776CD505-80A2-4B5A-B164-3DDFD26444DE}"/>
    <cellStyle name="一般 17" xfId="828" xr:uid="{2EECC408-9837-45D3-8E13-80D4A1E203DD}"/>
    <cellStyle name="一般 2" xfId="1078" xr:uid="{F1AE0048-10C6-4F43-98DA-1E3F91B5638C}"/>
    <cellStyle name="一般 2 2" xfId="1079" xr:uid="{54464161-FD0D-4F57-872C-BBD223E0046C}"/>
    <cellStyle name="一般 3" xfId="1080" xr:uid="{9E9A394C-ADD8-4FD2-9863-08D117DF7B97}"/>
    <cellStyle name="一般 30" xfId="1081" xr:uid="{F45B158F-C83A-4C13-AC8C-4A346318262D}"/>
    <cellStyle name="一般 4" xfId="1082" xr:uid="{02F252F7-97A0-483A-8DC5-DE0988AA2389}"/>
    <cellStyle name="一般 5" xfId="534" xr:uid="{A114EDD9-4A21-4D52-A707-90B664688561}"/>
    <cellStyle name="一般 6" xfId="1083" xr:uid="{C587012E-2DAC-4008-8AB0-AC68F6994B4C}"/>
    <cellStyle name="一般 7" xfId="1084" xr:uid="{C683496A-E137-46B5-A2DB-726034734D1C}"/>
    <cellStyle name="一般 77" xfId="304" xr:uid="{14B471FE-0698-4A25-959F-C6E17F4DD9FE}"/>
    <cellStyle name="一般 79" xfId="1085" xr:uid="{78185990-F38F-4B16-AE0F-FF2AE8C427AB}"/>
    <cellStyle name="一般 8" xfId="693" xr:uid="{D06AD43F-072B-49B8-974E-7C8319A101E4}"/>
    <cellStyle name="一般 80" xfId="1086" xr:uid="{9641524E-6035-4B94-A0A4-2CF207932C6E}"/>
    <cellStyle name="一般 81" xfId="923" xr:uid="{F363D9A0-E629-4E55-A59B-3CB45CB7A77E}"/>
    <cellStyle name="一般_OMRON" xfId="1087" xr:uid="{1B66DC40-3C2D-4235-869F-B5AE2E9DC439}"/>
    <cellStyle name="一般_OMRON海運出口" xfId="1088" xr:uid="{4F0D57F3-A06B-4393-9F64-EB46F0536C09}"/>
    <cellStyle name="千分位 2" xfId="1070" xr:uid="{743F1D38-9488-4387-A539-0898CCF57692}"/>
    <cellStyle name="计算 2" xfId="1067" xr:uid="{87FAE012-44BF-430D-8C06-CD3DA78E67D6}"/>
    <cellStyle name="汇总 2" xfId="628" xr:uid="{9DCA07FA-37CF-4E67-8D24-7F689CEE00F9}"/>
    <cellStyle name="好 2" xfId="715" xr:uid="{9A99E1A3-19F5-45A2-BB77-A8F7BA5B30AA}"/>
    <cellStyle name="好_1SerNet SAMPLE" xfId="717" xr:uid="{FBAFA389-2E08-41BB-8286-3FE1B92B1552}"/>
    <cellStyle name="好_2015新版陆运托书" xfId="719" xr:uid="{58F12733-84DD-42CF-A6AD-356A1B7E4B72}"/>
    <cellStyle name="好_2015新版陆运托书_A1040420--中怡fiona " xfId="593" xr:uid="{CF3309CC-70EF-4759-BA07-648A6682DC27}"/>
    <cellStyle name="好_2015新版陆运托书_A1040428--中怡fiona " xfId="721" xr:uid="{319057B1-9BEC-4032-828D-EE6C86B8036E}"/>
    <cellStyle name="好_2015新版陆运托书_A1040428--中怡fiona _A106071403-中怡Daisy" xfId="20" xr:uid="{61D8D9BA-061D-4A7B-BB32-0BC1CEF2C7B3}"/>
    <cellStyle name="好_2015新版陆运托书_A1040428--中怡fiona _CONTRACT " xfId="722" xr:uid="{4ACC1744-9C01-4B60-A9F3-6EC595E924A6}"/>
    <cellStyle name="好_2015新版陆运托书_A1040428--中怡fiona _CONTRACT _1" xfId="724" xr:uid="{7CFFE3EE-249F-42FF-8E21-7CE4431F236F}"/>
    <cellStyle name="好_2015新版陆运托书_A1040428--中怡fiona _CONTRACT _CONTRACT " xfId="726" xr:uid="{BC5DBBEF-216A-44DF-9D3C-71BE6FAEBD30}"/>
    <cellStyle name="好_2015新版陆运托书_A1040428--中怡fiona _CONTRACT _Invoice" xfId="729" xr:uid="{AA60038E-5542-4EB6-BD25-F54BB52F2D8D}"/>
    <cellStyle name="好_2015新版陆运托书_A1040428--中怡fiona _Invoice" xfId="643" xr:uid="{91153881-1968-4199-A39D-231FE9FF8561}"/>
    <cellStyle name="好_2015新版陆运托书_A1040428--中怡fiona _Invoice_1" xfId="687" xr:uid="{CCB678B5-33A5-40B4-8AD8-619E28F8CE45}"/>
    <cellStyle name="好_2015新版陆运托书_A1040428--中怡fiona _Invoice_CONTRACT " xfId="398" xr:uid="{96AA4630-485F-43EE-8F56-EBE9BE4ACE85}"/>
    <cellStyle name="好_2015新版陆运托书_A1040428--中怡fiona _Invoice_Invoice" xfId="731" xr:uid="{CE54996A-7076-4211-B896-2C6764B4A353}"/>
    <cellStyle name="好_2015新版陆运托书_A104081801--中怡sly" xfId="732" xr:uid="{515AD832-99C9-4CD3-8262-3E0AB9DC4373}"/>
    <cellStyle name="好_2015新版陆运托书_A104081801--中怡sly_CONTRACT " xfId="10" xr:uid="{3A193233-D3B9-4678-91C4-FD5D968C3CE5}"/>
    <cellStyle name="好_2015新版陆运托书_A104081801--中怡sly_CONTRACT _1" xfId="639" xr:uid="{71E23CBB-7A49-40D6-BF46-589FE0B5E11F}"/>
    <cellStyle name="好_2015新版陆运托书_A104081801--中怡sly_CONTRACT _1_CONTRACT " xfId="471" xr:uid="{F6236304-1554-436C-B275-6B4A2B83B95C}"/>
    <cellStyle name="好_2015新版陆运托书_A104081801--中怡sly_CONTRACT _1_Invoice" xfId="733" xr:uid="{F037FD6B-0AA4-4A10-BE87-58E9B399FCE4}"/>
    <cellStyle name="好_2015新版陆运托书_A104081801--中怡sly_CONTRACT _2" xfId="292" xr:uid="{5AC6C524-DAF8-47EF-B439-534A2ECAC08D}"/>
    <cellStyle name="好_2015新版陆运托书_A104081801--中怡sly_CONTRACT _CONTRACT " xfId="734" xr:uid="{9FE7A5A1-8397-4964-BE40-91F308B300EA}"/>
    <cellStyle name="好_2015新版陆运托书_A104081801--中怡sly_CONTRACT _Invoice" xfId="735" xr:uid="{1C0B2853-367E-4571-93D7-E91C3089AADE}"/>
    <cellStyle name="好_2015新版陆运托书_A104081801--中怡sly_Invoice" xfId="288" xr:uid="{965333C3-E30C-4B68-ABCC-933E2F1845B3}"/>
    <cellStyle name="好_2015新版陆运托书_A104081801--中怡sly_Invoice_1" xfId="85" xr:uid="{6BD67F80-A474-461B-B46A-C6B3ADEAAFD6}"/>
    <cellStyle name="好_2015新版陆运托书_A104081801--中怡sly_Invoice_1_CONTRACT " xfId="737" xr:uid="{D428D624-A5A0-4194-8CE6-59B10AC1CE1E}"/>
    <cellStyle name="好_2015新版陆运托书_A104081801--中怡sly_Invoice_1_Invoice" xfId="738" xr:uid="{5A2FC83C-F615-4D16-8818-5D234955ED78}"/>
    <cellStyle name="好_2015新版陆运托书_A104081801--中怡sly_Invoice_2" xfId="620" xr:uid="{37DD1127-40EB-48DE-9589-6E72BF4CEF3F}"/>
    <cellStyle name="好_2015新版陆运托书_A104081801--中怡sly_Invoice_CONTRACT " xfId="739" xr:uid="{341F61B1-CBCB-4F9B-85DE-92FDB730DD8C}"/>
    <cellStyle name="好_2015新版陆运托书_A104081801--中怡sly_Invoice_Invoice" xfId="740" xr:uid="{37B59C38-F9C5-4016-BEF4-236B80CB6BC9}"/>
    <cellStyle name="好_2015新版陆运托书_A104110201--中怡fiona -出貨注意事項" xfId="741" xr:uid="{865E24AB-2EDD-468E-9AE0-B46F02CC4506}"/>
    <cellStyle name="好_2015新版陆运托书_A104110202--中怡sly" xfId="742" xr:uid="{7C6D3C0E-A433-4E34-8155-C11C63A92B27}"/>
    <cellStyle name="好_2015新版陆运托书_A104110202--中怡sly_CONTRACT " xfId="743" xr:uid="{F496FBA2-13F2-479A-85C1-E6AC23366366}"/>
    <cellStyle name="好_2015新版陆运托书_A104110202--中怡sly_CONTRACT _1" xfId="418" xr:uid="{60619A81-306C-4E58-BFC2-F775A62E9FA9}"/>
    <cellStyle name="好_2015新版陆运托书_A104110202--中怡sly_CONTRACT _1_CONTRACT " xfId="426" xr:uid="{1908CAB4-73A8-41DF-9FAF-9F512088CA5F}"/>
    <cellStyle name="好_2015新版陆运托书_A104110202--中怡sly_CONTRACT _1_Invoice" xfId="745" xr:uid="{62D7CEF8-BC49-4A3F-A73E-1318B612253E}"/>
    <cellStyle name="好_2015新版陆运托书_A104110202--中怡sly_CONTRACT _2" xfId="746" xr:uid="{82951528-D6BA-4488-95A5-CD3D916903DA}"/>
    <cellStyle name="好_2015新版陆运托书_A104110202--中怡sly_CONTRACT _CONTRACT " xfId="183" xr:uid="{DDC83654-6CC7-4E6C-86BB-AA61EF29296D}"/>
    <cellStyle name="好_2015新版陆运托书_A104110202--中怡sly_CONTRACT _Invoice" xfId="504" xr:uid="{D98AE98A-7969-4056-AE35-C9344A6EEA34}"/>
    <cellStyle name="好_2015新版陆运托书_A104110202--中怡sly_Invoice" xfId="747" xr:uid="{8776621B-A323-4240-B972-1555D10F581D}"/>
    <cellStyle name="好_2015新版陆运托书_A104110202--中怡sly_Invoice_1" xfId="266" xr:uid="{9E1558DA-F3FA-49EA-AF33-4AE6C2688BC0}"/>
    <cellStyle name="好_2015新版陆运托书_A104110202--中怡sly_Invoice_1_CONTRACT " xfId="653" xr:uid="{F02D39C7-66CE-49B1-A685-2FA80CB93A88}"/>
    <cellStyle name="好_2015新版陆运托书_A104110202--中怡sly_Invoice_1_Invoice" xfId="657" xr:uid="{09EB07CB-DEA5-4DA1-86FB-8995589640DF}"/>
    <cellStyle name="好_2015新版陆运托书_A104110202--中怡sly_Invoice_2" xfId="749" xr:uid="{9E7C2751-07AB-43E2-B025-88A0969EA7B2}"/>
    <cellStyle name="好_2015新版陆运托书_A104110202--中怡sly_Invoice_CONTRACT " xfId="654" xr:uid="{DE02159D-F616-401E-B386-56309700B254}"/>
    <cellStyle name="好_2015新版陆运托书_A104110202--中怡sly_Invoice_Invoice" xfId="750" xr:uid="{13BE9FE1-94BE-4197-B8A8-D5B7491D3C84}"/>
    <cellStyle name="好_2015新版陆运托书_A106071403-中怡Daisy" xfId="286" xr:uid="{1FE50EE6-2377-4BDA-BB46-63C0E3669C2A}"/>
    <cellStyle name="好_2015新版陆运托书_CONTRACT " xfId="751" xr:uid="{94CA9666-87AC-450F-B557-AA55FF5A68DA}"/>
    <cellStyle name="好_2015新版陆运托书_CONTRACT _1" xfId="752" xr:uid="{6DA15750-76B1-45ED-8D48-D4E41447DA5F}"/>
    <cellStyle name="好_2015新版陆运托书_CONTRACT _CONTRACT " xfId="231" xr:uid="{16806186-D0FD-45B6-8758-620E752BC92C}"/>
    <cellStyle name="好_2015新版陆运托书_CONTRACT _Invoice" xfId="753" xr:uid="{26636428-95D1-4ED2-AF3D-E2E41645F50F}"/>
    <cellStyle name="好_2015新版陆运托书_Invoice" xfId="570" xr:uid="{FDA0160C-1B83-440A-85B3-D8989BDC6022}"/>
    <cellStyle name="好_2015新版陆运托书_Invoice_1" xfId="720" xr:uid="{801E3831-BE62-4530-8B11-E46952A36DAF}"/>
    <cellStyle name="好_2015新版陆运托书_Invoice_CONTRACT " xfId="754" xr:uid="{4CE4320C-1786-4A99-AEAD-8D6A8071C906}"/>
    <cellStyle name="好_2015新版陆运托书_Invoice_Invoice" xfId="636" xr:uid="{5E12E695-0DDA-4C2D-9BA6-9C400A2F0747}"/>
    <cellStyle name="好_5月平衡表A1005_Rev0617(需求量)" xfId="678" xr:uid="{EB105E0D-22E9-4CD6-BDE4-61845070EF11}"/>
    <cellStyle name="好_5月平衡表A1005_Rev0617(需求量)_A103100909---中怡sly" xfId="756" xr:uid="{8D6C206A-E00A-4398-9756-4609268327A3}"/>
    <cellStyle name="好_5月平衡表A1005_Rev0617(需求量)_A103100909---中怡sly_A104110202--中怡sly" xfId="476" xr:uid="{75242833-3824-4FBC-8E1D-59B38EB8839E}"/>
    <cellStyle name="好_5月平衡表A1005_Rev0617(需求量)_A103100909---中怡sly_A104110202--中怡sly_CONTRACT " xfId="375" xr:uid="{9F0503C7-FB8C-4917-B16B-2003232383D3}"/>
    <cellStyle name="好_5月平衡表A1005_Rev0617(需求量)_A103100909---中怡sly_A104110202--中怡sly_CONTRACT _1" xfId="757" xr:uid="{7AA829E9-8BCE-4A58-A748-74E0C41F0A8C}"/>
    <cellStyle name="好_5月平衡表A1005_Rev0617(需求量)_A103100909---中怡sly_A104110202--中怡sly_CONTRACT _1_CONTRACT " xfId="96" xr:uid="{15391DE0-1AD5-46EB-BC87-A3704806A5B1}"/>
    <cellStyle name="好_5月平衡表A1005_Rev0617(需求量)_A103100909---中怡sly_A104110202--中怡sly_CONTRACT _1_Invoice" xfId="2" xr:uid="{1DCDDD30-2771-4BFE-80FB-B3C3B5CDCBB8}"/>
    <cellStyle name="好_5月平衡表A1005_Rev0617(需求量)_A103100909---中怡sly_A104110202--中怡sly_CONTRACT _2" xfId="691" xr:uid="{560B6F4F-FBF2-48D9-8961-93A5F09ED8AA}"/>
    <cellStyle name="好_5月平衡表A1005_Rev0617(需求量)_A103100909---中怡sly_A104110202--中怡sly_CONTRACT _CONTRACT " xfId="379" xr:uid="{AE89DCBF-6D1E-44B5-B579-3223F9060986}"/>
    <cellStyle name="好_5月平衡表A1005_Rev0617(需求量)_A103100909---中怡sly_A104110202--中怡sly_CONTRACT _Invoice" xfId="383" xr:uid="{DE8A3C85-EA24-4C11-9C62-5DBEF8D65124}"/>
    <cellStyle name="好_5月平衡表A1005_Rev0617(需求量)_A103100909---中怡sly_A104110202--中怡sly_Invoice" xfId="712" xr:uid="{ABFF5086-D300-40C7-979B-AD42A0FB9AD1}"/>
    <cellStyle name="好_5月平衡表A1005_Rev0617(需求量)_A103100909---中怡sly_A104110202--中怡sly_Invoice_1" xfId="758" xr:uid="{D2D92F51-CC16-4A45-AA36-9F077DAE7092}"/>
    <cellStyle name="好_5月平衡表A1005_Rev0617(需求量)_A103100909---中怡sly_A104110202--中怡sly_Invoice_1_CONTRACT " xfId="761" xr:uid="{84B30F84-DCFC-4251-8277-7477A2541ADF}"/>
    <cellStyle name="好_5月平衡表A1005_Rev0617(需求量)_A103100909---中怡sly_A104110202--中怡sly_Invoice_1_Invoice" xfId="763" xr:uid="{53AF1879-218E-40C5-87B4-1B0763B0C9C9}"/>
    <cellStyle name="好_5月平衡表A1005_Rev0617(需求量)_A103100909---中怡sly_A104110202--中怡sly_Invoice_2" xfId="765" xr:uid="{77856C27-336E-47CF-AC4F-0018CC9658C9}"/>
    <cellStyle name="好_5月平衡表A1005_Rev0617(需求量)_A103100909---中怡sly_A104110202--中怡sly_Invoice_CONTRACT " xfId="768" xr:uid="{94F97282-FE97-4B42-87FD-BC56F78F3B4A}"/>
    <cellStyle name="好_5月平衡表A1005_Rev0617(需求量)_A103100909---中怡sly_A104110202--中怡sly_Invoice_Invoice" xfId="770" xr:uid="{802A1AAE-0F2C-4EBA-856B-6098594F0BAA}"/>
    <cellStyle name="好_5月平衡表A1005_Rev0617(需求量)_A103100909---中怡sly_A106071403-中怡Daisy" xfId="675" xr:uid="{F8CA7014-1528-4E74-9FF9-3A8BCB2A5C0C}"/>
    <cellStyle name="好_5月平衡表A1005_Rev0617(需求量)_A103100909---中怡sly_CONTRACT " xfId="169" xr:uid="{C87288A2-0A32-426F-A9D1-44289A4A0C9D}"/>
    <cellStyle name="好_5月平衡表A1005_Rev0617(需求量)_A103100909---中怡sly_CONTRACT _1" xfId="772" xr:uid="{D57FF9BC-4C71-4DDD-8A6C-41061AF574EE}"/>
    <cellStyle name="好_5月平衡表A1005_Rev0617(需求量)_A103100909---中怡sly_CONTRACT _CONTRACT " xfId="176" xr:uid="{6528FEB6-9FDC-4086-AA09-0E1D5FC7131B}"/>
    <cellStyle name="好_5月平衡表A1005_Rev0617(需求量)_A103100909---中怡sly_CONTRACT _Invoice" xfId="179" xr:uid="{C351B182-F78F-4430-96D0-41E69F434C77}"/>
    <cellStyle name="好_5月平衡表A1005_Rev0617(需求量)_A103100909---中怡sly_Invoice" xfId="736" xr:uid="{C28FD998-4BDF-4372-8E9C-88DB2709BF22}"/>
    <cellStyle name="好_5月平衡表A1005_Rev0617(需求量)_A103100909---中怡sly_Invoice_1" xfId="775" xr:uid="{D500961B-499B-4A24-8A73-281070A787BD}"/>
    <cellStyle name="好_5月平衡表A1005_Rev0617(需求量)_A103100909---中怡sly_Invoice_CONTRACT " xfId="241" xr:uid="{41F7D7EE-8751-4DA7-8800-2271609284C3}"/>
    <cellStyle name="好_5月平衡表A1005_Rev0617(需求量)_A103100909---中怡sly_Invoice_Invoice" xfId="777" xr:uid="{F5F27F67-F4EB-463A-9A51-92C3BF045B4F}"/>
    <cellStyle name="好_5月平衡表A1005_Rev0617(需求量)_A1040203--中怡Snow" xfId="156" xr:uid="{1C554F1E-B360-4F15-B20B-B95A5F7C168D}"/>
    <cellStyle name="好_5月平衡表A1005_Rev0617(需求量)_A1040203--中怡Snow_A104081801--中怡sly" xfId="778" xr:uid="{EFC0BBF6-D4DF-4103-871D-553D43C865BE}"/>
    <cellStyle name="好_5月平衡表A1005_Rev0617(需求量)_A1040203--中怡Snow_A104081801--中怡sly_CONTRACT " xfId="779" xr:uid="{431A9F86-8F19-4E8F-A621-980FAED7DE14}"/>
    <cellStyle name="好_5月平衡表A1005_Rev0617(需求量)_A1040203--中怡Snow_A104081801--中怡sly_CONTRACT _1" xfId="780" xr:uid="{730BD2FC-635D-49D1-8EF3-491D694B7393}"/>
    <cellStyle name="好_5月平衡表A1005_Rev0617(需求量)_A1040203--中怡Snow_A104081801--中怡sly_CONTRACT _1_CONTRACT " xfId="781" xr:uid="{C419A942-79D3-499C-8833-E0FC335E4996}"/>
    <cellStyle name="好_5月平衡表A1005_Rev0617(需求量)_A1040203--中怡Snow_A104081801--中怡sly_CONTRACT _1_Invoice" xfId="783" xr:uid="{67CA3F1F-108F-435E-9419-2B7EBF7F6C4D}"/>
    <cellStyle name="好_5月平衡表A1005_Rev0617(需求量)_A1040203--中怡Snow_A104081801--中怡sly_CONTRACT _2" xfId="84" xr:uid="{6E4E9ECE-83F9-49B4-BEE5-DC7AAB882FE3}"/>
    <cellStyle name="好_5月平衡表A1005_Rev0617(需求量)_A1040203--中怡Snow_A104081801--中怡sly_CONTRACT _CONTRACT " xfId="545" xr:uid="{469D8ACE-C822-475F-A920-E1AF040BDD61}"/>
    <cellStyle name="好_5月平衡表A1005_Rev0617(需求量)_A1040203--中怡Snow_A104081801--中怡sly_CONTRACT _Invoice" xfId="784" xr:uid="{A2D22D20-696F-4C17-87F2-AA6EA2581FF5}"/>
    <cellStyle name="好_5月平衡表A1005_Rev0617(需求量)_A1040203--中怡Snow_A104081801--中怡sly_Invoice" xfId="785" xr:uid="{A0C2A81C-5B3B-440D-9FEB-A7744A21BDDC}"/>
    <cellStyle name="好_5月平衡表A1005_Rev0617(需求量)_A1040203--中怡Snow_A104081801--中怡sly_Invoice_1" xfId="786" xr:uid="{AD84FFE5-012E-4857-88CC-E0CD709A7B8C}"/>
    <cellStyle name="好_5月平衡表A1005_Rev0617(需求量)_A1040203--中怡Snow_A104081801--中怡sly_Invoice_1_CONTRACT " xfId="788" xr:uid="{F1ACB088-561A-4A99-8970-6690EE0C83AD}"/>
    <cellStyle name="好_5月平衡表A1005_Rev0617(需求量)_A1040203--中怡Snow_A104081801--中怡sly_Invoice_1_Invoice" xfId="748" xr:uid="{3D154AA5-5FE7-4063-8F80-4D7CD5206AFC}"/>
    <cellStyle name="好_5月平衡表A1005_Rev0617(需求量)_A1040203--中怡Snow_A104081801--中怡sly_Invoice_2" xfId="789" xr:uid="{C808DEA7-C766-4F83-947B-9A16C0AF8774}"/>
    <cellStyle name="好_5月平衡表A1005_Rev0617(需求量)_A1040203--中怡Snow_A104081801--中怡sly_Invoice_CONTRACT " xfId="91" xr:uid="{3EEDAA2C-F5B5-42F1-BF54-481A099F2422}"/>
    <cellStyle name="好_5月平衡表A1005_Rev0617(需求量)_A1040203--中怡Snow_A104081801--中怡sly_Invoice_Invoice" xfId="790" xr:uid="{9FFEABC5-2BF8-4C4C-AF94-9DADBB2A9031}"/>
    <cellStyle name="好_5月平衡表A1005_Rev0617(需求量)_A1040203--中怡Snow_A104110202--中怡sly" xfId="163" xr:uid="{6A9A8699-2DC9-4602-89D3-D3648069D53E}"/>
    <cellStyle name="好_5月平衡表A1005_Rev0617(需求量)_A1040203--中怡Snow_A104110202--中怡sly_CONTRACT " xfId="168" xr:uid="{8CF2CF77-8177-454D-BE1A-87952B5C7DAE}"/>
    <cellStyle name="好_5月平衡表A1005_Rev0617(需求量)_A1040203--中怡Snow_A104110202--中怡sly_CONTRACT _1" xfId="173" xr:uid="{FF4E7D6E-8049-490D-A124-4B5A837DF2B4}"/>
    <cellStyle name="好_5月平衡表A1005_Rev0617(需求量)_A1040203--中怡Snow_A104110202--中怡sly_CONTRACT _1_CONTRACT " xfId="175" xr:uid="{9306A630-CDA2-4CA4-80FB-3CED72871AB0}"/>
    <cellStyle name="好_5月平衡表A1005_Rev0617(需求量)_A1040203--中怡Snow_A104110202--中怡sly_CONTRACT _1_Invoice" xfId="184" xr:uid="{B83331C0-7F66-4D9C-96E8-DBC9A5656D0E}"/>
    <cellStyle name="好_5月平衡表A1005_Rev0617(需求量)_A1040203--中怡Snow_A104110202--中怡sly_CONTRACT _2" xfId="191" xr:uid="{3F2EEC19-5C85-42C8-97EF-A29995627A59}"/>
    <cellStyle name="好_5月平衡表A1005_Rev0617(需求量)_A1040203--中怡Snow_A104110202--中怡sly_CONTRACT _CONTRACT " xfId="791" xr:uid="{AE7C088A-ADAB-474C-9B58-4BCB276E3100}"/>
    <cellStyle name="好_5月平衡表A1005_Rev0617(需求量)_A1040203--中怡Snow_A104110202--中怡sly_CONTRACT _Invoice" xfId="690" xr:uid="{655A773F-0109-48ED-A95C-927F1941602C}"/>
    <cellStyle name="好_5月平衡表A1005_Rev0617(需求量)_A1040203--中怡Snow_A104110202--中怡sly_Invoice" xfId="196" xr:uid="{A4E1C96F-DBDE-4797-81F6-50A81407D0FE}"/>
    <cellStyle name="好_5月平衡表A1005_Rev0617(需求量)_A1040203--中怡Snow_A104110202--中怡sly_Invoice_1" xfId="776" xr:uid="{77B8B039-BB4C-428B-BDFD-F5BCC6C5773C}"/>
    <cellStyle name="好_5月平衡表A1005_Rev0617(需求量)_A1040203--中怡Snow_A104110202--中怡sly_Invoice_1_CONTRACT " xfId="201" xr:uid="{8DB3C29E-27DB-48DE-B22A-9C462FC703D7}"/>
    <cellStyle name="好_5月平衡表A1005_Rev0617(需求量)_A1040203--中怡Snow_A104110202--中怡sly_Invoice_1_Invoice" xfId="72" xr:uid="{CAD2DBAA-CF90-4AD6-9F7E-13BD584C0043}"/>
    <cellStyle name="好_5月平衡表A1005_Rev0617(需求量)_A1040203--中怡Snow_A104110202--中怡sly_Invoice_2" xfId="709" xr:uid="{24DD854E-8268-4837-9E5D-FF25AEE7930E}"/>
    <cellStyle name="好_5月平衡表A1005_Rev0617(需求量)_A1040203--中怡Snow_A104110202--中怡sly_Invoice_CONTRACT " xfId="793" xr:uid="{6DB73642-C051-48F2-B930-C24B452EAAF1}"/>
    <cellStyle name="好_5月平衡表A1005_Rev0617(需求量)_A1040203--中怡Snow_A104110202--中怡sly_Invoice_Invoice" xfId="795" xr:uid="{C49C530F-747E-4850-80C5-F6973FCCBED6}"/>
    <cellStyle name="好_5月平衡表A1005_Rev0617(需求量)_A1040203--中怡Snow_A106071403-中怡Daisy" xfId="796" xr:uid="{1CAC6316-56DA-403D-AC30-503FFCE06468}"/>
    <cellStyle name="好_5月平衡表A1005_Rev0617(需求量)_A1040203--中怡Snow_CONTRACT " xfId="798" xr:uid="{DC562299-96CB-41E8-A572-D637BC01E508}"/>
    <cellStyle name="好_5月平衡表A1005_Rev0617(需求量)_A1040203--中怡Snow_CONTRACT _1" xfId="799" xr:uid="{7532CE04-81D1-44C4-B38E-00EE1C795FF1}"/>
    <cellStyle name="好_5月平衡表A1005_Rev0617(需求量)_A1040203--中怡Snow_CONTRACT _CONTRACT " xfId="800" xr:uid="{447F3B43-8E55-4F23-A518-9899A053D52A}"/>
    <cellStyle name="好_5月平衡表A1005_Rev0617(需求量)_A1040203--中怡Snow_CONTRACT _Invoice" xfId="801" xr:uid="{CC5076AD-F9B2-4F3F-BC3E-C849B6DF8616}"/>
    <cellStyle name="好_5月平衡表A1005_Rev0617(需求量)_A1040203--中怡Snow_Invoice" xfId="802" xr:uid="{9DC2E1FC-49F7-4ABD-9425-412CA5ED006B}"/>
    <cellStyle name="好_5月平衡表A1005_Rev0617(需求量)_A1040203--中怡Snow_Invoice_1" xfId="41" xr:uid="{1AD2C606-E896-4E3F-9FC8-1A7647273CFE}"/>
    <cellStyle name="好_5月平衡表A1005_Rev0617(需求量)_A1040203--中怡Snow_Invoice_CONTRACT " xfId="803" xr:uid="{FB8FFDE4-7DDB-4521-89A9-578DB3D8E718}"/>
    <cellStyle name="好_5月平衡表A1005_Rev0617(需求量)_A1040203--中怡Snow_Invoice_Invoice" xfId="218" xr:uid="{41B36DD4-FC6D-4BD7-A2B8-8679F303D022}"/>
    <cellStyle name="好_5月平衡表A1005_Rev0617(需求量)_A1040428--中怡fiona " xfId="125" xr:uid="{FC5097DA-8099-4C2F-A4CE-22C9171E22DB}"/>
    <cellStyle name="好_5月平衡表A1005_Rev0617(需求量)_A1040428--中怡fiona _A106071403-中怡Daisy" xfId="684" xr:uid="{5D2B78A4-12D0-416C-97C9-026A52EAE528}"/>
    <cellStyle name="好_5月平衡表A1005_Rev0617(需求量)_A1040428--中怡fiona _CONTRACT " xfId="689" xr:uid="{4A6AB4E5-A634-4863-90D2-F94AB51454EE}"/>
    <cellStyle name="好_5月平衡表A1005_Rev0617(需求量)_A1040428--中怡fiona _CONTRACT _1" xfId="535" xr:uid="{E9A00050-0FD1-48C4-A9B4-E2D54EB97EEC}"/>
    <cellStyle name="好_5月平衡表A1005_Rev0617(需求量)_A1040428--中怡fiona _CONTRACT _CONTRACT " xfId="38" xr:uid="{1FD70BE7-39EB-4FB5-9DA5-60768D98A3F0}"/>
    <cellStyle name="好_5月平衡表A1005_Rev0617(需求量)_A1040428--中怡fiona _CONTRACT _Invoice" xfId="804" xr:uid="{B6780A9B-7220-422F-84F7-1A9161E38E95}"/>
    <cellStyle name="好_5月平衡表A1005_Rev0617(需求量)_A1040428--中怡fiona _Invoice" xfId="694" xr:uid="{49FFE7D2-5085-4459-904C-D23AA492B63C}"/>
    <cellStyle name="好_5月平衡表A1005_Rev0617(需求量)_A1040428--中怡fiona _Invoice_1" xfId="806" xr:uid="{04452A72-63AE-4BF4-B898-5FC097F78DB1}"/>
    <cellStyle name="好_5月平衡表A1005_Rev0617(需求量)_A1040428--中怡fiona _Invoice_CONTRACT " xfId="809" xr:uid="{C16743CE-6F62-4B4F-B211-66A88848941D}"/>
    <cellStyle name="好_5月平衡表A1005_Rev0617(需求量)_A1040428--中怡fiona _Invoice_Invoice" xfId="810" xr:uid="{B714FCED-88D9-41DF-8842-092C738F3A33}"/>
    <cellStyle name="好_5月平衡表A1005_Rev0617(需求量)_A104110202--中怡sly" xfId="811" xr:uid="{1849A823-8103-4FC0-8E43-91C05DC5E17C}"/>
    <cellStyle name="好_5月平衡表A1005_Rev0617(需求量)_A104110202--中怡sly_CONTRACT " xfId="488" xr:uid="{7010BE83-2A01-4B55-9BEE-3122427945EC}"/>
    <cellStyle name="好_5月平衡表A1005_Rev0617(需求量)_A104110202--中怡sly_CONTRACT _1" xfId="816" xr:uid="{43929E15-D6FC-4F57-9D32-3C5E774BF482}"/>
    <cellStyle name="好_5月平衡表A1005_Rev0617(需求量)_A104110202--中怡sly_CONTRACT _1_CONTRACT " xfId="819" xr:uid="{FA27ACFC-AD6F-48D7-9F74-B4A7403072B1}"/>
    <cellStyle name="好_5月平衡表A1005_Rev0617(需求量)_A104110202--中怡sly_CONTRACT _1_Invoice" xfId="822" xr:uid="{371867E2-3457-4F39-A47D-A9C3DF6E4492}"/>
    <cellStyle name="好_5月平衡表A1005_Rev0617(需求量)_A104110202--中怡sly_CONTRACT _2" xfId="824" xr:uid="{E14DDC45-B865-4184-BA4D-A7F66ED1AA07}"/>
    <cellStyle name="好_5月平衡表A1005_Rev0617(需求量)_A104110202--中怡sly_CONTRACT _CONTRACT " xfId="825" xr:uid="{84A7B54E-1CA9-453E-A8D5-513EE1FD9147}"/>
    <cellStyle name="好_5月平衡表A1005_Rev0617(需求量)_A104110202--中怡sly_CONTRACT _Invoice" xfId="829" xr:uid="{A0BC2F2B-55EE-4830-9939-B5AFC03E4B8C}"/>
    <cellStyle name="好_5月平衡表A1005_Rev0617(需求量)_A104110202--中怡sly_Invoice" xfId="833" xr:uid="{3EFFD165-1CAF-49F4-8464-33C13C3D3EF2}"/>
    <cellStyle name="好_5月平衡表A1005_Rev0617(需求量)_A104110202--中怡sly_Invoice_1" xfId="835" xr:uid="{5DB41159-D350-4348-950A-812AB5FD18E6}"/>
    <cellStyle name="好_5月平衡表A1005_Rev0617(需求量)_A104110202--中怡sly_Invoice_1_CONTRACT " xfId="837" xr:uid="{79388ADF-8779-4E9B-87C6-C4F9B198D5F6}"/>
    <cellStyle name="好_5月平衡表A1005_Rev0617(需求量)_A104110202--中怡sly_Invoice_1_Invoice" xfId="839" xr:uid="{C22C8ECB-B54A-4C44-9A63-6343F4F90687}"/>
    <cellStyle name="好_5月平衡表A1005_Rev0617(需求量)_A104110202--中怡sly_Invoice_2" xfId="162" xr:uid="{4F998655-9464-4F4A-941F-4B1435555A5C}"/>
    <cellStyle name="好_5月平衡表A1005_Rev0617(需求量)_A104110202--中怡sly_Invoice_CONTRACT " xfId="841" xr:uid="{4EAD06CD-EC4F-4E1A-AF3B-CB2F55DB911A}"/>
    <cellStyle name="好_5月平衡表A1005_Rev0617(需求量)_A104110202--中怡sly_Invoice_Invoice" xfId="842" xr:uid="{68A7D466-A5FC-4D03-8FE1-3AC48D3B0521}"/>
    <cellStyle name="好_5月平衡表A1005_Rev0617(需求量)_A106071403-中怡Daisy" xfId="650" xr:uid="{4BFD26C5-AA50-497F-A118-69265E7CEB39}"/>
    <cellStyle name="好_5月平衡表A1005_Rev0617(需求量)_CONTRACT " xfId="846" xr:uid="{49804562-D3C8-4FE4-8D73-DC44BA285E85}"/>
    <cellStyle name="好_5月平衡表A1005_Rev0617(需求量)_CONTRACT _1" xfId="848" xr:uid="{31ED7506-B4B1-4839-9F6C-7B9C8F2E04FD}"/>
    <cellStyle name="好_5月平衡表A1005_Rev0617(需求量)_CONTRACT _CONTRACT " xfId="210" xr:uid="{D044BDDD-39BE-4125-85C1-681D08AA3A11}"/>
    <cellStyle name="好_5月平衡表A1005_Rev0617(需求量)_CONTRACT _Invoice" xfId="850" xr:uid="{9CC18D12-58ED-4A10-8982-FE3D16E6A2E3}"/>
    <cellStyle name="好_5月平衡表A1005_Rev0617(需求量)_Invoice" xfId="151" xr:uid="{3F0C12EE-736E-41C4-9299-987CD62EDFBC}"/>
    <cellStyle name="好_5月平衡表A1005_Rev0617(需求量)_Invoice_1" xfId="853" xr:uid="{1BD635FA-5334-4B79-96B3-BD18069093A0}"/>
    <cellStyle name="好_5月平衡表A1005_Rev0617(需求量)_Invoice_CONTRACT " xfId="582" xr:uid="{9D90E354-907C-4772-B626-41322EE6A079}"/>
    <cellStyle name="好_5月平衡表A1005_Rev0617(需求量)_Invoice_Invoice" xfId="856" xr:uid="{CA3166F9-C56E-497A-9CEF-E2F038F99BC6}"/>
    <cellStyle name="好_6月平衡表A1006_Rev0716" xfId="376" xr:uid="{4863338E-3934-4B82-B719-E7CB30D4FADF}"/>
    <cellStyle name="好_6月平衡表A1006_Rev0716_A103100909---中怡sly" xfId="490" xr:uid="{72C37D16-1522-4F27-B1E8-9ED178F513F7}"/>
    <cellStyle name="好_6月平衡表A1006_Rev0716_A103100909---中怡sly_A104110202--中怡sly" xfId="857" xr:uid="{FE01C4DC-3B97-4414-9044-2A5E950D6FFD}"/>
    <cellStyle name="好_6月平衡表A1006_Rev0716_A103100909---中怡sly_A104110202--中怡sly_CONTRACT " xfId="624" xr:uid="{2C62257A-BD8B-4807-9474-7FD4368E9B9F}"/>
    <cellStyle name="好_6月平衡表A1006_Rev0716_A103100909---中怡sly_A104110202--中怡sly_CONTRACT _1" xfId="858" xr:uid="{84DB0C9E-E20C-4293-B28B-A0B7F97C092A}"/>
    <cellStyle name="好_6月平衡表A1006_Rev0716_A103100909---中怡sly_A104110202--中怡sly_CONTRACT _1_CONTRACT " xfId="805" xr:uid="{7E4DDC73-C98F-4D7C-8ED0-13A301FDE52A}"/>
    <cellStyle name="好_6月平衡表A1006_Rev0716_A103100909---中怡sly_A104110202--中怡sly_CONTRACT _1_Invoice" xfId="859" xr:uid="{DECA636C-C901-4B1B-9DCC-9E2A22CCE138}"/>
    <cellStyle name="好_6月平衡表A1006_Rev0716_A103100909---中怡sly_A104110202--中怡sly_CONTRACT _2" xfId="706" xr:uid="{4DAD1A3F-FB6B-4DA4-8652-F5BEFB1CEEE1}"/>
    <cellStyle name="好_6月平衡表A1006_Rev0716_A103100909---中怡sly_A104110202--中怡sly_CONTRACT _CONTRACT " xfId="43" xr:uid="{8E8E6E1B-4ADD-4009-8FFB-B0E3E74AF11D}"/>
    <cellStyle name="好_6月平衡表A1006_Rev0716_A103100909---中怡sly_A104110202--中怡sly_CONTRACT _Invoice" xfId="861" xr:uid="{C642A0B9-91F4-4A20-8B87-D0BE5484CEBE}"/>
    <cellStyle name="好_6月平衡表A1006_Rev0716_A103100909---中怡sly_A104110202--中怡sly_Invoice" xfId="862" xr:uid="{9395B504-5153-41A2-9B46-2B6DD014BEF7}"/>
    <cellStyle name="好_6月平衡表A1006_Rev0716_A103100909---中怡sly_A104110202--中怡sly_Invoice_1" xfId="462" xr:uid="{476631F5-7D35-46EA-AE6B-5B830D08C292}"/>
    <cellStyle name="好_6月平衡表A1006_Rev0716_A103100909---中怡sly_A104110202--中怡sly_Invoice_1_CONTRACT " xfId="863" xr:uid="{FF2C30FC-38B3-4FF4-90C6-CC3FE244EB49}"/>
    <cellStyle name="好_6月平衡表A1006_Rev0716_A103100909---中怡sly_A104110202--中怡sly_Invoice_1_Invoice" xfId="864" xr:uid="{157FE448-DEDD-4C0B-8F32-BF1DD89111DD}"/>
    <cellStyle name="好_6月平衡表A1006_Rev0716_A103100909---中怡sly_A104110202--中怡sly_Invoice_2" xfId="730" xr:uid="{E341EF69-216C-41E3-B207-932F833A8F00}"/>
    <cellStyle name="好_6月平衡表A1006_Rev0716_A103100909---中怡sly_A104110202--中怡sly_Invoice_CONTRACT " xfId="866" xr:uid="{7D5790ED-A6D6-4747-A0B5-91FA6EFC36FB}"/>
    <cellStyle name="好_6月平衡表A1006_Rev0716_A103100909---中怡sly_A104110202--中怡sly_Invoice_Invoice" xfId="868" xr:uid="{B8DDCD0B-7454-4CBE-AABA-22B87A6A2719}"/>
    <cellStyle name="好_6月平衡表A1006_Rev0716_A103100909---中怡sly_A106071403-中怡Daisy" xfId="478" xr:uid="{CC05FEE6-0608-41F4-9883-F21FAC986AAF}"/>
    <cellStyle name="好_6月平衡表A1006_Rev0716_A103100909---中怡sly_CONTRACT " xfId="827" xr:uid="{537364FB-393B-4688-A414-D3EE18137B1A}"/>
    <cellStyle name="好_6月平衡表A1006_Rev0716_A103100909---中怡sly_CONTRACT _1" xfId="782" xr:uid="{35B8AA6B-4D77-4D47-8812-94882E33557A}"/>
    <cellStyle name="好_6月平衡表A1006_Rev0716_A103100909---中怡sly_CONTRACT _CONTRACT " xfId="869" xr:uid="{2A540E22-2225-4AB4-888F-91168D7D06E8}"/>
    <cellStyle name="好_6月平衡表A1006_Rev0716_A103100909---中怡sly_CONTRACT _Invoice" xfId="578" xr:uid="{69925A1C-8D1D-41FD-8ABC-26BEE85BCEF4}"/>
    <cellStyle name="好_6月平衡表A1006_Rev0716_A103100909---中怡sly_Invoice" xfId="831" xr:uid="{176463F6-436B-4FCC-B731-FEFE878264B6}"/>
    <cellStyle name="好_6月平衡表A1006_Rev0716_A103100909---中怡sly_Invoice_1" xfId="870" xr:uid="{16F1BFDD-4511-435D-BD6C-D69E7BF69A7E}"/>
    <cellStyle name="好_6月平衡表A1006_Rev0716_A103100909---中怡sly_Invoice_CONTRACT " xfId="871" xr:uid="{277647E0-2EA9-485F-8A9B-39F968E5C547}"/>
    <cellStyle name="好_6月平衡表A1006_Rev0716_A103100909---中怡sly_Invoice_Invoice" xfId="873" xr:uid="{CE68901E-A20D-4F87-9687-98B5885D186D}"/>
    <cellStyle name="好_6月平衡表A1006_Rev0716_A1040203--中怡Snow" xfId="874" xr:uid="{6B302537-31BA-4A6D-991F-FFAE3E580EFE}"/>
    <cellStyle name="好_6月平衡表A1006_Rev0716_A1040203--中怡Snow_A104081801--中怡sly" xfId="875" xr:uid="{8499EEA4-49ED-4E05-BA33-4D62FC8E374A}"/>
    <cellStyle name="好_6月平衡表A1006_Rev0716_A1040203--中怡Snow_A104081801--中怡sly_CONTRACT " xfId="876" xr:uid="{25AA207C-6E9F-4A49-A668-D9C36EF099C2}"/>
    <cellStyle name="好_6月平衡表A1006_Rev0716_A1040203--中怡Snow_A104081801--中怡sly_CONTRACT _1" xfId="727" xr:uid="{42D563A9-7111-4D1A-BBA3-ADCD511197E0}"/>
    <cellStyle name="好_6月平衡表A1006_Rev0716_A1040203--中怡Snow_A104081801--中怡sly_CONTRACT _1_CONTRACT " xfId="877" xr:uid="{D754D8D5-0E15-4904-92FE-4B45CC1CB626}"/>
    <cellStyle name="好_6月平衡表A1006_Rev0716_A1040203--中怡Snow_A104081801--中怡sly_CONTRACT _1_Invoice" xfId="878" xr:uid="{006D1558-EE0E-485C-A2C4-FD15AF411931}"/>
    <cellStyle name="好_6月平衡表A1006_Rev0716_A1040203--中怡Snow_A104081801--中怡sly_CONTRACT _2" xfId="879" xr:uid="{99C27C80-2FB5-4F9F-AA93-758F39E893A8}"/>
    <cellStyle name="好_6月平衡表A1006_Rev0716_A1040203--中怡Snow_A104081801--中怡sly_CONTRACT _CONTRACT " xfId="880" xr:uid="{04E8C1B7-5DC7-47FD-8012-410FD2D7ED48}"/>
    <cellStyle name="好_6月平衡表A1006_Rev0716_A1040203--中怡Snow_A104081801--中怡sly_CONTRACT _Invoice" xfId="881" xr:uid="{47DB50AF-D8C5-494B-979F-AACFFC132B8F}"/>
    <cellStyle name="好_6月平衡表A1006_Rev0716_A1040203--中怡Snow_A104081801--中怡sly_Invoice" xfId="599" xr:uid="{8A18A34D-2802-4A71-AF36-42A94DFE8A45}"/>
    <cellStyle name="好_6月平衡表A1006_Rev0716_A1040203--中怡Snow_A104081801--中怡sly_Invoice_1" xfId="601" xr:uid="{7B3E286A-C720-49B8-8A66-9B6ED83CCE6B}"/>
    <cellStyle name="好_6月平衡表A1006_Rev0716_A1040203--中怡Snow_A104081801--中怡sly_Invoice_1_CONTRACT " xfId="605" xr:uid="{004CECD8-DEAE-4798-ABFD-946DF22E870D}"/>
    <cellStyle name="好_6月平衡表A1006_Rev0716_A1040203--中怡Snow_A104081801--中怡sly_Invoice_1_Invoice" xfId="607" xr:uid="{3E8F2929-2E51-4784-8B85-6AE17C849F8B}"/>
    <cellStyle name="好_6月平衡表A1006_Rev0716_A1040203--中怡Snow_A104081801--中怡sly_Invoice_2" xfId="603" xr:uid="{052FC9FF-7CBD-4497-A748-59528F33C0B4}"/>
    <cellStyle name="好_6月平衡表A1006_Rev0716_A1040203--中怡Snow_A104081801--中怡sly_Invoice_CONTRACT " xfId="609" xr:uid="{12E9F4B6-03A4-43F6-B574-8D6E9A39AAC1}"/>
    <cellStyle name="好_6月平衡表A1006_Rev0716_A1040203--中怡Snow_A104081801--中怡sly_Invoice_Invoice" xfId="612" xr:uid="{9BE64F5E-6DDB-4192-AA0D-A0170A7751D0}"/>
    <cellStyle name="好_6月平衡表A1006_Rev0716_A1040203--中怡Snow_A104110202--中怡sly" xfId="348" xr:uid="{DF8060F3-FEB7-4C2E-9AAC-F1DAE2A8200D}"/>
    <cellStyle name="好_6月平衡表A1006_Rev0716_A1040203--中怡Snow_A104110202--中怡sly_CONTRACT " xfId="774" xr:uid="{964016EB-DB2B-4EAA-932A-1484254E6D5E}"/>
    <cellStyle name="好_6月平衡表A1006_Rev0716_A1040203--中怡Snow_A104110202--中怡sly_CONTRACT _1" xfId="883" xr:uid="{1F61EC28-9DD6-45D7-8606-ACB5511E8A83}"/>
    <cellStyle name="好_6月平衡表A1006_Rev0716_A1040203--中怡Snow_A104110202--中怡sly_CONTRACT _1_CONTRACT " xfId="511" xr:uid="{7A762B40-EF41-4800-8AA1-A6505825C9FE}"/>
    <cellStyle name="好_6月平衡表A1006_Rev0716_A1040203--中怡Snow_A104110202--中怡sly_CONTRACT _1_Invoice" xfId="885" xr:uid="{D901B4F9-3F06-4E5E-9B08-B1F2BD308343}"/>
    <cellStyle name="好_6月平衡表A1006_Rev0716_A1040203--中怡Snow_A104110202--中怡sly_CONTRACT _2" xfId="315" xr:uid="{C1867981-B53D-4B9F-A657-280A4CC99A93}"/>
    <cellStyle name="好_6月平衡表A1006_Rev0716_A1040203--中怡Snow_A104110202--中怡sly_CONTRACT _CONTRACT " xfId="887" xr:uid="{71A17682-6722-4560-BC03-5B0932C28FA2}"/>
    <cellStyle name="好_6月平衡表A1006_Rev0716_A1040203--中怡Snow_A104110202--中怡sly_CONTRACT _Invoice" xfId="555" xr:uid="{B7BE4595-C7BB-4278-9DA9-38E22683D46B}"/>
    <cellStyle name="好_6月平衡表A1006_Rev0716_A1040203--中怡Snow_A104110202--中怡sly_Invoice" xfId="888" xr:uid="{1D52DF7D-3AE0-4804-A78D-6B232B2AD6C0}"/>
    <cellStyle name="好_6月平衡表A1006_Rev0716_A1040203--中怡Snow_A104110202--中怡sly_Invoice_1" xfId="889" xr:uid="{EBEBAFF3-6810-4F73-B683-B28ABC381E6F}"/>
    <cellStyle name="好_6月平衡表A1006_Rev0716_A1040203--中怡Snow_A104110202--中怡sly_Invoice_1_CONTRACT " xfId="318" xr:uid="{487FEDA2-82F4-486C-875D-81D18BB3CE71}"/>
    <cellStyle name="好_6月平衡表A1006_Rev0716_A1040203--中怡Snow_A104110202--中怡sly_Invoice_1_Invoice" xfId="890" xr:uid="{78EC464C-A1E9-4934-819D-8F9D79D3E3A0}"/>
    <cellStyle name="好_6月平衡表A1006_Rev0716_A1040203--中怡Snow_A104110202--中怡sly_Invoice_2" xfId="891" xr:uid="{57E64595-AE49-4642-B1F5-04E7E1D5DC71}"/>
    <cellStyle name="好_6月平衡表A1006_Rev0716_A1040203--中怡Snow_A104110202--中怡sly_Invoice_CONTRACT " xfId="892" xr:uid="{D706A7A8-5C0E-4EF7-82D7-2C80B85E8590}"/>
    <cellStyle name="好_6月平衡表A1006_Rev0716_A1040203--中怡Snow_A104110202--中怡sly_Invoice_Invoice" xfId="893" xr:uid="{7BB5D73C-9EAD-4618-83DB-A69391F4DF8A}"/>
    <cellStyle name="好_6月平衡表A1006_Rev0716_A1040203--中怡Snow_A106071403-中怡Daisy" xfId="682" xr:uid="{7C258492-B2D5-435A-AFCE-66DB6EBC117C}"/>
    <cellStyle name="好_6月平衡表A1006_Rev0716_A1040203--中怡Snow_CONTRACT " xfId="894" xr:uid="{9455F8E6-146F-4964-AB00-9E184999219F}"/>
    <cellStyle name="好_6月平衡表A1006_Rev0716_A1040203--中怡Snow_CONTRACT _1" xfId="895" xr:uid="{61A6BD12-16A9-4769-AC56-11B4C4F68D73}"/>
    <cellStyle name="好_6月平衡表A1006_Rev0716_A1040203--中怡Snow_CONTRACT _CONTRACT " xfId="896" xr:uid="{5300FD75-F5F3-4A42-8FC9-F6BF9434C090}"/>
    <cellStyle name="好_6月平衡表A1006_Rev0716_A1040203--中怡Snow_CONTRACT _Invoice" xfId="897" xr:uid="{FB96F0A4-62EF-45B3-A8C8-D1ED48A0F85F}"/>
    <cellStyle name="好_6月平衡表A1006_Rev0716_A1040203--中怡Snow_Invoice" xfId="792" xr:uid="{ED32A36D-6617-4EBF-8411-E1371109C53F}"/>
    <cellStyle name="好_6月平衡表A1006_Rev0716_A1040203--中怡Snow_Invoice_1" xfId="898" xr:uid="{46924ABC-E4D8-46EF-BC0F-849CEBD45CF3}"/>
    <cellStyle name="好_6月平衡表A1006_Rev0716_A1040203--中怡Snow_Invoice_CONTRACT " xfId="899" xr:uid="{6477217B-6EDE-4B9E-BE38-6DFE5A0F2A72}"/>
    <cellStyle name="好_6月平衡表A1006_Rev0716_A1040203--中怡Snow_Invoice_Invoice" xfId="808" xr:uid="{BC909FC2-3418-4B36-88D1-EADCB448174C}"/>
    <cellStyle name="好_6月平衡表A1006_Rev0716_A1040428--中怡fiona " xfId="718" xr:uid="{4F37B89B-465C-4CE5-8607-B5AC47EC4290}"/>
    <cellStyle name="好_6月平衡表A1006_Rev0716_A1040428--中怡fiona _A106071403-中怡Daisy" xfId="901" xr:uid="{DF3C2365-C3FA-4A6C-A673-1A74D828EF75}"/>
    <cellStyle name="好_6月平衡表A1006_Rev0716_A1040428--中怡fiona _CONTRACT " xfId="902" xr:uid="{7A7BB421-B82E-4DA4-BD37-D5FD34383665}"/>
    <cellStyle name="好_6月平衡表A1006_Rev0716_A1040428--中怡fiona _CONTRACT _1" xfId="365" xr:uid="{7CCC5DB0-A92B-463F-B5FE-C34402702485}"/>
    <cellStyle name="好_6月平衡表A1006_Rev0716_A1040428--中怡fiona _CONTRACT _CONTRACT " xfId="903" xr:uid="{7984E6EE-8EED-4284-89BE-C2755A9BD59E}"/>
    <cellStyle name="好_6月平衡表A1006_Rev0716_A1040428--中怡fiona _CONTRACT _Invoice" xfId="904" xr:uid="{045D7F5A-17AE-458D-B937-5902F6DD8ABB}"/>
    <cellStyle name="好_6月平衡表A1006_Rev0716_A1040428--中怡fiona _Invoice" xfId="814" xr:uid="{CF1FCAE3-449C-46FD-9AAC-841E385D8EAA}"/>
    <cellStyle name="好_6月平衡表A1006_Rev0716_A1040428--中怡fiona _Invoice_1" xfId="696" xr:uid="{BD72F28C-D5E7-45E9-94A3-2CBE76B44341}"/>
    <cellStyle name="好_6月平衡表A1006_Rev0716_A1040428--中怡fiona _Invoice_CONTRACT " xfId="817" xr:uid="{CAA0E7B2-B228-4B0D-B532-AA283E51E259}"/>
    <cellStyle name="好_6月平衡表A1006_Rev0716_A1040428--中怡fiona _Invoice_Invoice" xfId="820" xr:uid="{B936C9D8-1C77-4B68-BEBD-11F17FD6BA79}"/>
    <cellStyle name="好_6月平衡表A1006_Rev0716_A104110202--中怡sly" xfId="905" xr:uid="{8BF1585A-B0A1-444E-813B-72C4C8E6036D}"/>
    <cellStyle name="好_6月平衡表A1006_Rev0716_A104110202--中怡sly_CONTRACT " xfId="906" xr:uid="{E672BF03-0BC7-4D47-B2CB-49FEE7F40793}"/>
    <cellStyle name="好_6月平衡表A1006_Rev0716_A104110202--中怡sly_CONTRACT _1" xfId="665" xr:uid="{8A98562B-424C-42D3-BF0B-FEAA7E04CA7C}"/>
    <cellStyle name="好_6月平衡表A1006_Rev0716_A104110202--中怡sly_CONTRACT _1_CONTRACT " xfId="670" xr:uid="{887273CD-B0E0-48E9-8AED-08C4B549B444}"/>
    <cellStyle name="好_6月平衡表A1006_Rev0716_A104110202--中怡sly_CONTRACT _1_Invoice" xfId="672" xr:uid="{F5510F8B-A05C-4D1C-A821-A084A59B985D}"/>
    <cellStyle name="好_6月平衡表A1006_Rev0716_A104110202--中怡sly_CONTRACT _2" xfId="238" xr:uid="{38C2E45A-F8B3-4AE8-A55F-0628E4806C78}"/>
    <cellStyle name="好_6月平衡表A1006_Rev0716_A104110202--中怡sly_CONTRACT _CONTRACT " xfId="49" xr:uid="{B3F39CC9-4F70-4FFF-A736-7671AD550B5C}"/>
    <cellStyle name="好_6月平衡表A1006_Rev0716_A104110202--中怡sly_CONTRACT _Invoice" xfId="526" xr:uid="{5E8A706B-1420-4ACB-BA8C-223F18275B1F}"/>
    <cellStyle name="好_6月平衡表A1006_Rev0716_A104110202--中怡sly_Invoice" xfId="907" xr:uid="{54F3A383-606C-4C07-B194-B03CCF6C3AEB}"/>
    <cellStyle name="好_6月平衡表A1006_Rev0716_A104110202--中怡sly_Invoice_1" xfId="908" xr:uid="{845B94EC-6D8E-4679-A2BF-F9387DF9EFE1}"/>
    <cellStyle name="好_6月平衡表A1006_Rev0716_A104110202--中怡sly_Invoice_1_CONTRACT " xfId="767" xr:uid="{15F61B9C-80B0-42DF-B080-1109D4F0A038}"/>
    <cellStyle name="好_6月平衡表A1006_Rev0716_A104110202--中怡sly_Invoice_1_Invoice" xfId="284" xr:uid="{3413A0C4-30B0-42A7-84F8-B67A6500CFF6}"/>
    <cellStyle name="好_6月平衡表A1006_Rev0716_A104110202--中怡sly_Invoice_2" xfId="681" xr:uid="{FE79DEA0-0020-40CC-86CC-50DCFE02FE6A}"/>
    <cellStyle name="好_6月平衡表A1006_Rev0716_A104110202--中怡sly_Invoice_CONTRACT " xfId="909" xr:uid="{BDC78DC1-BE04-499C-9DBF-71F7865D9793}"/>
    <cellStyle name="好_6月平衡表A1006_Rev0716_A104110202--中怡sly_Invoice_Invoice" xfId="900" xr:uid="{9115B6D6-3194-4918-BF63-850650424723}"/>
    <cellStyle name="好_6月平衡表A1006_Rev0716_A106071403-中怡Daisy" xfId="911" xr:uid="{85C1227E-7E85-4179-AA42-3EA2394587F6}"/>
    <cellStyle name="好_6月平衡表A1006_Rev0716_CONTRACT " xfId="381" xr:uid="{1989911E-D432-4FC7-9CAB-A92857E17C89}"/>
    <cellStyle name="好_6月平衡表A1006_Rev0716_CONTRACT _1" xfId="912" xr:uid="{C83F6105-29B3-4185-93B0-EF1F2E2ABE55}"/>
    <cellStyle name="好_6月平衡表A1006_Rev0716_CONTRACT _CONTRACT " xfId="226" xr:uid="{5EF02EB9-2ECF-44F7-BCEB-0C7C9322F6CD}"/>
    <cellStyle name="好_6月平衡表A1006_Rev0716_CONTRACT _Invoice" xfId="406" xr:uid="{99F329B8-33A0-4C0D-A5BB-7AF2A2EB9944}"/>
    <cellStyle name="好_6月平衡表A1006_Rev0716_Invoice" xfId="384" xr:uid="{6DE8128D-F5CC-4866-9AAB-253A48A11DA1}"/>
    <cellStyle name="好_6月平衡表A1006_Rev0716_Invoice_1" xfId="913" xr:uid="{C3030D81-6291-42A1-A15E-CFECD0CF292D}"/>
    <cellStyle name="好_6月平衡表A1006_Rev0716_Invoice_CONTRACT " xfId="914" xr:uid="{1098B707-2836-478D-B195-5BE9827AA8BA}"/>
    <cellStyle name="好_6月平衡表A1006_Rev0716_Invoice_Invoice" xfId="865" xr:uid="{15DF0F96-A39E-48C9-B314-2C922A34D0A0}"/>
    <cellStyle name="好_A104101307 盛恆達.." xfId="915" xr:uid="{0E803832-1509-4A5F-9772-B5A3D5B8E9C7}"/>
    <cellStyle name="好_A104110202--中怡sly" xfId="794" xr:uid="{28CF0DF0-3FF9-4573-8E7D-34BC9441CB30}"/>
    <cellStyle name="好_A104110203--中怡fiona" xfId="313" xr:uid="{63FC264B-49B2-4C37-AD34-B846832CA69D}"/>
    <cellStyle name="好_A1041109--中怡Anco" xfId="916" xr:uid="{8D809CB0-8C34-4B6A-9A32-B73A477357C1}"/>
    <cellStyle name="好_A1041109--中怡fiona " xfId="917" xr:uid="{46CBC1D8-B6A8-4931-AE29-A612E0FBD791}"/>
    <cellStyle name="好_A106071402-中怡Fiona" xfId="485" xr:uid="{B17A35AF-0DBD-482F-A9F7-80027BBDB057}"/>
    <cellStyle name="好_A106071403-中怡Daisy" xfId="5" xr:uid="{9C01FC46-3402-4475-83C8-752F5E292176}"/>
    <cellStyle name="好_A1060721-中怡Tony" xfId="919" xr:uid="{0C65B077-AF69-413A-8381-216622940F0C}"/>
    <cellStyle name="好_CONTRACT " xfId="921" xr:uid="{7054134C-DC0C-4D67-A8F2-B3C9235FA6B8}"/>
    <cellStyle name="好_CONTRACT _1" xfId="25" xr:uid="{E79A5B9E-0A17-4A56-B5AD-D7D0EEEE1D56}"/>
    <cellStyle name="好_Invoice" xfId="924" xr:uid="{B9302447-16A6-4C88-A061-72D615002955}"/>
    <cellStyle name="好_Invoice_1" xfId="48" xr:uid="{E261DC37-AE03-461A-A400-803E470E3370}"/>
    <cellStyle name="好_SerNet SAMPLE" xfId="595" xr:uid="{C3F87244-02C8-4F06-A623-DC165E6B094F}"/>
    <cellStyle name="好_入倉單" xfId="1036" xr:uid="{90F5BB20-076A-4EFF-9E5E-28FF4AC95590}"/>
    <cellStyle name="好_中怡(SerNet)NEW201407(REV) SAMPLE" xfId="1037" xr:uid="{99951E23-8518-40E5-8CE5-E529C54335AD}"/>
    <cellStyle name="好_中怡LABEL TESTING" xfId="1038" xr:uid="{30DA89CA-C42A-4DC2-B920-71CFC89D315C}"/>
    <cellStyle name="好_供應商 Carton Label Format" xfId="255" xr:uid="{5D8C70EA-7F09-4A71-8824-9896464BCB23}"/>
    <cellStyle name="好_供應商 Carton Label Format_A103100909---中怡sly" xfId="32" xr:uid="{F386386D-F31F-47EC-89AF-D4B274B1E5BF}"/>
    <cellStyle name="好_供應商 Carton Label Format_A103100909---中怡sly_A104110202--中怡sly" xfId="927" xr:uid="{4BD157BD-2474-4E03-9BA7-57EEB8A8BCFE}"/>
    <cellStyle name="好_供應商 Carton Label Format_A103100909---中怡sly_A104110202--中怡sly_CONTRACT " xfId="928" xr:uid="{00A76971-5F2B-4510-86AE-04567189F4C6}"/>
    <cellStyle name="好_供應商 Carton Label Format_A103100909---中怡sly_A104110202--中怡sly_CONTRACT _1" xfId="929" xr:uid="{F80B82E0-0FD7-44BD-9D3B-4E2A2E56CC82}"/>
    <cellStyle name="好_供應商 Carton Label Format_A103100909---中怡sly_A104110202--中怡sly_CONTRACT _1_CONTRACT " xfId="930" xr:uid="{15A3666B-DC71-424E-8EA0-4BBE2C2531B9}"/>
    <cellStyle name="好_供應商 Carton Label Format_A103100909---中怡sly_A104110202--中怡sly_CONTRACT _1_Invoice" xfId="931" xr:uid="{F8747723-D978-4CA0-925F-89BD93A50E52}"/>
    <cellStyle name="好_供應商 Carton Label Format_A103100909---中怡sly_A104110202--中怡sly_CONTRACT _2" xfId="932" xr:uid="{CF35FE08-4C51-4F1F-95F4-B33F1DCD2FA4}"/>
    <cellStyle name="好_供應商 Carton Label Format_A103100909---中怡sly_A104110202--中怡sly_CONTRACT _CONTRACT " xfId="867" xr:uid="{6887FAB8-CAE3-42FD-821F-4A308E87C8FF}"/>
    <cellStyle name="好_供應商 Carton Label Format_A103100909---中怡sly_A104110202--中怡sly_CONTRACT _Invoice" xfId="99" xr:uid="{A5D695E7-5952-40E4-A895-9B21198EB920}"/>
    <cellStyle name="好_供應商 Carton Label Format_A103100909---中怡sly_A104110202--中怡sly_Invoice" xfId="773" xr:uid="{502B3864-F0B7-4A90-9299-6C8974E1B784}"/>
    <cellStyle name="好_供應商 Carton Label Format_A103100909---中怡sly_A104110202--中怡sly_Invoice_1" xfId="882" xr:uid="{E532D322-5D9B-4393-A583-7758FD7312F6}"/>
    <cellStyle name="好_供應商 Carton Label Format_A103100909---中怡sly_A104110202--中怡sly_Invoice_1_CONTRACT " xfId="509" xr:uid="{71F589EB-B8A4-4CC2-B039-4AF9EB7BA7AB}"/>
    <cellStyle name="好_供應商 Carton Label Format_A103100909---中怡sly_A104110202--中怡sly_Invoice_1_Invoice" xfId="884" xr:uid="{1496B80D-16B6-4932-B6D9-0277E1AA7A7F}"/>
    <cellStyle name="好_供應商 Carton Label Format_A103100909---中怡sly_A104110202--中怡sly_Invoice_2" xfId="312" xr:uid="{10FD7452-8664-4FC3-B4C6-9F8F4A2DB834}"/>
    <cellStyle name="好_供應商 Carton Label Format_A103100909---中怡sly_A104110202--中怡sly_Invoice_CONTRACT " xfId="886" xr:uid="{107F3466-3CDA-4C86-B88E-EEC793442A03}"/>
    <cellStyle name="好_供應商 Carton Label Format_A103100909---中怡sly_A104110202--中怡sly_Invoice_Invoice" xfId="554" xr:uid="{973C0B57-AF4D-42B8-9871-AF281AE9B5DA}"/>
    <cellStyle name="好_供應商 Carton Label Format_A103100909---中怡sly_A106071403-中怡Daisy" xfId="933" xr:uid="{30D53383-3415-49F0-9264-71392DD5D4C2}"/>
    <cellStyle name="好_供應商 Carton Label Format_A103100909---中怡sly_CONTRACT " xfId="934" xr:uid="{19479F4E-BBD5-4C1F-A9B4-B5F089F3F4B4}"/>
    <cellStyle name="好_供應商 Carton Label Format_A103100909---中怡sly_CONTRACT _1" xfId="936" xr:uid="{A9744989-F10C-472F-B1AD-EC4C74C581A0}"/>
    <cellStyle name="好_供應商 Carton Label Format_A103100909---中怡sly_CONTRACT _CONTRACT " xfId="937" xr:uid="{52B92FEF-BD00-4F0E-B1CD-7723884DF5AE}"/>
    <cellStyle name="好_供應商 Carton Label Format_A103100909---中怡sly_CONTRACT _Invoice" xfId="938" xr:uid="{8C262134-1D8B-4854-B321-6CCD4F2E37F9}"/>
    <cellStyle name="好_供應商 Carton Label Format_A103100909---中怡sly_Invoice" xfId="939" xr:uid="{204B441B-2937-4A0E-8E1E-EE4A48C56920}"/>
    <cellStyle name="好_供應商 Carton Label Format_A103100909---中怡sly_Invoice_1" xfId="502" xr:uid="{B05017A9-0F78-4AEC-BCE0-96D35F0A7283}"/>
    <cellStyle name="好_供應商 Carton Label Format_A103100909---中怡sly_Invoice_CONTRACT " xfId="102" xr:uid="{0E353F9B-756D-4029-92D8-CE0CBCC5D086}"/>
    <cellStyle name="好_供應商 Carton Label Format_A103100909---中怡sly_Invoice_Invoice" xfId="940" xr:uid="{6590A24D-3CC7-4E95-8327-6B0A82C7D9FE}"/>
    <cellStyle name="好_供應商 Carton Label Format_A1040203--中怡Snow" xfId="941" xr:uid="{F59ED0ED-717A-4AB3-BFDD-E22CCDD0FA4E}"/>
    <cellStyle name="好_供應商 Carton Label Format_A1040203--中怡Snow_A104081801--中怡sly" xfId="725" xr:uid="{70CF7A96-442F-4395-AD71-9629D922C396}"/>
    <cellStyle name="好_供應商 Carton Label Format_A1040203--中怡Snow_A104081801--中怡sly_CONTRACT " xfId="51" xr:uid="{0DA9AEAB-328A-42AA-9C81-177E097CFE80}"/>
    <cellStyle name="好_供應商 Carton Label Format_A1040203--中怡Snow_A104081801--中怡sly_CONTRACT _1" xfId="477" xr:uid="{586D40E8-25E7-4EA4-B13E-A6063EBFEC20}"/>
    <cellStyle name="好_供應商 Carton Label Format_A1040203--中怡Snow_A104081801--中怡sly_CONTRACT _1_CONTRACT " xfId="6" xr:uid="{7B8768EA-7943-497C-AF5A-75F8DC55FF4B}"/>
    <cellStyle name="好_供應商 Carton Label Format_A1040203--中怡Snow_A104081801--中怡sly_CONTRACT _1_Invoice" xfId="942" xr:uid="{107FB48B-3149-4961-B95D-12BA5B2B7B5E}"/>
    <cellStyle name="好_供應商 Carton Label Format_A1040203--中怡Snow_A104081801--中怡sly_CONTRACT _2" xfId="943" xr:uid="{2F14BEC8-0DD6-4354-B4D9-D605C5E0F79A}"/>
    <cellStyle name="好_供應商 Carton Label Format_A1040203--中怡Snow_A104081801--中怡sly_CONTRACT _CONTRACT " xfId="945" xr:uid="{8BD50BAD-2778-4631-A7DA-C81EB85B3F03}"/>
    <cellStyle name="好_供應商 Carton Label Format_A1040203--中怡Snow_A104081801--中怡sly_CONTRACT _Invoice" xfId="658" xr:uid="{E5816805-C43C-4C03-9BE6-1F6CFE9E4A55}"/>
    <cellStyle name="好_供應商 Carton Label Format_A1040203--中怡Snow_A104081801--中怡sly_Invoice" xfId="946" xr:uid="{5CBEA36B-4E1E-4950-987E-712B4692F120}"/>
    <cellStyle name="好_供應商 Carton Label Format_A1040203--中怡Snow_A104081801--中怡sly_Invoice_1" xfId="947" xr:uid="{8FDD9B50-8576-44DA-B4B9-184DA303C45F}"/>
    <cellStyle name="好_供應商 Carton Label Format_A1040203--中怡Snow_A104081801--中怡sly_Invoice_1_CONTRACT " xfId="663" xr:uid="{F01D5D03-FCD5-4EAC-A501-D13C06B2E79C}"/>
    <cellStyle name="好_供應商 Carton Label Format_A1040203--中怡Snow_A104081801--中怡sly_Invoice_1_Invoice" xfId="948" xr:uid="{F082EC84-E053-4852-92DE-A511C881F304}"/>
    <cellStyle name="好_供應商 Carton Label Format_A1040203--中怡Snow_A104081801--中怡sly_Invoice_2" xfId="949" xr:uid="{1EC54582-BE8F-4DA4-934B-56694D24D079}"/>
    <cellStyle name="好_供應商 Carton Label Format_A1040203--中怡Snow_A104081801--中怡sly_Invoice_CONTRACT " xfId="950" xr:uid="{9E81FEA6-B857-4A96-A5DF-DD3D4548E90E}"/>
    <cellStyle name="好_供應商 Carton Label Format_A1040203--中怡Snow_A104081801--中怡sly_Invoice_Invoice" xfId="797" xr:uid="{08E64726-8198-4622-A17A-F840ED248161}"/>
    <cellStyle name="好_供應商 Carton Label Format_A1040203--中怡Snow_A104110202--中怡sly" xfId="951" xr:uid="{3FA257D6-AE31-47DC-913F-CBE20C678DC9}"/>
    <cellStyle name="好_供應商 Carton Label Format_A1040203--中怡Snow_A104110202--中怡sly_CONTRACT " xfId="660" xr:uid="{0561D78C-23D2-42F5-B15C-D7972F6C4F74}"/>
    <cellStyle name="好_供應商 Carton Label Format_A1040203--中怡Snow_A104110202--中怡sly_CONTRACT _1" xfId="952" xr:uid="{2B9C0065-4C09-4840-9EAE-2BA0DFFC6D62}"/>
    <cellStyle name="好_供應商 Carton Label Format_A1040203--中怡Snow_A104110202--中怡sly_CONTRACT _1_CONTRACT " xfId="860" xr:uid="{29D9F655-50A4-4F06-8E4B-807869A993F1}"/>
    <cellStyle name="好_供應商 Carton Label Format_A1040203--中怡Snow_A104110202--中怡sly_CONTRACT _1_Invoice" xfId="953" xr:uid="{5DC7EDF6-3927-404A-BD74-8F22E7D08A7B}"/>
    <cellStyle name="好_供應商 Carton Label Format_A1040203--中怡Snow_A104110202--中怡sly_CONTRACT _2" xfId="855" xr:uid="{369C5108-9ADE-4CAA-AD0B-ED935F6FFD2E}"/>
    <cellStyle name="好_供應商 Carton Label Format_A1040203--中怡Snow_A104110202--中怡sly_CONTRACT _CONTRACT " xfId="420" xr:uid="{1A83328B-110F-4BCB-89EF-B1B2D77650AE}"/>
    <cellStyle name="好_供應商 Carton Label Format_A1040203--中怡Snow_A104110202--中怡sly_CONTRACT _Invoice" xfId="954" xr:uid="{C73CC4EE-90AC-46D7-88AF-B3A2B165ED8F}"/>
    <cellStyle name="好_供應商 Carton Label Format_A1040203--中怡Snow_A104110202--中怡sly_Invoice" xfId="500" xr:uid="{FB660253-FAF4-4758-B49E-BD9098DB86A5}"/>
    <cellStyle name="好_供應商 Carton Label Format_A1040203--中怡Snow_A104110202--中怡sly_Invoice_1" xfId="955" xr:uid="{86C3BCC1-8CF6-4BFF-8DA6-1CBB4AD24B95}"/>
    <cellStyle name="好_供應商 Carton Label Format_A1040203--中怡Snow_A104110202--中怡sly_Invoice_1_CONTRACT " xfId="956" xr:uid="{A172BD27-038C-45FF-A32C-CE200889A37A}"/>
    <cellStyle name="好_供應商 Carton Label Format_A1040203--中怡Snow_A104110202--中怡sly_Invoice_1_Invoice" xfId="492" xr:uid="{2B56292F-B8C5-408C-85B6-37B581471B5F}"/>
    <cellStyle name="好_供應商 Carton Label Format_A1040203--中怡Snow_A104110202--中怡sly_Invoice_2" xfId="957" xr:uid="{F8E242F8-6EF4-4B9F-BB36-5E70C380B4D6}"/>
    <cellStyle name="好_供應商 Carton Label Format_A1040203--中怡Snow_A104110202--中怡sly_Invoice_CONTRACT " xfId="958" xr:uid="{EFDDD879-3037-4D28-A51B-983201F43E62}"/>
    <cellStyle name="好_供應商 Carton Label Format_A1040203--中怡Snow_A104110202--中怡sly_Invoice_Invoice" xfId="959" xr:uid="{FEF66BCB-B1FA-485D-93A4-F54E2FA1F06C}"/>
    <cellStyle name="好_供應商 Carton Label Format_A1040203--中怡Snow_A106071403-中怡Daisy" xfId="960" xr:uid="{2DC70FEF-DCE7-4A72-9190-3DB9C055BBD4}"/>
    <cellStyle name="好_供應商 Carton Label Format_A1040203--中怡Snow_CONTRACT " xfId="961" xr:uid="{99C1BCE7-610F-44D1-A96F-3F18100385E5}"/>
    <cellStyle name="好_供應商 Carton Label Format_A1040203--中怡Snow_CONTRACT _1" xfId="527" xr:uid="{E778DC7F-9F18-4CFC-AA76-FAA919A4E3D9}"/>
    <cellStyle name="好_供應商 Carton Label Format_A1040203--中怡Snow_CONTRACT _CONTRACT " xfId="962" xr:uid="{8086F333-0678-4E6F-AFE9-56F327166CA2}"/>
    <cellStyle name="好_供應商 Carton Label Format_A1040203--中怡Snow_CONTRACT _Invoice" xfId="61" xr:uid="{A5CC18A7-AFE2-4525-8538-C34EC2648E57}"/>
    <cellStyle name="好_供應商 Carton Label Format_A1040203--中怡Snow_Invoice" xfId="121" xr:uid="{9B98016E-D51B-483D-89DF-509B277D7643}"/>
    <cellStyle name="好_供應商 Carton Label Format_A1040203--中怡Snow_Invoice_1" xfId="813" xr:uid="{7E39BC0B-D9C0-4E7E-B203-33FE03A3A05D}"/>
    <cellStyle name="好_供應商 Carton Label Format_A1040203--中怡Snow_Invoice_CONTRACT " xfId="963" xr:uid="{1346E058-C0B3-4896-8537-389A794BA6C0}"/>
    <cellStyle name="好_供應商 Carton Label Format_A1040203--中怡Snow_Invoice_Invoice" xfId="565" xr:uid="{90485A71-CE23-4C6D-A31D-5E5E13AF85AB}"/>
    <cellStyle name="好_供應商 Carton Label Format_A1040428--中怡fiona " xfId="245" xr:uid="{9C5DD911-59AF-4C48-885C-7CDA651F6E64}"/>
    <cellStyle name="好_供應商 Carton Label Format_A1040428--中怡fiona _A106071403-中怡Daisy" xfId="964" xr:uid="{22FC8959-5AF6-4650-BF22-C6C8BDAB39B6}"/>
    <cellStyle name="好_供應商 Carton Label Format_A1040428--中怡fiona _CONTRACT " xfId="965" xr:uid="{B7861C19-D159-4819-804A-EEA5E56DAC70}"/>
    <cellStyle name="好_供應商 Carton Label Format_A1040428--中怡fiona _CONTRACT _1" xfId="966" xr:uid="{A864656E-F842-49C8-A6FF-7DB485F2C157}"/>
    <cellStyle name="好_供應商 Carton Label Format_A1040428--中怡fiona _CONTRACT _CONTRACT " xfId="158" xr:uid="{41FB9E63-F88D-406D-8D09-2085BBB211CD}"/>
    <cellStyle name="好_供應商 Carton Label Format_A1040428--中怡fiona _CONTRACT _Invoice" xfId="968" xr:uid="{FC7BE3F4-59FB-4EF5-AB1E-7AF5BFB2EDB0}"/>
    <cellStyle name="好_供應商 Carton Label Format_A1040428--中怡fiona _Invoice" xfId="969" xr:uid="{3837B7D1-8778-4090-BD6A-DEB5C81A6F35}"/>
    <cellStyle name="好_供應商 Carton Label Format_A1040428--中怡fiona _Invoice_1" xfId="971" xr:uid="{F9DA7D04-EDEE-488A-B7A9-A9A07A1E655D}"/>
    <cellStyle name="好_供應商 Carton Label Format_A1040428--中怡fiona _Invoice_CONTRACT " xfId="972" xr:uid="{B1895C62-538C-48F0-A2C0-F36C3B5B9088}"/>
    <cellStyle name="好_供應商 Carton Label Format_A1040428--中怡fiona _Invoice_Invoice" xfId="118" xr:uid="{CFD07A74-7B7E-4D8F-B872-FBDD2E74F3E6}"/>
    <cellStyle name="好_供應商 Carton Label Format_A104110202--中怡sly" xfId="57" xr:uid="{8244B9D0-85EB-4676-B2F7-88E9DD44E0CD}"/>
    <cellStyle name="好_供應商 Carton Label Format_A104110202--中怡sly_CONTRACT " xfId="920" xr:uid="{4E2CAB49-AFA4-42B1-AC16-09BF210FA2B2}"/>
    <cellStyle name="好_供應商 Carton Label Format_A104110202--中怡sly_CONTRACT _1" xfId="23" xr:uid="{40B471E7-53CD-4048-AD59-FB24D6CBC85B}"/>
    <cellStyle name="好_供應商 Carton Label Format_A104110202--中怡sly_CONTRACT _1_CONTRACT " xfId="615" xr:uid="{EF13772D-C980-4D2B-AEA3-BACE52412435}"/>
    <cellStyle name="好_供應商 Carton Label Format_A104110202--中怡sly_CONTRACT _1_Invoice" xfId="973" xr:uid="{DFC106B0-8074-4013-AB57-00374585813A}"/>
    <cellStyle name="好_供應商 Carton Label Format_A104110202--中怡sly_CONTRACT _2" xfId="967" xr:uid="{1D3B09E8-AFCA-4C11-849B-95B95D9F226D}"/>
    <cellStyle name="好_供應商 Carton Label Format_A104110202--中怡sly_CONTRACT _CONTRACT " xfId="844" xr:uid="{F98E45B0-515A-4B7A-A483-DFB8619F84E5}"/>
    <cellStyle name="好_供應商 Carton Label Format_A104110202--中怡sly_CONTRACT _Invoice" xfId="974" xr:uid="{C60FD39C-42F7-4F78-8CF0-A206558580C7}"/>
    <cellStyle name="好_供應商 Carton Label Format_A104110202--中怡sly_Invoice" xfId="922" xr:uid="{87D3E06E-C843-49C6-A662-D6643E41EC81}"/>
    <cellStyle name="好_供應商 Carton Label Format_A104110202--中怡sly_Invoice_1" xfId="46" xr:uid="{E848FFE9-D8DB-4241-A2EB-8921C4B689EB}"/>
    <cellStyle name="好_供應商 Carton Label Format_A104110202--中怡sly_Invoice_1_CONTRACT " xfId="342" xr:uid="{22FE731F-4E0D-4159-BE9E-A2E302FD88B0}"/>
    <cellStyle name="好_供應商 Carton Label Format_A104110202--中怡sly_Invoice_1_Invoice" xfId="114" xr:uid="{CEC1F7FB-648A-4C8E-8905-D0F65CFD3B36}"/>
    <cellStyle name="好_供應商 Carton Label Format_A104110202--中怡sly_Invoice_2" xfId="447" xr:uid="{FD49AE18-0058-4748-93D0-1367FE230A3A}"/>
    <cellStyle name="好_供應商 Carton Label Format_A104110202--中怡sly_Invoice_CONTRACT " xfId="918" xr:uid="{8461B2BF-3579-4393-8B44-84D8B22447C3}"/>
    <cellStyle name="好_供應商 Carton Label Format_A104110202--中怡sly_Invoice_Invoice" xfId="340" xr:uid="{97EA6451-4CCA-4AA3-944B-9AB7FC69F5F7}"/>
    <cellStyle name="好_供應商 Carton Label Format_A106071403-中怡Daisy" xfId="550" xr:uid="{3C6FC217-FA48-4491-9E24-359E1FFD46F8}"/>
    <cellStyle name="好_供應商 Carton Label Format_CONTRACT " xfId="259" xr:uid="{FE8E304B-AA08-4FA8-95DA-6E9F92E4B915}"/>
    <cellStyle name="好_供應商 Carton Label Format_CONTRACT _1" xfId="234" xr:uid="{BFE188C6-099A-4CB8-A2DE-123D2C596336}"/>
    <cellStyle name="好_供應商 Carton Label Format_CONTRACT _CONTRACT " xfId="697" xr:uid="{28D8539C-7744-41E9-AA8F-9E395A819F51}"/>
    <cellStyle name="好_供應商 Carton Label Format_CONTRACT _Invoice" xfId="699" xr:uid="{9A8F0428-606F-4A69-B65D-4911A7160E2B}"/>
    <cellStyle name="好_供應商 Carton Label Format_Invoice" xfId="14" xr:uid="{488CF939-3E76-49F7-A6B1-3ECABB6A3C70}"/>
    <cellStyle name="好_供應商 Carton Label Format_Invoice_1" xfId="434" xr:uid="{B9FC434D-E7EA-4215-BE92-2F2B6C6A15E1}"/>
    <cellStyle name="好_供應商 Carton Label Format_Invoice_CONTRACT " xfId="460" xr:uid="{3BD748A2-3CD4-46C9-B525-171CA842555B}"/>
    <cellStyle name="好_供應商 Carton Label Format_Invoice_Invoice" xfId="310" xr:uid="{FF2FF946-AD60-4634-AA77-DB73D4BD35E5}"/>
    <cellStyle name="好_供應商 Carton Label Format_SerNet SAMPLE" xfId="679" xr:uid="{D914B1E2-EC58-490F-83C9-E3A89CD57E54}"/>
    <cellStyle name="好_供應商 Carton Label Format_SerNet SAMPLE_A1030825--中怡fiona" xfId="976" xr:uid="{EC99B7E2-2A53-4BC3-9FF4-CF7AB864C3FE}"/>
    <cellStyle name="好_供應商 Carton Label Format_SerNet SAMPLE_A1030825--中怡fiona_A104081801--中怡sly" xfId="977" xr:uid="{9B1FEF7C-841A-4896-AF29-19A06C863657}"/>
    <cellStyle name="好_供應商 Carton Label Format_SerNet SAMPLE_A1030825--中怡fiona_A104081801--中怡sly_CONTRACT " xfId="978" xr:uid="{BB5A9E90-7B6C-4D2D-AC76-39AA17970B21}"/>
    <cellStyle name="好_供應商 Carton Label Format_SerNet SAMPLE_A1030825--中怡fiona_A104081801--中怡sly_CONTRACT _1" xfId="7" xr:uid="{10567947-5672-4803-87D1-9239B10A0B73}"/>
    <cellStyle name="好_供應商 Carton Label Format_SerNet SAMPLE_A1030825--中怡fiona_A104081801--中怡sly_CONTRACT _1_CONTRACT " xfId="355" xr:uid="{89789C90-E516-4F3A-9D7A-B61B0C87979D}"/>
    <cellStyle name="好_供應商 Carton Label Format_SerNet SAMPLE_A1030825--中怡fiona_A104081801--中怡sly_CONTRACT _1_Invoice" xfId="979" xr:uid="{C5AAD5A0-1630-4CAB-911D-ECFD96D9C86F}"/>
    <cellStyle name="好_供應商 Carton Label Format_SerNet SAMPLE_A1030825--中怡fiona_A104081801--中怡sly_CONTRACT _2" xfId="981" xr:uid="{37272F0A-81A9-4FA9-9586-2D5EBDF608FF}"/>
    <cellStyle name="好_供應商 Carton Label Format_SerNet SAMPLE_A1030825--中怡fiona_A104081801--中怡sly_CONTRACT _CONTRACT " xfId="982" xr:uid="{E482E7F2-5B04-4697-AFDB-C5BFA68A97EF}"/>
    <cellStyle name="好_供應商 Carton Label Format_SerNet SAMPLE_A1030825--中怡fiona_A104081801--中怡sly_CONTRACT _Invoice" xfId="487" xr:uid="{781AB8A2-949A-4403-A074-55DC28554C52}"/>
    <cellStyle name="好_供應商 Carton Label Format_SerNet SAMPLE_A1030825--中怡fiona_A104081801--中怡sly_Invoice" xfId="983" xr:uid="{83E641BA-712F-4C78-BA54-F42BBD1D7656}"/>
    <cellStyle name="好_供應商 Carton Label Format_SerNet SAMPLE_A1030825--中怡fiona_A104081801--中怡sly_Invoice_1" xfId="984" xr:uid="{4E9D3A0F-5D51-4D56-9263-2440C415804A}"/>
    <cellStyle name="好_供應商 Carton Label Format_SerNet SAMPLE_A1030825--中怡fiona_A104081801--中怡sly_Invoice_1_CONTRACT " xfId="985" xr:uid="{8EEDD88F-A1FE-41B8-8785-D9B8839FE800}"/>
    <cellStyle name="好_供應商 Carton Label Format_SerNet SAMPLE_A1030825--中怡fiona_A104081801--中怡sly_Invoice_1_Invoice" xfId="986" xr:uid="{1AF5FA4B-CEA8-4B3A-9D2E-2DCCD38048A1}"/>
    <cellStyle name="好_供應商 Carton Label Format_SerNet SAMPLE_A1030825--中怡fiona_A104081801--中怡sly_Invoice_2" xfId="987" xr:uid="{72FB4288-A73A-407D-956D-C02C012DA0AC}"/>
    <cellStyle name="好_供應商 Carton Label Format_SerNet SAMPLE_A1030825--中怡fiona_A104081801--中怡sly_Invoice_CONTRACT " xfId="988" xr:uid="{BD8B01A1-8E83-43DA-98C4-C5D0856B6555}"/>
    <cellStyle name="好_供應商 Carton Label Format_SerNet SAMPLE_A1030825--中怡fiona_A104081801--中怡sly_Invoice_Invoice" xfId="989" xr:uid="{68E7A5F5-4507-4D18-8A20-5A41B74FE625}"/>
    <cellStyle name="好_供應商 Carton Label Format_SerNet SAMPLE_A1030825--中怡fiona_A104110201--中怡fiona -出貨注意事項" xfId="990" xr:uid="{1D1D06A0-85A1-418F-BF05-CB0035FF1DB9}"/>
    <cellStyle name="好_供應商 Carton Label Format_SerNet SAMPLE_A1030825--中怡fiona_A104110202--中怡sly" xfId="991" xr:uid="{D7531747-AF3F-401E-9655-3B0997C625F1}"/>
    <cellStyle name="好_供應商 Carton Label Format_SerNet SAMPLE_A1030825--中怡fiona_A104110202--中怡sly_CONTRACT " xfId="159" xr:uid="{89E9D54E-B15D-43AF-9990-04611EE3FC77}"/>
    <cellStyle name="好_供應商 Carton Label Format_SerNet SAMPLE_A1030825--中怡fiona_A104110202--中怡sly_CONTRACT _1" xfId="413" xr:uid="{AF7A31EF-8C7D-44C5-8FED-876C9EA42769}"/>
    <cellStyle name="好_供應商 Carton Label Format_SerNet SAMPLE_A1030825--中怡fiona_A104110202--中怡sly_CONTRACT _1_CONTRACT " xfId="92" xr:uid="{6A343CCA-373E-40EA-A9C3-49EE5644DF25}"/>
    <cellStyle name="好_供應商 Carton Label Format_SerNet SAMPLE_A1030825--中怡fiona_A104110202--中怡sly_CONTRACT _1_Invoice" xfId="415" xr:uid="{E4CA735A-26BF-47B8-AEE2-8AB11571AFC9}"/>
    <cellStyle name="好_供應商 Carton Label Format_SerNet SAMPLE_A1030825--中怡fiona_A104110202--中怡sly_CONTRACT _2" xfId="180" xr:uid="{E9E524EF-7FAA-4674-9EB6-02823056F62B}"/>
    <cellStyle name="好_供應商 Carton Label Format_SerNet SAMPLE_A1030825--中怡fiona_A104110202--中怡sly_CONTRACT _CONTRACT " xfId="166" xr:uid="{1CAF6D18-F937-4022-866C-CB7EC1500844}"/>
    <cellStyle name="好_供應商 Carton Label Format_SerNet SAMPLE_A1030825--中怡fiona_A104110202--中怡sly_CONTRACT _Invoice" xfId="194" xr:uid="{8B77464E-5333-44E4-9C08-E055AFAC3D80}"/>
    <cellStyle name="好_供應商 Carton Label Format_SerNet SAMPLE_A1030825--中怡fiona_A104110202--中怡sly_Invoice" xfId="992" xr:uid="{E4B055A9-ED12-44F7-9F7C-2AD5CD722743}"/>
    <cellStyle name="好_供應商 Carton Label Format_SerNet SAMPLE_A1030825--中怡fiona_A104110202--中怡sly_Invoice_1" xfId="994" xr:uid="{B5138FE6-AE1F-44A8-9491-FED61C664C4B}"/>
    <cellStyle name="好_供應商 Carton Label Format_SerNet SAMPLE_A1030825--中怡fiona_A104110202--中怡sly_Invoice_1_CONTRACT " xfId="611" xr:uid="{01DEDDD9-8DEF-43EA-A910-6243033EAE4E}"/>
    <cellStyle name="好_供應商 Carton Label Format_SerNet SAMPLE_A1030825--中怡fiona_A104110202--中怡sly_Invoice_1_Invoice" xfId="995" xr:uid="{ABE9E1BB-0FAA-417B-9553-74869CD374D1}"/>
    <cellStyle name="好_供應商 Carton Label Format_SerNet SAMPLE_A1030825--中怡fiona_A104110202--中怡sly_Invoice_2" xfId="996" xr:uid="{00A0D54D-7BBD-4B14-9755-27988EFC24E0}"/>
    <cellStyle name="好_供應商 Carton Label Format_SerNet SAMPLE_A1030825--中怡fiona_A104110202--中怡sly_Invoice_CONTRACT " xfId="997" xr:uid="{A1ACBC6A-3D63-4721-8F2D-1659A199839B}"/>
    <cellStyle name="好_供應商 Carton Label Format_SerNet SAMPLE_A1030825--中怡fiona_A104110202--中怡sly_Invoice_Invoice" xfId="935" xr:uid="{07FCD3CA-E3BE-4219-87B3-6905E09185E5}"/>
    <cellStyle name="好_供應商 Carton Label Format_SerNet SAMPLE_A1030825--中怡fiona_A106071403-中怡Daisy" xfId="998" xr:uid="{7F4DA27E-E898-465C-9BF9-BDCA03C14665}"/>
    <cellStyle name="好_供應商 Carton Label Format_SerNet SAMPLE_A1030825--中怡fiona_CONTRACT " xfId="297" xr:uid="{3A39C609-4330-4185-9526-3AC30A037972}"/>
    <cellStyle name="好_供應商 Carton Label Format_SerNet SAMPLE_A1030825--中怡fiona_CONTRACT _1" xfId="152" xr:uid="{33C01BDC-5207-4906-A863-72E2047C59D3}"/>
    <cellStyle name="好_供應商 Carton Label Format_SerNet SAMPLE_A1030825--中怡fiona_CONTRACT _CONTRACT " xfId="999" xr:uid="{B1BC691D-7183-4C64-85B9-6EC9AF196EAE}"/>
    <cellStyle name="好_供應商 Carton Label Format_SerNet SAMPLE_A1030825--中怡fiona_CONTRACT _Invoice" xfId="1000" xr:uid="{D6ACD119-381D-44AA-9D3E-262D1A78279D}"/>
    <cellStyle name="好_供應商 Carton Label Format_SerNet SAMPLE_A1030825--中怡fiona_Invoice" xfId="327" xr:uid="{59806608-53BD-4D27-BADA-9AAB28CECF72}"/>
    <cellStyle name="好_供應商 Carton Label Format_SerNet SAMPLE_A1030825--中怡fiona_Invoice_1" xfId="1001" xr:uid="{19F7B904-1025-4230-BA32-2B6BEC762C01}"/>
    <cellStyle name="好_供應商 Carton Label Format_SerNet SAMPLE_A1030825--中怡fiona_Invoice_CONTRACT " xfId="980" xr:uid="{5D223116-3C65-4651-8A97-B9C3D0FFF685}"/>
    <cellStyle name="好_供應商 Carton Label Format_SerNet SAMPLE_A1030825--中怡fiona_Invoice_Invoice" xfId="1002" xr:uid="{DC432A1E-4320-4ADD-B45E-D48D8D4CF422}"/>
    <cellStyle name="好_供應商 Carton Label Format_SerNet SAMPLE_A1040203--中怡fiona " xfId="647" xr:uid="{AC45B9F0-4FD4-4514-98EE-63913F0AD5C1}"/>
    <cellStyle name="好_供應商 Carton Label Format_SerNet SAMPLE_A1040203--中怡fiona _A104081801--中怡sly" xfId="970" xr:uid="{D5571711-3A7B-4095-8808-F3B7FFE0324E}"/>
    <cellStyle name="好_供應商 Carton Label Format_SerNet SAMPLE_A1040203--中怡fiona _A104081801--中怡sly_CONTRACT " xfId="713" xr:uid="{0A1DC3CF-B1C6-46F0-8787-7687F1692FAA}"/>
    <cellStyle name="好_供應商 Carton Label Format_SerNet SAMPLE_A1040203--中怡fiona _A104081801--中怡sly_CONTRACT _1" xfId="760" xr:uid="{65E20EC3-C00B-4B99-A961-22127EB70A0B}"/>
    <cellStyle name="好_供應商 Carton Label Format_SerNet SAMPLE_A1040203--中怡fiona _A104081801--中怡sly_CONTRACT _1_CONTRACT " xfId="762" xr:uid="{74E1210F-E0D5-45F9-A283-F4670BEAD545}"/>
    <cellStyle name="好_供應商 Carton Label Format_SerNet SAMPLE_A1040203--中怡fiona _A104081801--中怡sly_CONTRACT _1_Invoice" xfId="764" xr:uid="{656802B5-EAFE-4249-BF70-B70B8BD45469}"/>
    <cellStyle name="好_供應商 Carton Label Format_SerNet SAMPLE_A1040203--中怡fiona _A104081801--中怡sly_CONTRACT _2" xfId="766" xr:uid="{FD267EE9-8958-4F85-8830-66949C9C707D}"/>
    <cellStyle name="好_供應商 Carton Label Format_SerNet SAMPLE_A1040203--中怡fiona _A104081801--中怡sly_CONTRACT _CONTRACT " xfId="769" xr:uid="{0A40C06E-369B-40BE-A932-6D29DE9C12FA}"/>
    <cellStyle name="好_供應商 Carton Label Format_SerNet SAMPLE_A1040203--中怡fiona _A104081801--中怡sly_CONTRACT _Invoice" xfId="771" xr:uid="{3F21ABEB-5581-4467-8109-B5535114D75D}"/>
    <cellStyle name="好_供應商 Carton Label Format_SerNet SAMPLE_A1040203--中怡fiona _A104081801--中怡sly_Invoice" xfId="1003" xr:uid="{80BC87C3-6535-4B8A-9AFA-7808A51FDF76}"/>
    <cellStyle name="好_供應商 Carton Label Format_SerNet SAMPLE_A1040203--中怡fiona _A104081801--中怡sly_Invoice_1" xfId="344" xr:uid="{EFD6BD5D-EF33-4DD2-8003-E10C2722DF82}"/>
    <cellStyle name="好_供應商 Carton Label Format_SerNet SAMPLE_A1040203--中怡fiona _A104081801--中怡sly_Invoice_1_CONTRACT " xfId="993" xr:uid="{A5B9B3FF-D8EF-432C-B9B1-0FF55A3FFB27}"/>
    <cellStyle name="好_供應商 Carton Label Format_SerNet SAMPLE_A1040203--中怡fiona _A104081801--中怡sly_Invoice_1_Invoice" xfId="1004" xr:uid="{8C481DB6-3765-4234-AF95-00C0F86ECE5E}"/>
    <cellStyle name="好_供應商 Carton Label Format_SerNet SAMPLE_A1040203--中怡fiona _A104081801--中怡sly_Invoice_2" xfId="1005" xr:uid="{133C9DC6-5562-4EB3-A2F9-965DD745BDB8}"/>
    <cellStyle name="好_供應商 Carton Label Format_SerNet SAMPLE_A1040203--中怡fiona _A104081801--中怡sly_Invoice_CONTRACT " xfId="1006" xr:uid="{F8C33621-F436-48C8-90AA-317494E4B9F8}"/>
    <cellStyle name="好_供應商 Carton Label Format_SerNet SAMPLE_A1040203--中怡fiona _A104081801--中怡sly_Invoice_Invoice" xfId="1007" xr:uid="{0391CEC7-8B1D-4EED-87CD-B0B8B0EAB786}"/>
    <cellStyle name="好_供應商 Carton Label Format_SerNet SAMPLE_A1040203--中怡fiona _A104110202--中怡sly" xfId="189" xr:uid="{B6339632-11B5-4774-9207-C269DB9AAFF9}"/>
    <cellStyle name="好_供應商 Carton Label Format_SerNet SAMPLE_A1040203--中怡fiona _A104110202--中怡sly_CONTRACT " xfId="76" xr:uid="{D59C3BBF-D79C-4AA8-AC09-A714A8723616}"/>
    <cellStyle name="好_供應商 Carton Label Format_SerNet SAMPLE_A1040203--中怡fiona _A104110202--中怡sly_CONTRACT _1" xfId="142" xr:uid="{2A049E08-C6A6-4E2F-9340-CA354102568E}"/>
    <cellStyle name="好_供應商 Carton Label Format_SerNet SAMPLE_A1040203--中怡fiona _A104110202--中怡sly_CONTRACT _1_CONTRACT " xfId="1008" xr:uid="{AF3417DA-E4F7-408D-B6AA-2C0E11C9212B}"/>
    <cellStyle name="好_供應商 Carton Label Format_SerNet SAMPLE_A1040203--中怡fiona _A104110202--中怡sly_CONTRACT _1_Invoice" xfId="716" xr:uid="{CB8B8918-E4C3-4423-BC50-6F3AE65D517B}"/>
    <cellStyle name="好_供應商 Carton Label Format_SerNet SAMPLE_A1040203--中怡fiona _A104110202--中怡sly_CONTRACT _2" xfId="1009" xr:uid="{1FE60B90-A3B3-4437-BEDC-26D42BA95534}"/>
    <cellStyle name="好_供應商 Carton Label Format_SerNet SAMPLE_A1040203--中怡fiona _A104110202--中怡sly_CONTRACT _CONTRACT " xfId="925" xr:uid="{46003311-9FF0-434C-9789-8EA94BAAE6EE}"/>
    <cellStyle name="好_供應商 Carton Label Format_SerNet SAMPLE_A1040203--中怡fiona _A104110202--中怡sly_CONTRACT _Invoice" xfId="1010" xr:uid="{433BEDE6-A1A6-42E1-A6FD-C1B682C603C6}"/>
    <cellStyle name="好_供應商 Carton Label Format_SerNet SAMPLE_A1040203--中怡fiona _A104110202--中怡sly_Invoice" xfId="209" xr:uid="{655BFF7F-CEC4-4DA9-B944-81FAEF8460C4}"/>
    <cellStyle name="好_供應商 Carton Label Format_SerNet SAMPLE_A1040203--中怡fiona _A104110202--中怡sly_Invoice_1" xfId="1011" xr:uid="{82210D1B-25B6-49DE-97E8-CD13B56FE638}"/>
    <cellStyle name="好_供應商 Carton Label Format_SerNet SAMPLE_A1040203--中怡fiona _A104110202--中怡sly_Invoice_1_CONTRACT " xfId="1012" xr:uid="{CB800541-AF1D-4DDA-856B-C66643C33356}"/>
    <cellStyle name="好_供應商 Carton Label Format_SerNet SAMPLE_A1040203--中怡fiona _A104110202--中怡sly_Invoice_1_Invoice" xfId="1013" xr:uid="{D6FD28BB-A406-43DC-B59A-125E625C8513}"/>
    <cellStyle name="好_供應商 Carton Label Format_SerNet SAMPLE_A1040203--中怡fiona _A104110202--中怡sly_Invoice_2" xfId="1014" xr:uid="{619F1086-AA4C-413E-817C-24F6BE5E8655}"/>
    <cellStyle name="好_供應商 Carton Label Format_SerNet SAMPLE_A1040203--中怡fiona _A104110202--中怡sly_Invoice_CONTRACT " xfId="1015" xr:uid="{71CA4411-9813-4A6A-B92F-E52C3B980288}"/>
    <cellStyle name="好_供應商 Carton Label Format_SerNet SAMPLE_A1040203--中怡fiona _A104110202--中怡sly_Invoice_Invoice" xfId="1016" xr:uid="{8FC314BD-EA0F-4B9F-9369-9CB847A7B5E3}"/>
    <cellStyle name="好_供應商 Carton Label Format_SerNet SAMPLE_A1040203--中怡fiona _A106071403-中怡Daisy" xfId="1017" xr:uid="{2AC1BDD1-C4C1-4C78-B382-7A238186B187}"/>
    <cellStyle name="好_供應商 Carton Label Format_SerNet SAMPLE_A1040203--中怡fiona _CONTRACT " xfId="1018" xr:uid="{BA2E570C-E983-4F82-BD9C-A8AF75E4ED55}"/>
    <cellStyle name="好_供應商 Carton Label Format_SerNet SAMPLE_A1040203--中怡fiona _CONTRACT _1" xfId="755" xr:uid="{8755DB45-A152-4DD5-99C3-5463C0281C5B}"/>
    <cellStyle name="好_供應商 Carton Label Format_SerNet SAMPLE_A1040203--中怡fiona _CONTRACT _CONTRACT " xfId="558" xr:uid="{93120057-33B7-4CBE-A807-B320727F670A}"/>
    <cellStyle name="好_供應商 Carton Label Format_SerNet SAMPLE_A1040203--中怡fiona _CONTRACT _Invoice" xfId="1019" xr:uid="{5A7C3886-76CB-48D5-A755-542C7B71F241}"/>
    <cellStyle name="好_供應商 Carton Label Format_SerNet SAMPLE_A1040203--中怡fiona _Invoice" xfId="1020" xr:uid="{3D2F41D7-698E-46E3-A525-2F33C74F5686}"/>
    <cellStyle name="好_供應商 Carton Label Format_SerNet SAMPLE_A1040203--中怡fiona _Invoice_1" xfId="261" xr:uid="{DB636FEF-5213-4BD2-A3CF-545B8675F269}"/>
    <cellStyle name="好_供應商 Carton Label Format_SerNet SAMPLE_A1040203--中怡fiona _Invoice_CONTRACT " xfId="1021" xr:uid="{0BF7AFC8-F244-42F3-8626-4EC3AD4DB035}"/>
    <cellStyle name="好_供應商 Carton Label Format_SerNet SAMPLE_A1040203--中怡fiona _Invoice_Invoice" xfId="1022" xr:uid="{FE3ABA27-1817-40C9-BF80-37DC6B204AF8}"/>
    <cellStyle name="好_供應商 Carton Label Format_SerNet SAMPLE_A1040420--中怡fiona " xfId="744" xr:uid="{1AEE05A5-840C-47A9-B861-CA42221579C9}"/>
    <cellStyle name="好_供應商 Carton Label Format_SerNet SAMPLE_A104081801--中怡sly" xfId="1024" xr:uid="{9AF90DFB-2953-4FB8-BC1F-0DB794482D20}"/>
    <cellStyle name="好_供應商 Carton Label Format_SerNet SAMPLE_A104081801--中怡sly_CONTRACT " xfId="1025" xr:uid="{282A048C-87EE-4081-B327-B1A4861852BB}"/>
    <cellStyle name="好_供應商 Carton Label Format_SerNet SAMPLE_A104081801--中怡sly_CONTRACT _1" xfId="944" xr:uid="{8A026B06-001C-4FB9-ADAF-B24619333EA9}"/>
    <cellStyle name="好_供應商 Carton Label Format_SerNet SAMPLE_A104081801--中怡sly_CONTRACT _1_CONTRACT " xfId="1026" xr:uid="{C6CB1E12-A848-43CB-A44A-5BF2C3C6DAEA}"/>
    <cellStyle name="好_供應商 Carton Label Format_SerNet SAMPLE_A104081801--中怡sly_CONTRACT _1_Invoice" xfId="623" xr:uid="{311B7677-E273-43FB-8735-3EA5526B1CF7}"/>
    <cellStyle name="好_供應商 Carton Label Format_SerNet SAMPLE_A104081801--中怡sly_CONTRACT _2" xfId="380" xr:uid="{E43A79B1-BEB2-46A5-9B71-E7F1D6010C26}"/>
    <cellStyle name="好_供應商 Carton Label Format_SerNet SAMPLE_A104081801--中怡sly_CONTRACT _CONTRACT " xfId="1028" xr:uid="{AE911463-FE6C-4900-BD66-5717A52649BB}"/>
    <cellStyle name="好_供應商 Carton Label Format_SerNet SAMPLE_A104081801--中怡sly_CONTRACT _Invoice" xfId="1029" xr:uid="{7DEE2050-3453-4678-9839-9083A97E0A20}"/>
    <cellStyle name="好_供應商 Carton Label Format_SerNet SAMPLE_A104081801--中怡sly_Invoice" xfId="649" xr:uid="{35752BD6-82FD-406C-9B81-66B058779164}"/>
    <cellStyle name="好_供應商 Carton Label Format_SerNet SAMPLE_A104081801--中怡sly_Invoice_1" xfId="1030" xr:uid="{248514D4-8A62-4C7C-8021-6D0A96454F58}"/>
    <cellStyle name="好_供應商 Carton Label Format_SerNet SAMPLE_A104081801--中怡sly_Invoice_1_CONTRACT " xfId="1031" xr:uid="{87D963AF-E394-4FA9-9DA3-D0B767CDCDAA}"/>
    <cellStyle name="好_供應商 Carton Label Format_SerNet SAMPLE_A104081801--中怡sly_Invoice_1_Invoice" xfId="1032" xr:uid="{D4E546E4-CBED-451E-B57B-DC8079F4D38C}"/>
    <cellStyle name="好_供應商 Carton Label Format_SerNet SAMPLE_A104081801--中怡sly_Invoice_2" xfId="1033" xr:uid="{0DE43C6C-B5B5-4CBA-BBC8-1BBBB83CD96E}"/>
    <cellStyle name="好_供應商 Carton Label Format_SerNet SAMPLE_A104081801--中怡sly_Invoice_CONTRACT " xfId="1035" xr:uid="{A418FF2D-8003-4A42-AF26-1F9C1310958E}"/>
    <cellStyle name="好_供應商 Carton Label Format_SerNet SAMPLE_A104081801--中怡sly_Invoice_Invoice" xfId="910" xr:uid="{13EF85BD-B89E-4E81-B2F2-693907403333}"/>
    <cellStyle name="好_供應商 Carton Label Format_SerNet SAMPLE_A104110201--中怡fiona -出貨注意事項" xfId="787" xr:uid="{44E4CB16-E01B-4E84-A613-0ACA42C3B610}"/>
    <cellStyle name="好_供應商 Carton Label Format_SerNet SAMPLE_A104110202--中怡sly" xfId="812" xr:uid="{10DE9A24-18F7-46BE-B734-B5DC68B611F6}"/>
    <cellStyle name="好_供應商 Carton Label Format_SerNet SAMPLE_A104110202--中怡sly_CONTRACT " xfId="489" xr:uid="{BD7AF2E5-F7DC-4FA9-AA53-1D80C0B60F0E}"/>
    <cellStyle name="好_供應商 Carton Label Format_SerNet SAMPLE_A104110202--中怡sly_CONTRACT _1" xfId="815" xr:uid="{6BC7652F-AE21-440A-B50A-2049BFCC0E8A}"/>
    <cellStyle name="好_供應商 Carton Label Format_SerNet SAMPLE_A104110202--中怡sly_CONTRACT _1_CONTRACT " xfId="818" xr:uid="{CE103303-DEFA-4FD4-8C3C-3B2CC5D700EB}"/>
    <cellStyle name="好_供應商 Carton Label Format_SerNet SAMPLE_A104110202--中怡sly_CONTRACT _1_Invoice" xfId="821" xr:uid="{A9E85246-FE7C-4197-8095-5CDA79D6DF79}"/>
    <cellStyle name="好_供應商 Carton Label Format_SerNet SAMPLE_A104110202--中怡sly_CONTRACT _2" xfId="823" xr:uid="{401C9FB3-59F7-47CE-B9D2-79CAF31C2CED}"/>
    <cellStyle name="好_供應商 Carton Label Format_SerNet SAMPLE_A104110202--中怡sly_CONTRACT _CONTRACT " xfId="826" xr:uid="{2A663ED1-78E6-4A48-8506-5208DD42954E}"/>
    <cellStyle name="好_供應商 Carton Label Format_SerNet SAMPLE_A104110202--中怡sly_CONTRACT _Invoice" xfId="830" xr:uid="{D10D1A81-EB5E-417D-A1E5-B47E42E14056}"/>
    <cellStyle name="好_供應商 Carton Label Format_SerNet SAMPLE_A104110202--中怡sly_Invoice" xfId="832" xr:uid="{0C02D1F2-72CC-46AA-B427-AFBE8C36D586}"/>
    <cellStyle name="好_供應商 Carton Label Format_SerNet SAMPLE_A104110202--中怡sly_Invoice_1" xfId="834" xr:uid="{D64147B3-9CA7-4447-A968-9E924A24F329}"/>
    <cellStyle name="好_供應商 Carton Label Format_SerNet SAMPLE_A104110202--中怡sly_Invoice_1_CONTRACT " xfId="836" xr:uid="{F98D8251-6DCD-4EFE-AD89-7D6E83CEC89F}"/>
    <cellStyle name="好_供應商 Carton Label Format_SerNet SAMPLE_A104110202--中怡sly_Invoice_1_Invoice" xfId="838" xr:uid="{A45BB6A6-E127-4055-8A45-B73EABF07C6C}"/>
    <cellStyle name="好_供應商 Carton Label Format_SerNet SAMPLE_A104110202--中怡sly_Invoice_2" xfId="161" xr:uid="{62B319A6-59FF-451A-8ADE-D8A187586758}"/>
    <cellStyle name="好_供應商 Carton Label Format_SerNet SAMPLE_A104110202--中怡sly_Invoice_CONTRACT " xfId="840" xr:uid="{622C7B95-4EDA-492C-8F86-8DD00CAEDFC0}"/>
    <cellStyle name="好_供應商 Carton Label Format_SerNet SAMPLE_A104110202--中怡sly_Invoice_Invoice" xfId="843" xr:uid="{77DA76A7-705B-439B-B97A-01BF2DA73E44}"/>
    <cellStyle name="好_供應商 Carton Label Format_SerNet SAMPLE_A106071403-中怡Daisy" xfId="648" xr:uid="{9ADA093F-BC3E-43FC-B6F4-32D86D4CDBD7}"/>
    <cellStyle name="好_供應商 Carton Label Format_SerNet SAMPLE_CONTRACT " xfId="845" xr:uid="{B4D6A311-0D52-4CD3-8624-C32C4FC28776}"/>
    <cellStyle name="好_供應商 Carton Label Format_SerNet SAMPLE_CONTRACT _1" xfId="847" xr:uid="{0CC231D5-1DA6-4420-8D76-F9BBAB779F5D}"/>
    <cellStyle name="好_供應商 Carton Label Format_SerNet SAMPLE_CONTRACT _CONTRACT " xfId="208" xr:uid="{60BA3052-7E31-4A4A-BF83-F8468EC90ADA}"/>
    <cellStyle name="好_供應商 Carton Label Format_SerNet SAMPLE_CONTRACT _Invoice" xfId="849" xr:uid="{C33BC72A-6E95-4827-9F16-C5F6E8085668}"/>
    <cellStyle name="好_供應商 Carton Label Format_SerNet SAMPLE_Invoice" xfId="149" xr:uid="{43824E59-63D5-4AE0-85B5-E765FF5D44A3}"/>
    <cellStyle name="好_供應商 Carton Label Format_SerNet SAMPLE_Invoice_1" xfId="851" xr:uid="{13AC5B96-CF0C-4048-A22A-70522A09B08A}"/>
    <cellStyle name="好_供應商 Carton Label Format_SerNet SAMPLE_Invoice_CONTRACT " xfId="581" xr:uid="{6F48665E-3E8E-4B73-BD81-01C0B746FC60}"/>
    <cellStyle name="好_供應商 Carton Label Format_SerNet SAMPLE_Invoice_Invoice" xfId="854" xr:uid="{220080F8-551D-49D8-BD05-4DECC00A9BF2}"/>
    <cellStyle name="好_廠商導入二維條碼格式12-20" xfId="926" xr:uid="{E3919D06-F507-4146-945F-5476E98596C7}"/>
    <cellStyle name="注释 2" xfId="1089" xr:uid="{62F838E8-9C99-476B-B921-078918A28627}"/>
    <cellStyle name="标题 1 2" xfId="138" xr:uid="{E95FABF9-2EDD-4D87-B069-9CF42CF02BF9}"/>
    <cellStyle name="标题 2 2" xfId="141" xr:uid="{1E768CCF-EC1C-4888-953C-1FFDC2D9B708}"/>
    <cellStyle name="标题 3 2" xfId="145" xr:uid="{03ECF251-30D1-4898-A043-BBDF945D279B}"/>
    <cellStyle name="标题 4 2" xfId="146" xr:uid="{E6A8F360-D192-4DD0-8DAA-56DD559FEF84}"/>
    <cellStyle name="标题 5" xfId="147" xr:uid="{DA3AB160-BC42-42BA-89FA-650E983E3423}"/>
    <cellStyle name="差 2" xfId="150" xr:uid="{FE31F726-BCC4-4013-8A93-E2030A8E9F6B}"/>
    <cellStyle name="差_1SerNet SAMPLE" xfId="153" xr:uid="{8414A26D-1F3D-45EC-ACCE-AF2605144E8E}"/>
    <cellStyle name="差_1SerNet SAMPLE_A103100909---中怡sly" xfId="154" xr:uid="{C51C701C-B3EC-4014-AA3F-F81D60B42DB8}"/>
    <cellStyle name="差_1SerNet SAMPLE_A103100909---中怡sly_A104110202--中怡sly" xfId="157" xr:uid="{8C8C311B-60B9-429D-9321-DB62AFD08043}"/>
    <cellStyle name="差_1SerNet SAMPLE_A103100909---中怡sly_A104110202--中怡sly_CONTRACT " xfId="164" xr:uid="{0B27AFE9-4BF6-47BA-9A64-7CA365A440D2}"/>
    <cellStyle name="差_1SerNet SAMPLE_A103100909---中怡sly_A104110202--中怡sly_CONTRACT _1" xfId="171" xr:uid="{C70ABBD8-AAAD-4843-9369-9B796F5C64DC}"/>
    <cellStyle name="差_1SerNet SAMPLE_A103100909---中怡sly_A104110202--中怡sly_CONTRACT _1_CONTRACT " xfId="178" xr:uid="{8FF9841A-BAEF-4CF5-B149-1E782654D406}"/>
    <cellStyle name="差_1SerNet SAMPLE_A103100909---中怡sly_A104110202--中怡sly_CONTRACT _1_Invoice" xfId="181" xr:uid="{55A95550-BCAE-4B3F-A3D1-61074F0CA46C}"/>
    <cellStyle name="差_1SerNet SAMPLE_A103100909---中怡sly_A104110202--中怡sly_CONTRACT _2" xfId="187" xr:uid="{D3A4D1F0-3EFD-40CB-81EC-8BC4446E909B}"/>
    <cellStyle name="差_1SerNet SAMPLE_A103100909---中怡sly_A104110202--中怡sly_CONTRACT _CONTRACT " xfId="18" xr:uid="{968E47D8-F9C7-40A4-8210-19E0CB80FADE}"/>
    <cellStyle name="差_1SerNet SAMPLE_A103100909---中怡sly_A104110202--中怡sly_CONTRACT _Invoice" xfId="192" xr:uid="{C44E876B-EF69-46AA-A0FF-078AFB46ACA4}"/>
    <cellStyle name="差_1SerNet SAMPLE_A103100909---中怡sly_A104110202--中怡sly_Invoice" xfId="193" xr:uid="{18D85C9A-8230-43FC-B4F4-05030BAA068F}"/>
    <cellStyle name="差_1SerNet SAMPLE_A103100909---中怡sly_A104110202--中怡sly_Invoice_1" xfId="198" xr:uid="{FD3D3CE3-3569-4215-B891-2BDF29E8FF0A}"/>
    <cellStyle name="差_1SerNet SAMPLE_A103100909---中怡sly_A104110202--中怡sly_Invoice_1_CONTRACT " xfId="199" xr:uid="{2AD9E40C-AE18-466D-9A13-713AE03A0875}"/>
    <cellStyle name="差_1SerNet SAMPLE_A103100909---中怡sly_A104110202--中怡sly_Invoice_1_Invoice" xfId="71" xr:uid="{8FA65EE1-F044-4180-A111-E8754ED4C390}"/>
    <cellStyle name="差_1SerNet SAMPLE_A103100909---中怡sly_A104110202--中怡sly_Invoice_2" xfId="202" xr:uid="{8C9402AF-E153-4B27-8517-EAF5E56070E9}"/>
    <cellStyle name="差_1SerNet SAMPLE_A103100909---中怡sly_A104110202--中怡sly_Invoice_CONTRACT " xfId="204" xr:uid="{221AF58A-93F0-4E69-A130-E3F6D6939188}"/>
    <cellStyle name="差_1SerNet SAMPLE_A103100909---中怡sly_A104110202--中怡sly_Invoice_Invoice" xfId="8" xr:uid="{423F885D-4B4E-4609-B6A6-7F5ABA11E1A8}"/>
    <cellStyle name="差_1SerNet SAMPLE_A103100909---中怡sly_A106071403-中怡Daisy" xfId="205" xr:uid="{B83E64C6-D888-442E-89D3-B873997BBAA0}"/>
    <cellStyle name="差_1SerNet SAMPLE_A103100909---中怡sly_CONTRACT " xfId="207" xr:uid="{346C8661-D8EF-4A18-9D3F-3D141019B3A5}"/>
    <cellStyle name="差_1SerNet SAMPLE_A103100909---中怡sly_CONTRACT _1" xfId="211" xr:uid="{F9D37F4D-4D02-4FA0-BE0C-284E02E861C2}"/>
    <cellStyle name="差_1SerNet SAMPLE_A103100909---中怡sly_CONTRACT _CONTRACT " xfId="79" xr:uid="{C2AA1B68-BC27-4D03-AA20-5A693FA2CC0C}"/>
    <cellStyle name="差_1SerNet SAMPLE_A103100909---中怡sly_CONTRACT _Invoice" xfId="213" xr:uid="{4B377D60-8A69-48E9-9A27-3B7699FA2572}"/>
    <cellStyle name="差_1SerNet SAMPLE_A103100909---中怡sly_Invoice" xfId="215" xr:uid="{F972D0B6-EFB7-408E-9660-72037F68D236}"/>
    <cellStyle name="差_1SerNet SAMPLE_A103100909---中怡sly_Invoice_1" xfId="40" xr:uid="{D59F7977-889A-4495-87E4-2A4D790C6EDC}"/>
    <cellStyle name="差_1SerNet SAMPLE_A103100909---中怡sly_Invoice_CONTRACT " xfId="217" xr:uid="{181AF2E3-77FF-4D0F-9E50-E78942F85E08}"/>
    <cellStyle name="差_1SerNet SAMPLE_A103100909---中怡sly_Invoice_Invoice" xfId="221" xr:uid="{7F5B2E23-8A78-49C7-92FA-AAD51354C466}"/>
    <cellStyle name="差_1SerNet SAMPLE_A1040203--中怡Snow" xfId="224" xr:uid="{905CE1B0-B93F-4F8A-AF28-C2BEA40B068A}"/>
    <cellStyle name="差_1SerNet SAMPLE_A1040203--中怡Snow_A104081801--中怡sly" xfId="228" xr:uid="{1FABA513-B27C-48F9-98A4-2D85BE4B668C}"/>
    <cellStyle name="差_1SerNet SAMPLE_A1040203--中怡Snow_A104081801--中怡sly_CONTRACT " xfId="229" xr:uid="{91972530-E0BF-4987-991D-1FCB4E2C5608}"/>
    <cellStyle name="差_1SerNet SAMPLE_A1040203--中怡Snow_A104081801--中怡sly_CONTRACT _1" xfId="230" xr:uid="{1DA11CBF-E49D-4C2F-80D2-E0FF56278D39}"/>
    <cellStyle name="差_1SerNet SAMPLE_A1040203--中怡Snow_A104081801--中怡sly_CONTRACT _1_CONTRACT " xfId="233" xr:uid="{DB2F1281-F3E6-4FF2-9054-3D7945F13194}"/>
    <cellStyle name="差_1SerNet SAMPLE_A1040203--中怡Snow_A104081801--中怡sly_CONTRACT _1_Invoice" xfId="223" xr:uid="{AD108111-F88D-40B3-808C-EBD60E3E6789}"/>
    <cellStyle name="差_1SerNet SAMPLE_A1040203--中怡Snow_A104081801--中怡sly_CONTRACT _2" xfId="235" xr:uid="{25B65E37-D6F7-4F83-8626-95A66A5C43D2}"/>
    <cellStyle name="差_1SerNet SAMPLE_A1040203--中怡Snow_A104081801--中怡sly_CONTRACT _CONTRACT " xfId="26" xr:uid="{B54D5475-5102-42C5-9EA6-EAB421518B25}"/>
    <cellStyle name="差_1SerNet SAMPLE_A1040203--中怡Snow_A104081801--中怡sly_CONTRACT _Invoice" xfId="17" xr:uid="{7D674CD8-6D08-4C7C-9E8B-77F6F614F018}"/>
    <cellStyle name="差_1SerNet SAMPLE_A1040203--中怡Snow_A104081801--中怡sly_Invoice" xfId="239" xr:uid="{CC56DD91-21AB-4725-8B76-01B1DC639FB5}"/>
    <cellStyle name="差_1SerNet SAMPLE_A1040203--中怡Snow_A104081801--中怡sly_Invoice_1" xfId="42" xr:uid="{C55A4029-914C-43BC-B57D-EE2B4B842AF4}"/>
    <cellStyle name="差_1SerNet SAMPLE_A1040203--中怡Snow_A104081801--中怡sly_Invoice_1_CONTRACT " xfId="240" xr:uid="{DFC271D4-290B-4B71-8F64-A71FF7225A12}"/>
    <cellStyle name="差_1SerNet SAMPLE_A1040203--中怡Snow_A104081801--中怡sly_Invoice_1_Invoice" xfId="242" xr:uid="{F75F8031-A490-45FA-821C-4A55F6128C58}"/>
    <cellStyle name="差_1SerNet SAMPLE_A1040203--中怡Snow_A104081801--中怡sly_Invoice_2" xfId="244" xr:uid="{164DAD76-47A4-4E7F-A1C2-890EAF6018EF}"/>
    <cellStyle name="差_1SerNet SAMPLE_A1040203--中怡Snow_A104081801--中怡sly_Invoice_CONTRACT " xfId="247" xr:uid="{0721E41A-EDCF-465D-BAF0-43D1F6E4E6EC}"/>
    <cellStyle name="差_1SerNet SAMPLE_A1040203--中怡Snow_A104081801--中怡sly_Invoice_Invoice" xfId="250" xr:uid="{9FFEACC1-0094-4811-9AF0-C72FEF5D70B9}"/>
    <cellStyle name="差_1SerNet SAMPLE_A1040203--中怡Snow_A104110202--中怡sly" xfId="251" xr:uid="{ED2AA1FA-CFFB-4586-AA43-6A640952B551}"/>
    <cellStyle name="差_1SerNet SAMPLE_A1040203--中怡Snow_A104110202--中怡sly_CONTRACT " xfId="252" xr:uid="{15F65A3A-0766-4AC6-B5F4-27B3025897C8}"/>
    <cellStyle name="差_1SerNet SAMPLE_A1040203--中怡Snow_A104110202--中怡sly_CONTRACT _1" xfId="254" xr:uid="{69AE60CB-41E7-4EAF-AD0A-AD6C52E38DCE}"/>
    <cellStyle name="差_1SerNet SAMPLE_A1040203--中怡Snow_A104110202--中怡sly_CONTRACT _1_CONTRACT " xfId="258" xr:uid="{7D654D8F-D276-481E-834B-F79A971CFB93}"/>
    <cellStyle name="差_1SerNet SAMPLE_A1040203--中怡Snow_A104110202--中怡sly_CONTRACT _1_Invoice" xfId="15" xr:uid="{BAE6BB5F-E562-4EAF-AFD2-63B778FD23D4}"/>
    <cellStyle name="差_1SerNet SAMPLE_A1040203--中怡Snow_A104110202--中怡sly_CONTRACT _2" xfId="262" xr:uid="{6C7B8A7E-0091-4400-9F95-2436D5001828}"/>
    <cellStyle name="差_1SerNet SAMPLE_A1040203--中怡Snow_A104110202--中怡sly_CONTRACT _CONTRACT " xfId="264" xr:uid="{E7C08227-0863-4134-9698-5AB488D38A15}"/>
    <cellStyle name="差_1SerNet SAMPLE_A1040203--中怡Snow_A104110202--中怡sly_CONTRACT _Invoice" xfId="268" xr:uid="{070B5EF0-4D84-48B2-9004-817C91A699CA}"/>
    <cellStyle name="差_1SerNet SAMPLE_A1040203--中怡Snow_A104110202--中怡sly_Invoice" xfId="269" xr:uid="{DFC8A9EF-17D5-405E-8150-C00C46C0EE56}"/>
    <cellStyle name="差_1SerNet SAMPLE_A1040203--中怡Snow_A104110202--中怡sly_Invoice_1" xfId="28" xr:uid="{31C04885-270A-47D5-9160-6A781E1F0A27}"/>
    <cellStyle name="差_1SerNet SAMPLE_A1040203--中怡Snow_A104110202--中怡sly_Invoice_1_CONTRACT " xfId="270" xr:uid="{3D6A0630-126B-45E9-B504-9DFDAB900B7D}"/>
    <cellStyle name="差_1SerNet SAMPLE_A1040203--中怡Snow_A104110202--中怡sly_Invoice_1_Invoice" xfId="271" xr:uid="{67DA6CBC-B2CD-413B-A14C-9A19E9BDFFF5}"/>
    <cellStyle name="差_1SerNet SAMPLE_A1040203--中怡Snow_A104110202--中怡sly_Invoice_2" xfId="37" xr:uid="{9190E9F2-6BD6-46B4-BED0-61B243D2A201}"/>
    <cellStyle name="差_1SerNet SAMPLE_A1040203--中怡Snow_A104110202--中怡sly_Invoice_CONTRACT " xfId="273" xr:uid="{17A45458-8644-44F1-8731-AE4040956C95}"/>
    <cellStyle name="差_1SerNet SAMPLE_A1040203--中怡Snow_A104110202--中怡sly_Invoice_Invoice" xfId="275" xr:uid="{CDF6C6A6-2AA2-4CB8-B10B-C0627F137D36}"/>
    <cellStyle name="差_1SerNet SAMPLE_A1040203--中怡Snow_A106071403-中怡Daisy" xfId="277" xr:uid="{B85BF436-F47E-428F-A5CF-D9F5A5C72D74}"/>
    <cellStyle name="差_1SerNet SAMPLE_A1040203--中怡Snow_CONTRACT " xfId="78" xr:uid="{B67DDD93-9914-4846-B674-343EED84078B}"/>
    <cellStyle name="差_1SerNet SAMPLE_A1040203--中怡Snow_CONTRACT _1" xfId="278" xr:uid="{1272D530-C68B-433E-8B29-5A7A72DB96AA}"/>
    <cellStyle name="差_1SerNet SAMPLE_A1040203--中怡Snow_CONTRACT _CONTRACT " xfId="279" xr:uid="{03BAFBCA-5CB0-4E56-98F4-B44764A41F05}"/>
    <cellStyle name="差_1SerNet SAMPLE_A1040203--中怡Snow_CONTRACT _Invoice" xfId="280" xr:uid="{51E7B867-CC9F-4909-ACD1-D8B2714E33AC}"/>
    <cellStyle name="差_1SerNet SAMPLE_A1040203--中怡Snow_Invoice" xfId="174" xr:uid="{FA4D76EE-0807-4441-AA74-91C6F7CCD407}"/>
    <cellStyle name="差_1SerNet SAMPLE_A1040203--中怡Snow_Invoice_1" xfId="283" xr:uid="{4DB0EE54-9417-4FA4-B5C8-5F06079F5DFB}"/>
    <cellStyle name="差_1SerNet SAMPLE_A1040203--中怡Snow_Invoice_CONTRACT " xfId="285" xr:uid="{EA4DD146-2C89-4092-B873-FED012A694FD}"/>
    <cellStyle name="差_1SerNet SAMPLE_A1040203--中怡Snow_Invoice_Invoice" xfId="289" xr:uid="{0D0AD533-0F1E-40B4-B33B-BC7D1A257754}"/>
    <cellStyle name="差_1SerNet SAMPLE_A1040428--中怡fiona " xfId="291" xr:uid="{E3600C1E-25F4-447A-853F-C1ADAF9A32B8}"/>
    <cellStyle name="差_1SerNet SAMPLE_A1040428--中怡fiona _A106071403-中怡Daisy" xfId="106" xr:uid="{B69BCD86-31E7-4349-82DB-AC8C0EACF910}"/>
    <cellStyle name="差_1SerNet SAMPLE_A1040428--中怡fiona _CONTRACT " xfId="130" xr:uid="{2793EA67-B27B-4781-A155-E26CE64EC259}"/>
    <cellStyle name="差_1SerNet SAMPLE_A1040428--中怡fiona _CONTRACT _1" xfId="294" xr:uid="{D3075DDA-1EEB-4924-A94A-E79E8CB22209}"/>
    <cellStyle name="差_1SerNet SAMPLE_A1040428--中怡fiona _CONTRACT _CONTRACT " xfId="295" xr:uid="{4C8BD345-A3B2-4D39-8A11-89697865A94C}"/>
    <cellStyle name="差_1SerNet SAMPLE_A1040428--中怡fiona _CONTRACT _Invoice" xfId="22" xr:uid="{30FBEBED-421D-4063-B375-3DB8A8CFC3E3}"/>
    <cellStyle name="差_1SerNet SAMPLE_A1040428--中怡fiona _Invoice" xfId="39" xr:uid="{0A417EBA-B89C-49A7-A426-313D4C912DA1}"/>
    <cellStyle name="差_1SerNet SAMPLE_A1040428--中怡fiona _Invoice_1" xfId="296" xr:uid="{2C6AF504-9E34-431B-ACF6-36CE2323A0DB}"/>
    <cellStyle name="差_1SerNet SAMPLE_A1040428--中怡fiona _Invoice_CONTRACT " xfId="299" xr:uid="{331A0A5D-E170-462B-A930-4A772AB257BC}"/>
    <cellStyle name="差_1SerNet SAMPLE_A1040428--中怡fiona _Invoice_Invoice" xfId="95" xr:uid="{C775BFFA-DF27-4255-9BD3-E9DF39EFEF05}"/>
    <cellStyle name="差_1SerNet SAMPLE_A104110202--中怡sly" xfId="300" xr:uid="{ECCAE262-AC4C-45CA-8C58-418249DDF642}"/>
    <cellStyle name="差_1SerNet SAMPLE_A104110202--中怡sly_CONTRACT " xfId="66" xr:uid="{6748DC41-B16A-49CA-A91D-E4B8E8A6574B}"/>
    <cellStyle name="差_1SerNet SAMPLE_A104110202--中怡sly_CONTRACT _1" xfId="302" xr:uid="{EC7816FA-D50A-47CE-8534-74E0299F4D3A}"/>
    <cellStyle name="差_1SerNet SAMPLE_A104110202--中怡sly_CONTRACT _1_CONTRACT " xfId="306" xr:uid="{164FF9C9-6803-424C-B19A-52E82F0FAE4D}"/>
    <cellStyle name="差_1SerNet SAMPLE_A104110202--中怡sly_CONTRACT _1_Invoice" xfId="308" xr:uid="{39F8B7C6-295E-4387-A0F3-70C938976C58}"/>
    <cellStyle name="差_1SerNet SAMPLE_A104110202--中怡sly_CONTRACT _2" xfId="309" xr:uid="{C66EDE73-7538-459C-941B-2DE754B40B4B}"/>
    <cellStyle name="差_1SerNet SAMPLE_A104110202--中怡sly_CONTRACT _CONTRACT " xfId="314" xr:uid="{CF1F8A7B-0A5C-40FD-AE5D-726A1D520FCA}"/>
    <cellStyle name="差_1SerNet SAMPLE_A104110202--中怡sly_CONTRACT _Invoice" xfId="317" xr:uid="{E8CD9ECA-2034-4793-87B6-6F542A736701}"/>
    <cellStyle name="差_1SerNet SAMPLE_A104110202--中怡sly_Invoice" xfId="322" xr:uid="{ADF72C4C-7412-439F-BB00-72F4D2896523}"/>
    <cellStyle name="差_1SerNet SAMPLE_A104110202--中怡sly_Invoice_1" xfId="323" xr:uid="{9408A12C-9785-4E9A-A097-61EFBFEF7F41}"/>
    <cellStyle name="差_1SerNet SAMPLE_A104110202--中怡sly_Invoice_1_CONTRACT " xfId="298" xr:uid="{45B463BC-F686-40F7-B82E-CF9C60113653}"/>
    <cellStyle name="差_1SerNet SAMPLE_A104110202--中怡sly_Invoice_1_Invoice" xfId="325" xr:uid="{9280E8E4-4ADA-4FB1-B4DD-080D1F46256F}"/>
    <cellStyle name="差_1SerNet SAMPLE_A104110202--中怡sly_Invoice_2" xfId="329" xr:uid="{D1BE0706-F6E4-459D-8BEA-941F766D4FB1}"/>
    <cellStyle name="差_1SerNet SAMPLE_A104110202--中怡sly_Invoice_CONTRACT " xfId="330" xr:uid="{6F288B49-648E-40D6-A9D7-9EE7E1A818EB}"/>
    <cellStyle name="差_1SerNet SAMPLE_A104110202--中怡sly_Invoice_Invoice" xfId="331" xr:uid="{3C4BA694-DA80-4B75-86B5-85A7642A362B}"/>
    <cellStyle name="差_1SerNet SAMPLE_A106071403-中怡Daisy" xfId="111" xr:uid="{EE8FE509-6D0A-44FF-8B05-5A2DFF871035}"/>
    <cellStyle name="差_1SerNet SAMPLE_CONTRACT " xfId="333" xr:uid="{A7B8C491-9714-4A80-8C80-D6F3445E0370}"/>
    <cellStyle name="差_1SerNet SAMPLE_CONTRACT _1" xfId="335" xr:uid="{8D5830A0-3EDF-4213-8B3E-90F268820216}"/>
    <cellStyle name="差_1SerNet SAMPLE_CONTRACT _CONTRACT " xfId="336" xr:uid="{1B2055F6-B72F-4848-946F-D4E8424636FE}"/>
    <cellStyle name="差_1SerNet SAMPLE_CONTRACT _Invoice" xfId="338" xr:uid="{37BCE69F-8B2B-4C1B-870B-35A9CE231895}"/>
    <cellStyle name="差_1SerNet SAMPLE_Invoice" xfId="47" xr:uid="{45D4E5A5-6073-44E3-A10A-798CE69306D8}"/>
    <cellStyle name="差_1SerNet SAMPLE_Invoice_1" xfId="341" xr:uid="{37E9146A-48F2-4F8F-AB91-F63929E1FDB5}"/>
    <cellStyle name="差_1SerNet SAMPLE_Invoice_CONTRACT " xfId="343" xr:uid="{3C5C4BCD-AD1A-4201-B157-FD32F6B71C63}"/>
    <cellStyle name="差_1SerNet SAMPLE_Invoice_Invoice" xfId="115" xr:uid="{477802C7-0F19-4C6B-8D4D-B18C99D35111}"/>
    <cellStyle name="差_2015新版陆运托书" xfId="307" xr:uid="{55F67F2E-47F8-4CF5-B45E-B3BB1F58C70D}"/>
    <cellStyle name="差_2015新版陆运托书_A1040420--中怡fiona " xfId="155" xr:uid="{A70B5EF0-591A-404B-9D6C-2355458D999C}"/>
    <cellStyle name="差_2015新版陆运托书_A1040428--中怡fiona " xfId="128" xr:uid="{846BE4B3-9D72-4CB6-9BFE-3A7E1F0E9094}"/>
    <cellStyle name="差_2015新版陆运托书_A1040428--中怡fiona _A106071403-中怡Daisy" xfId="347" xr:uid="{B7F650DF-9785-4E66-A876-9AE9E9880765}"/>
    <cellStyle name="差_2015新版陆运托书_A1040428--中怡fiona _CONTRACT " xfId="350" xr:uid="{A032CD49-C5C6-4F3C-87F9-F40BEAA5E885}"/>
    <cellStyle name="差_2015新版陆运托书_A1040428--中怡fiona _CONTRACT _1" xfId="222" xr:uid="{19AC864A-DE33-4BAF-B563-AA1AFEB6A9E8}"/>
    <cellStyle name="差_2015新版陆运托书_A1040428--中怡fiona _CONTRACT _CONTRACT " xfId="143" xr:uid="{040DF8DD-35FE-4210-B64E-2AE8EEFC0679}"/>
    <cellStyle name="差_2015新版陆运托书_A1040428--中怡fiona _CONTRACT _Invoice" xfId="351" xr:uid="{341B1656-70B0-4776-98E0-5452B9A0CE33}"/>
    <cellStyle name="差_2015新版陆运托书_A1040428--中怡fiona _Invoice" xfId="98" xr:uid="{A69B3553-3CB7-43D9-B26B-55DFEF6EE7D3}"/>
    <cellStyle name="差_2015新版陆运托书_A1040428--中怡fiona _Invoice_1" xfId="185" xr:uid="{95A7BD8E-0D17-48CE-B469-95393A222BA5}"/>
    <cellStyle name="差_2015新版陆运托书_A1040428--中怡fiona _Invoice_CONTRACT " xfId="353" xr:uid="{C2743BB8-224C-473C-91D5-DC9156A4EAC1}"/>
    <cellStyle name="差_2015新版陆运托书_A1040428--中怡fiona _Invoice_Invoice" xfId="354" xr:uid="{4C689819-AE7A-4329-A910-2C4538E90D77}"/>
    <cellStyle name="差_2015新版陆运托书_A104081801--中怡sly" xfId="357" xr:uid="{EE955A85-60FB-449B-8CBD-1425FDD3AD9C}"/>
    <cellStyle name="差_2015新版陆运托书_A104081801--中怡sly_CONTRACT " xfId="359" xr:uid="{C20DC21A-545F-4A23-B770-6B29EB854F33}"/>
    <cellStyle name="差_2015新版陆运托书_A104081801--中怡sly_CONTRACT _1" xfId="356" xr:uid="{E93A16D2-477D-4F28-A78C-98FA340A061E}"/>
    <cellStyle name="差_2015新版陆运托书_A104081801--中怡sly_CONTRACT _1_CONTRACT " xfId="361" xr:uid="{629FD9FA-0E8A-4F1E-B1BF-09BE6265D9D2}"/>
    <cellStyle name="差_2015新版陆运托书_A104081801--中怡sly_CONTRACT _1_Invoice" xfId="362" xr:uid="{A785569C-C695-4B25-AC90-187C3E1DD049}"/>
    <cellStyle name="差_2015新版陆运托书_A104081801--中怡sly_CONTRACT _2" xfId="293" xr:uid="{4A297434-ED1E-433F-9A59-EE933C74C74C}"/>
    <cellStyle name="差_2015新版陆运托书_A104081801--中怡sly_CONTRACT _CONTRACT " xfId="190" xr:uid="{7BC53C02-789E-4DC6-9C94-C7952165C3F2}"/>
    <cellStyle name="差_2015新版陆运托书_A104081801--中怡sly_CONTRACT _Invoice" xfId="364" xr:uid="{E30DAC29-A22C-45E7-9D5F-E26032230ADD}"/>
    <cellStyle name="差_2015新版陆运托书_A104081801--中怡sly_Invoice" xfId="63" xr:uid="{AF4D83C2-A33C-4F97-97F0-48C514CBBE2E}"/>
    <cellStyle name="差_2015新版陆运托书_A104081801--中怡sly_Invoice_1" xfId="366" xr:uid="{D5D04AAE-442C-4266-BBE4-A8949E53C61E}"/>
    <cellStyle name="差_2015新版陆运托书_A104081801--中怡sly_Invoice_1_CONTRACT " xfId="368" xr:uid="{5B2624B7-13E9-4224-B6ED-BB928A1D1039}"/>
    <cellStyle name="差_2015新版陆运托书_A104081801--中怡sly_Invoice_1_Invoice" xfId="369" xr:uid="{B700B939-8715-4100-A5BB-946E58EE8FF2}"/>
    <cellStyle name="差_2015新版陆运托书_A104081801--中怡sly_Invoice_2" xfId="367" xr:uid="{52FF8257-6CC8-429E-98FF-5E9867524EC6}"/>
    <cellStyle name="差_2015新版陆运托书_A104081801--中怡sly_Invoice_CONTRACT " xfId="203" xr:uid="{C97BBFA2-F756-4889-A513-3E0E004659BC}"/>
    <cellStyle name="差_2015新版陆运托书_A104081801--中怡sly_Invoice_Invoice" xfId="370" xr:uid="{CFDC9011-9ACB-44BE-83C2-2C67C2D3CC53}"/>
    <cellStyle name="差_2015新版陆运托书_A104110201--中怡fiona -出貨注意事項" xfId="371" xr:uid="{04E2228B-4D21-480D-9C93-F00AB495ACAA}"/>
    <cellStyle name="差_2015新版陆运托书_A104110202--中怡sly" xfId="12" xr:uid="{D324F9EF-A64F-44B3-85DC-D03285146814}"/>
    <cellStyle name="差_2015新版陆运托书_A104110202--中怡sly_CONTRACT " xfId="372" xr:uid="{B16592AD-1DA5-462D-B6C0-4DB811C15F04}"/>
    <cellStyle name="差_2015新版陆运托书_A104110202--中怡sly_CONTRACT _1" xfId="358" xr:uid="{7BDB844E-0DB8-48D7-9D08-36318FA688C2}"/>
    <cellStyle name="差_2015新版陆运托书_A104110202--中怡sly_CONTRACT _1_CONTRACT " xfId="188" xr:uid="{1F7CFED3-8FCF-44DE-8E43-B29120CFA5A2}"/>
    <cellStyle name="差_2015新版陆运托书_A104110202--中怡sly_CONTRACT _1_Invoice" xfId="363" xr:uid="{98FA2BD4-EAC9-43D4-BBFB-3A6639CCA57C}"/>
    <cellStyle name="差_2015新版陆运托书_A104110202--中怡sly_CONTRACT _2" xfId="373" xr:uid="{049DD381-8351-4D95-89B0-DBDD06B848C4}"/>
    <cellStyle name="差_2015新版陆运托书_A104110202--中怡sly_CONTRACT _CONTRACT " xfId="33" xr:uid="{84E2EB89-7DA2-41C9-94FE-83456A79AF8F}"/>
    <cellStyle name="差_2015新版陆运托书_A104110202--中怡sly_CONTRACT _Invoice" xfId="68" xr:uid="{F4062D89-B820-4992-8B6E-A5A394AD34D4}"/>
    <cellStyle name="差_2015新版陆运托书_A104110202--中怡sly_Invoice" xfId="374" xr:uid="{AA59D1F6-EBC7-48D2-B4C6-623830FE1A0F}"/>
    <cellStyle name="差_2015新版陆运托书_A104110202--中怡sly_Invoice_1" xfId="377" xr:uid="{E1959D77-0A73-4D65-A7AE-9EE0ED164C72}"/>
    <cellStyle name="差_2015新版陆运托书_A104110202--中怡sly_Invoice_1_CONTRACT " xfId="382" xr:uid="{C866734C-9247-4F93-9F2F-DE451A5297F7}"/>
    <cellStyle name="差_2015新版陆运托书_A104110202--中怡sly_Invoice_1_Invoice" xfId="385" xr:uid="{691C9423-E2AF-4390-9D44-0307DE144E03}"/>
    <cellStyle name="差_2015新版陆运托书_A104110202--中怡sly_Invoice_2" xfId="386" xr:uid="{58B71A29-452A-43DD-A039-79088560D703}"/>
    <cellStyle name="差_2015新版陆运托书_A104110202--中怡sly_Invoice_CONTRACT " xfId="387" xr:uid="{938DEE62-7C52-4EB5-87A7-F6A1623CC270}"/>
    <cellStyle name="差_2015新版陆运托书_A104110202--中怡sly_Invoice_Invoice" xfId="388" xr:uid="{51B004B4-6115-4A7E-B79E-D34A91BE8199}"/>
    <cellStyle name="差_2015新版陆运托书_A106071403-中怡Daisy" xfId="195" xr:uid="{ABEB8E90-70EB-47A0-987E-F143A586A4E9}"/>
    <cellStyle name="差_2015新版陆运托书_CONTRACT " xfId="389" xr:uid="{E52067DE-A894-42CF-885C-A0D896E3C67B}"/>
    <cellStyle name="差_2015新版陆运托书_CONTRACT _1" xfId="120" xr:uid="{AA8E74D1-5C28-4780-BAEE-7DB23ABB17FA}"/>
    <cellStyle name="差_2015新版陆运托书_CONTRACT _CONTRACT " xfId="391" xr:uid="{337DF925-BA7A-4462-B7E9-7B63EB94E9D0}"/>
    <cellStyle name="差_2015新版陆运托书_CONTRACT _Invoice" xfId="35" xr:uid="{253F6FEC-1A65-464D-A5C4-A732392C638C}"/>
    <cellStyle name="差_2015新版陆运托书_Invoice" xfId="56" xr:uid="{886072BD-869E-477D-AA25-4642F4258EC1}"/>
    <cellStyle name="差_2015新版陆运托书_Invoice_1" xfId="393" xr:uid="{68FB1B62-15F3-4466-874F-8813BC7DCA46}"/>
    <cellStyle name="差_2015新版陆运托书_Invoice_CONTRACT " xfId="394" xr:uid="{AA6A2D89-A4F8-42FA-9ECE-FAE32A387233}"/>
    <cellStyle name="差_2015新版陆运托书_Invoice_Invoice" xfId="395" xr:uid="{73A4FBC6-7BBD-4992-B01A-97BA15B525CA}"/>
    <cellStyle name="差_5月平衡表A1005_Rev0617(需求量)" xfId="396" xr:uid="{2D53D056-C027-465A-8029-951F1B39DB61}"/>
    <cellStyle name="差_5月平衡表A1005_Rev0617(需求量)_A103100909---中怡sly" xfId="397" xr:uid="{E455B471-1349-4354-A2C4-E8FF219B612F}"/>
    <cellStyle name="差_5月平衡表A1005_Rev0617(需求量)_A103100909---中怡sly_A104110202--中怡sly" xfId="403" xr:uid="{21BD36DE-A17C-4207-B418-4E3BACE2EAC7}"/>
    <cellStyle name="差_5月平衡表A1005_Rev0617(需求量)_A103100909---中怡sly_A104110202--中怡sly_CONTRACT " xfId="404" xr:uid="{028D24F6-2CB5-4E77-B02B-5666F66AB313}"/>
    <cellStyle name="差_5月平衡表A1005_Rev0617(需求量)_A103100909---中怡sly_A104110202--中怡sly_CONTRACT _1" xfId="378" xr:uid="{BB7188E1-C04E-43EA-9CC3-8EE5118C2715}"/>
    <cellStyle name="差_5月平衡表A1005_Rev0617(需求量)_A103100909---中怡sly_A104110202--中怡sly_CONTRACT _1_CONTRACT " xfId="225" xr:uid="{5956008E-3EB3-4C97-ACD4-4ABEFD460FA0}"/>
    <cellStyle name="差_5月平衡表A1005_Rev0617(需求量)_A103100909---中怡sly_A104110202--中怡sly_CONTRACT _1_Invoice" xfId="405" xr:uid="{E0748170-6E52-4B22-8FB9-C5BA5095AB39}"/>
    <cellStyle name="差_5月平衡表A1005_Rev0617(需求量)_A103100909---中怡sly_A104110202--中怡sly_CONTRACT _2" xfId="410" xr:uid="{994E8986-9C19-4FA8-AF24-39E4632D7A41}"/>
    <cellStyle name="差_5月平衡表A1005_Rev0617(需求量)_A103100909---中怡sly_A104110202--中怡sly_CONTRACT _CONTRACT " xfId="411" xr:uid="{0BE8F6B2-142D-4268-8841-DCB4B1AEB858}"/>
    <cellStyle name="差_5月平衡表A1005_Rev0617(需求量)_A103100909---中怡sly_A104110202--中怡sly_CONTRACT _Invoice" xfId="29" xr:uid="{DE8CA6A5-EAFA-44D7-9E4E-3C8C7A17DC1C}"/>
    <cellStyle name="差_5月平衡表A1005_Rev0617(需求量)_A103100909---中怡sly_A104110202--中怡sly_Invoice" xfId="160" xr:uid="{4332EECD-B2BB-4493-A7D0-EA30F1466E57}"/>
    <cellStyle name="差_5月平衡表A1005_Rev0617(需求量)_A103100909---中怡sly_A104110202--中怡sly_Invoice_1" xfId="414" xr:uid="{E0D056F4-DE33-4F3F-87AA-8EB1AD56147E}"/>
    <cellStyle name="差_5月平衡表A1005_Rev0617(需求量)_A103100909---中怡sly_A104110202--中怡sly_Invoice_1_CONTRACT " xfId="93" xr:uid="{DE382FC6-C3E1-4BFB-8634-9592EAE5FF51}"/>
    <cellStyle name="差_5月平衡表A1005_Rev0617(需求量)_A103100909---中怡sly_A104110202--中怡sly_Invoice_1_Invoice" xfId="416" xr:uid="{F6163C4D-A0A1-4922-870C-BDCF077CB6FB}"/>
    <cellStyle name="差_5月平衡表A1005_Rev0617(需求量)_A103100909---中怡sly_A104110202--中怡sly_Invoice_2" xfId="182" xr:uid="{158FEF2B-130E-4355-8596-0529013354DE}"/>
    <cellStyle name="差_5月平衡表A1005_Rev0617(需求量)_A103100909---中怡sly_A104110202--中怡sly_Invoice_CONTRACT " xfId="167" xr:uid="{3230404C-5617-4D7D-9F1A-A60E9C3265D0}"/>
    <cellStyle name="差_5月平衡表A1005_Rev0617(需求量)_A103100909---中怡sly_A104110202--中怡sly_Invoice_Invoice" xfId="197" xr:uid="{902DC263-A96E-4DC2-AF7C-FECBC5ADDD22}"/>
    <cellStyle name="差_5月平衡表A1005_Rev0617(需求量)_A103100909---中怡sly_A106071403-中怡Daisy" xfId="419" xr:uid="{E4F14E47-D152-4FF1-AAF4-50D4A26CA871}"/>
    <cellStyle name="差_5月平衡表A1005_Rev0617(需求量)_A103100909---中怡sly_CONTRACT " xfId="52" xr:uid="{2CAACC72-2F99-4916-A0C1-BF4EFAA9BAC8}"/>
    <cellStyle name="差_5月平衡表A1005_Rev0617(需求量)_A103100909---中怡sly_CONTRACT _1" xfId="422" xr:uid="{5FD84955-3CEA-47AE-AAE3-EEFF55D6828E}"/>
    <cellStyle name="差_5月平衡表A1005_Rev0617(需求量)_A103100909---中怡sly_CONTRACT _CONTRACT " xfId="424" xr:uid="{F989B648-8055-4B35-A82B-5A10D599A2BD}"/>
    <cellStyle name="差_5月平衡表A1005_Rev0617(需求量)_A103100909---中怡sly_CONTRACT _Invoice" xfId="303" xr:uid="{05C94446-FE42-464E-8BB9-DC4EEAA22897}"/>
    <cellStyle name="差_5月平衡表A1005_Rev0617(需求量)_A103100909---中怡sly_Invoice" xfId="427" xr:uid="{B0797C8E-B1E4-40F3-8EC4-E863A9D473DF}"/>
    <cellStyle name="差_5月平衡表A1005_Rev0617(需求量)_A103100909---中怡sly_Invoice_1" xfId="431" xr:uid="{51DBEA82-AF76-49C4-8467-CDA73C7AC83C}"/>
    <cellStyle name="差_5月平衡表A1005_Rev0617(需求量)_A103100909---中怡sly_Invoice_CONTRACT " xfId="140" xr:uid="{47A91BA9-9913-4027-85B5-B5C40E7D0DCC}"/>
    <cellStyle name="差_5月平衡表A1005_Rev0617(需求量)_A103100909---中怡sly_Invoice_Invoice" xfId="165" xr:uid="{DF8A3866-2D66-4C59-8527-692F683F8D6C}"/>
    <cellStyle name="差_5月平衡表A1005_Rev0617(需求量)_A1040203--中怡Snow" xfId="432" xr:uid="{CF21270E-4525-4351-93E9-7BDDE2250A81}"/>
    <cellStyle name="差_5月平衡表A1005_Rev0617(需求量)_A1040203--中怡Snow_A104081801--中怡sly" xfId="437" xr:uid="{D80B17F0-FFB9-4537-A7B1-F845F1C11DCF}"/>
    <cellStyle name="差_5月平衡表A1005_Rev0617(需求量)_A1040203--中怡Snow_A104081801--中怡sly_CONTRACT " xfId="253" xr:uid="{64F2C272-24DC-46F3-BC9E-08F4C17CF31E}"/>
    <cellStyle name="差_5月平衡表A1005_Rev0617(需求量)_A1040203--中怡Snow_A104081801--中怡sly_CONTRACT _1" xfId="438" xr:uid="{D9AE7F2F-85A4-4B8A-88EE-248AC49DADA3}"/>
    <cellStyle name="差_5月平衡表A1005_Rev0617(需求量)_A1040203--中怡Snow_A104081801--中怡sly_CONTRACT _1_CONTRACT " xfId="439" xr:uid="{233B4760-1A3A-49EF-991B-7D957753C3CA}"/>
    <cellStyle name="差_5月平衡表A1005_Rev0617(需求量)_A1040203--中怡Snow_A104081801--中怡sly_CONTRACT _1_Invoice" xfId="345" xr:uid="{736394D4-3F65-4929-ADB2-CB48261AF72E}"/>
    <cellStyle name="差_5月平衡表A1005_Rev0617(需求量)_A1040203--中怡Snow_A104081801--中怡sly_CONTRACT _2" xfId="440" xr:uid="{81C6B1F6-02BF-41B3-A40B-7666E293A3BE}"/>
    <cellStyle name="差_5月平衡表A1005_Rev0617(需求量)_A1040203--中怡Snow_A104081801--中怡sly_CONTRACT _CONTRACT " xfId="256" xr:uid="{3C239E9F-C13E-4B5C-99A2-2706B69E0E0C}"/>
    <cellStyle name="差_5月平衡表A1005_Rev0617(需求量)_A1040203--中怡Snow_A104081801--中怡sly_CONTRACT _Invoice" xfId="16" xr:uid="{11DCCA4A-4437-4DB6-85EE-2F9F0B4F04D3}"/>
    <cellStyle name="差_5月平衡表A1005_Rev0617(需求量)_A1040203--中怡Snow_A104081801--中怡sly_Invoice" xfId="445" xr:uid="{8588834C-1DFD-4976-A212-F97BA02D5D93}"/>
    <cellStyle name="差_5月平衡表A1005_Rev0617(需求量)_A1040203--中怡Snow_A104081801--中怡sly_Invoice_1" xfId="113" xr:uid="{1DEEEC16-8498-424D-A112-2F328A8F6381}"/>
    <cellStyle name="差_5月平衡表A1005_Rev0617(需求量)_A1040203--中怡Snow_A104081801--中怡sly_Invoice_1_CONTRACT " xfId="446" xr:uid="{7D3CD23A-8ECF-439F-8224-4024B2763DC4}"/>
    <cellStyle name="差_5月平衡表A1005_Rev0617(需求量)_A1040203--中怡Snow_A104081801--中怡sly_Invoice_1_Invoice" xfId="448" xr:uid="{5FCEA184-7471-4E86-8757-9F910839ED2E}"/>
    <cellStyle name="差_5月平衡表A1005_Rev0617(需求量)_A1040203--中怡Snow_A104081801--中怡sly_Invoice_2" xfId="24" xr:uid="{55A798F3-1980-4E8E-BB11-E293FC355DE4}"/>
    <cellStyle name="差_5月平衡表A1005_Rev0617(需求量)_A1040203--中怡Snow_A104081801--中怡sly_Invoice_CONTRACT " xfId="452" xr:uid="{C7373F99-18CE-4F1B-9E9D-61349798D08A}"/>
    <cellStyle name="差_5月平衡表A1005_Rev0617(需求量)_A1040203--中怡Snow_A104081801--中怡sly_Invoice_Invoice" xfId="454" xr:uid="{82524A9D-013A-4733-B2E9-FE7B24272423}"/>
    <cellStyle name="差_5月平衡表A1005_Rev0617(需求量)_A1040203--中怡Snow_A104110202--中怡sly" xfId="456" xr:uid="{8D467F2A-64EA-4042-B304-458D95878956}"/>
    <cellStyle name="差_5月平衡表A1005_Rev0617(需求量)_A1040203--中怡Snow_A104110202--中怡sly_CONTRACT " xfId="74" xr:uid="{13CE056E-2E5B-4252-831F-8F16F9719D11}"/>
    <cellStyle name="差_5月平衡表A1005_Rev0617(需求量)_A1040203--中怡Snow_A104110202--中怡sly_CONTRACT _1" xfId="457" xr:uid="{2F0EC638-04B2-4924-9C4C-FAFF20415405}"/>
    <cellStyle name="差_5月平衡表A1005_Rev0617(需求量)_A1040203--中怡Snow_A104110202--中怡sly_CONTRACT _1_CONTRACT " xfId="458" xr:uid="{43DECF8D-6E40-4168-8994-39FDA81E6352}"/>
    <cellStyle name="差_5月平衡表A1005_Rev0617(需求量)_A1040203--中怡Snow_A104110202--中怡sly_CONTRACT _1_Invoice" xfId="83" xr:uid="{23EC79EA-B3BA-409C-8D3F-C9537709D442}"/>
    <cellStyle name="差_5月平衡表A1005_Rev0617(需求量)_A1040203--中怡Snow_A104110202--中怡sly_CONTRACT _2" xfId="461" xr:uid="{F6B80B9C-CCB7-46BD-86D8-89CBA992DAFC}"/>
    <cellStyle name="差_5月平衡表A1005_Rev0617(需求量)_A1040203--中怡Snow_A104110202--中怡sly_CONTRACT _CONTRACT " xfId="463" xr:uid="{72756628-F987-4F31-8650-922F57B8B0E5}"/>
    <cellStyle name="差_5月平衡表A1005_Rev0617(需求量)_A1040203--中怡Snow_A104110202--中怡sly_CONTRACT _Invoice" xfId="316" xr:uid="{AA557BD6-7EDF-4B14-9B69-64B348CDC398}"/>
    <cellStyle name="差_5月平衡表A1005_Rev0617(需求量)_A1040203--中怡Snow_A104110202--中怡sly_Invoice" xfId="464" xr:uid="{095FF3C9-E4DF-484F-B3B4-794FCF023534}"/>
    <cellStyle name="差_5月平衡表A1005_Rev0617(需求量)_A1040203--中怡Snow_A104110202--中怡sly_Invoice_1" xfId="466" xr:uid="{3F55CD9D-199C-4D17-BC16-16FDD24BB586}"/>
    <cellStyle name="差_5月平衡表A1005_Rev0617(需求量)_A1040203--中怡Snow_A104110202--中怡sly_Invoice_1_CONTRACT " xfId="59" xr:uid="{3A6F2462-2C53-4D44-812B-0BFF3DF01EF0}"/>
    <cellStyle name="差_5月平衡表A1005_Rev0617(需求量)_A1040203--中怡Snow_A104110202--中怡sly_Invoice_1_Invoice" xfId="467" xr:uid="{B3AD6E6C-C883-4D58-BDA9-BC14643FDA50}"/>
    <cellStyle name="差_5月平衡表A1005_Rev0617(需求量)_A1040203--中怡Snow_A104110202--中怡sly_Invoice_2" xfId="282" xr:uid="{72B5E60D-1A66-4FA9-8626-22BFFCE833E2}"/>
    <cellStyle name="差_5月平衡表A1005_Rev0617(需求量)_A1040203--中怡Snow_A104110202--中怡sly_Invoice_CONTRACT " xfId="433" xr:uid="{19AE9040-460A-4B8D-ABD2-E91CF6A19E55}"/>
    <cellStyle name="差_5月平衡表A1005_Rev0617(需求量)_A1040203--中怡Snow_A104110202--中怡sly_Invoice_Invoice" xfId="469" xr:uid="{FFD6B4F4-3833-4E27-88F0-33C17E6098FB}"/>
    <cellStyle name="差_5月平衡表A1005_Rev0617(需求量)_A1040203--中怡Snow_A106071403-中怡Daisy" xfId="468" xr:uid="{F3F32449-0DC4-471B-B1A6-ACC18178EDF7}"/>
    <cellStyle name="差_5月平衡表A1005_Rev0617(需求量)_A1040203--中怡Snow_CONTRACT " xfId="472" xr:uid="{648AD6F5-96DA-4C24-B7F8-0205F8A1FA63}"/>
    <cellStyle name="差_5月平衡表A1005_Rev0617(需求量)_A1040203--中怡Snow_CONTRACT _1" xfId="475" xr:uid="{F3D008A4-530D-4464-9AD1-0BAF09172453}"/>
    <cellStyle name="差_5月平衡表A1005_Rev0617(需求量)_A1040203--中怡Snow_CONTRACT _CONTRACT " xfId="346" xr:uid="{C1FBFD8D-3424-424C-B9C3-D2E32B734AE8}"/>
    <cellStyle name="差_5月平衡表A1005_Rev0617(需求量)_A1040203--中怡Snow_CONTRACT _Invoice" xfId="479" xr:uid="{36387827-03A9-4AE3-8A46-EE7676A4E3F2}"/>
    <cellStyle name="差_5月平衡表A1005_Rev0617(需求量)_A1040203--中怡Snow_Invoice" xfId="481" xr:uid="{8FA9206E-9B3B-47DE-AA16-1E25C85494A0}"/>
    <cellStyle name="差_5月平衡表A1005_Rev0617(需求量)_A1040203--中怡Snow_Invoice_1" xfId="58" xr:uid="{93D7DF01-B78A-446E-843C-608E0819BE11}"/>
    <cellStyle name="差_5月平衡表A1005_Rev0617(需求量)_A1040203--中怡Snow_Invoice_CONTRACT " xfId="483" xr:uid="{0002F83A-3641-403B-B81A-06919FCEFB66}"/>
    <cellStyle name="差_5月平衡表A1005_Rev0617(需求量)_A1040203--中怡Snow_Invoice_Invoice" xfId="484" xr:uid="{020621A4-8D96-45EB-9088-73E7A8980100}"/>
    <cellStyle name="差_5月平衡表A1005_Rev0617(需求量)_A1040428--中怡fiona " xfId="465" xr:uid="{3C2337C4-A75B-4940-86DE-19D8180E8A8B}"/>
    <cellStyle name="差_5月平衡表A1005_Rev0617(需求量)_A1040428--中怡fiona _A106071403-中怡Daisy" xfId="486" xr:uid="{33AAD1F4-0F7B-4B71-BEE9-2AC807DEDDA2}"/>
    <cellStyle name="差_5月平衡表A1005_Rev0617(需求量)_A1040428--中怡fiona _CONTRACT " xfId="435" xr:uid="{C1A13CEA-D205-4B03-B1BA-B352AF9CB8AF}"/>
    <cellStyle name="差_5月平衡表A1005_Rev0617(需求量)_A1040428--中怡fiona _CONTRACT _1" xfId="491" xr:uid="{4772C518-3BA9-4FA3-BAFF-C376C7AD98C0}"/>
    <cellStyle name="差_5月平衡表A1005_Rev0617(需求量)_A1040428--中怡fiona _CONTRACT _CONTRACT " xfId="474" xr:uid="{DBF45957-C17B-4DE6-8C4F-93579C62343E}"/>
    <cellStyle name="差_5月平衡表A1005_Rev0617(需求量)_A1040428--中怡fiona _CONTRACT _Invoice" xfId="482" xr:uid="{722F9B63-23DD-442D-A642-BF16C63BE3B6}"/>
    <cellStyle name="差_5月平衡表A1005_Rev0617(需求量)_A1040428--中怡fiona _Invoice" xfId="470" xr:uid="{68169933-AE07-4F4D-B56F-ADA0CDBBB256}"/>
    <cellStyle name="差_5月平衡表A1005_Rev0617(需求量)_A1040428--中怡fiona _Invoice_1" xfId="493" xr:uid="{F97E86C8-A9E9-48BF-AD07-5417778B4022}"/>
    <cellStyle name="差_5月平衡表A1005_Rev0617(需求量)_A1040428--中怡fiona _Invoice_CONTRACT " xfId="495" xr:uid="{B363FD8E-5867-40E6-B192-514384290A77}"/>
    <cellStyle name="差_5月平衡表A1005_Rev0617(需求量)_A1040428--中怡fiona _Invoice_Invoice" xfId="496" xr:uid="{AEC60666-68CF-404B-BEE2-AD0A14CE5815}"/>
    <cellStyle name="差_5月平衡表A1005_Rev0617(需求量)_A104110202--中怡sly" xfId="19" xr:uid="{27627224-2000-4016-8121-B5B0EF9731FC}"/>
    <cellStyle name="差_5月平衡表A1005_Rev0617(需求量)_A104110202--中怡sly_CONTRACT " xfId="186" xr:uid="{83AB8912-F8CB-49E2-BC9B-46908118DF08}"/>
    <cellStyle name="差_5月平衡表A1005_Rev0617(需求量)_A104110202--中怡sly_CONTRACT _1" xfId="497" xr:uid="{A1806AEE-B977-4B68-AF9A-1C5289C686C2}"/>
    <cellStyle name="差_5月平衡表A1005_Rev0617(需求量)_A104110202--中怡sly_CONTRACT _1_CONTRACT " xfId="499" xr:uid="{CEB024E0-F6CB-47E6-BFBE-26AD5E1DCB4E}"/>
    <cellStyle name="差_5月平衡表A1005_Rev0617(需求量)_A104110202--中怡sly_CONTRACT _1_Invoice" xfId="227" xr:uid="{1D0B3EC5-6BDC-40F1-BD55-51A4069A9346}"/>
    <cellStyle name="差_5月平衡表A1005_Rev0617(需求量)_A104110202--中怡sly_CONTRACT _2" xfId="133" xr:uid="{1E8EA262-EAA7-4D70-90B0-C8304832F81D}"/>
    <cellStyle name="差_5月平衡表A1005_Rev0617(需求量)_A104110202--中怡sly_CONTRACT _CONTRACT " xfId="501" xr:uid="{835E43AA-E197-42E6-A883-0AA7BA698B91}"/>
    <cellStyle name="差_5月平衡表A1005_Rev0617(需求量)_A104110202--中怡sly_CONTRACT _Invoice" xfId="65" xr:uid="{64570DE7-0B81-4F10-9AF4-742658F71BF9}"/>
    <cellStyle name="差_5月平衡表A1005_Rev0617(需求量)_A104110202--中怡sly_Invoice" xfId="503" xr:uid="{BE3C84FF-959E-4954-B20E-806D86B17C86}"/>
    <cellStyle name="差_5月平衡表A1005_Rev0617(需求量)_A104110202--中怡sly_Invoice_1" xfId="27" xr:uid="{0B5543D8-D66D-43DA-81AA-68AE2ACE001A}"/>
    <cellStyle name="差_5月平衡表A1005_Rev0617(需求量)_A104110202--中怡sly_Invoice_1_CONTRACT " xfId="30" xr:uid="{3CBEB8A0-BB43-4D1B-9166-21368BBEAB44}"/>
    <cellStyle name="差_5月平衡表A1005_Rev0617(需求量)_A104110202--中怡sly_Invoice_1_Invoice" xfId="123" xr:uid="{72CF8F25-2764-4257-B709-4D78B0CA7CDC}"/>
    <cellStyle name="差_5月平衡表A1005_Rev0617(需求量)_A104110202--中怡sly_Invoice_2" xfId="31" xr:uid="{0D440D94-D1E1-4FA6-9698-C6C369FEB6D1}"/>
    <cellStyle name="差_5月平衡表A1005_Rev0617(需求量)_A104110202--中怡sly_Invoice_CONTRACT " xfId="507" xr:uid="{F98ABC89-A5B8-41E1-80C1-4EC482EE3801}"/>
    <cellStyle name="差_5月平衡表A1005_Rev0617(需求量)_A104110202--中怡sly_Invoice_Invoice" xfId="108" xr:uid="{C55A9D76-D9BA-475E-9216-9E97DC452FA6}"/>
    <cellStyle name="差_5月平衡表A1005_Rev0617(需求量)_A106071403-中怡Daisy" xfId="320" xr:uid="{7A269EAA-CE15-4DC2-A374-782BB5E9EB23}"/>
    <cellStyle name="差_5月平衡表A1005_Rev0617(需求量)_CONTRACT " xfId="409" xr:uid="{6E888A6E-E2D0-4EE3-9BA3-36E565B47C25}"/>
    <cellStyle name="差_5月平衡表A1005_Rev0617(需求量)_CONTRACT _1" xfId="311" xr:uid="{593795EF-6D62-409C-B0AF-3B62FDDE57BC}"/>
    <cellStyle name="差_5月平衡表A1005_Rev0617(需求量)_CONTRACT _CONTRACT " xfId="281" xr:uid="{D0C8D4F1-E915-4EBF-A15A-BAF0FB5C2D2F}"/>
    <cellStyle name="差_5月平衡表A1005_Rev0617(需求量)_CONTRACT _Invoice" xfId="510" xr:uid="{94FF7E89-4CD7-48B3-B068-34959FE81907}"/>
    <cellStyle name="差_5月平衡表A1005_Rev0617(需求量)_Invoice" xfId="515" xr:uid="{9E73A416-9864-4D63-9F6A-AFB2135B801E}"/>
    <cellStyle name="差_5月平衡表A1005_Rev0617(需求量)_Invoice_1" xfId="402" xr:uid="{D899D6BB-8CF6-46AA-9E66-E5122E324BDF}"/>
    <cellStyle name="差_5月平衡表A1005_Rev0617(需求量)_Invoice_CONTRACT " xfId="519" xr:uid="{623ED5FF-7C20-4A48-A405-7EF15F1E7FB1}"/>
    <cellStyle name="差_5月平衡表A1005_Rev0617(需求量)_Invoice_Invoice" xfId="522" xr:uid="{3946E823-4FF9-4AA7-BBEE-BD80E909407C}"/>
    <cellStyle name="差_6月平衡表A1006_Rev0716" xfId="219" xr:uid="{9A18F335-0082-4FE5-AED1-8B027F435DA2}"/>
    <cellStyle name="差_6月平衡表A1006_Rev0716_A103100909---中怡sly" xfId="450" xr:uid="{B28ECD7C-58B6-4005-9A75-8E51D44EAF8F}"/>
    <cellStyle name="差_6月平衡表A1006_Rev0716_A103100909---中怡sly_A104110202--中怡sly" xfId="523" xr:uid="{02041DC6-F1CF-451B-AC56-42885DC20799}"/>
    <cellStyle name="差_6月平衡表A1006_Rev0716_A103100909---中怡sly_A104110202--中怡sly_CONTRACT " xfId="512" xr:uid="{11840F8E-4EAD-4EC3-89EA-FAAFD1628ABC}"/>
    <cellStyle name="差_6月平衡表A1006_Rev0716_A103100909---中怡sly_A104110202--中怡sly_CONTRACT _1" xfId="401" xr:uid="{68BC5944-90E5-4719-8702-FBF7B1AE22B3}"/>
    <cellStyle name="差_6月平衡表A1006_Rev0716_A103100909---中怡sly_A104110202--中怡sly_CONTRACT _1_CONTRACT " xfId="55" xr:uid="{FE0E1D8E-5CB8-4F43-B151-0EDAFF057946}"/>
    <cellStyle name="差_6月平衡表A1006_Rev0716_A103100909---中怡sly_A104110202--中怡sly_CONTRACT _1_Invoice" xfId="430" xr:uid="{C1D6B813-1F11-473B-BF08-42F9739E7911}"/>
    <cellStyle name="差_6月平衡表A1006_Rev0716_A103100909---中怡sly_A104110202--中怡sly_CONTRACT _2" xfId="206" xr:uid="{DE5BE717-D437-4ADF-B15A-1C184004DA7A}"/>
    <cellStyle name="差_6月平衡表A1006_Rev0716_A103100909---中怡sly_A104110202--中怡sly_CONTRACT _CONTRACT " xfId="516" xr:uid="{F9EC099F-5A4C-4747-A2D1-5B71F3FE6F2D}"/>
    <cellStyle name="差_6月平衡表A1006_Rev0716_A103100909---中怡sly_A104110202--中怡sly_CONTRACT _Invoice" xfId="520" xr:uid="{CF5146D6-C7AB-4773-8ACC-EB397032AB2B}"/>
    <cellStyle name="差_6月平衡表A1006_Rev0716_A103100909---中怡sly_A104110202--中怡sly_Invoice" xfId="301" xr:uid="{56B545C3-E8C4-4F47-B622-A9A77B4612AF}"/>
    <cellStyle name="差_6月平衡表A1006_Rev0716_A103100909---中怡sly_A104110202--中怡sly_Invoice_1" xfId="524" xr:uid="{29217B82-A147-429D-8D09-BA8D37B4A49F}"/>
    <cellStyle name="差_6月平衡表A1006_Rev0716_A103100909---中怡sly_A104110202--中怡sly_Invoice_1_CONTRACT " xfId="494" xr:uid="{16190816-FB9E-47D4-A97E-08CD593F8EB8}"/>
    <cellStyle name="差_6月平衡表A1006_Rev0716_A103100909---中怡sly_A104110202--中怡sly_Invoice_1_Invoice" xfId="135" xr:uid="{9CDB0C45-EA82-46AF-8B92-708C5FF0E4D7}"/>
    <cellStyle name="差_6月平衡表A1006_Rev0716_A103100909---中怡sly_A104110202--中怡sly_Invoice_2" xfId="525" xr:uid="{0FCFBA72-F49F-4B04-AC50-A0F27BC3FD44}"/>
    <cellStyle name="差_6月平衡表A1006_Rev0716_A103100909---中怡sly_A104110202--中怡sly_Invoice_CONTRACT " xfId="67" xr:uid="{24794B10-1DF1-41C0-9F23-BFA5ABC7426B}"/>
    <cellStyle name="差_6月平衡表A1006_Rev0716_A103100909---中怡sly_A104110202--中怡sly_Invoice_Invoice" xfId="319" xr:uid="{DCB1C765-A675-4037-AC48-696BD70048E6}"/>
    <cellStyle name="差_6月平衡表A1006_Rev0716_A103100909---中怡sly_A106071403-中怡Daisy" xfId="528" xr:uid="{8300DD73-F3A9-42EC-B7BE-5B62E32FF09A}"/>
    <cellStyle name="差_6月平衡表A1006_Rev0716_A103100909---中怡sly_CONTRACT " xfId="531" xr:uid="{4B8AC0B9-3D29-413D-9052-8CEA5E24B776}"/>
    <cellStyle name="差_6月平衡表A1006_Rev0716_A103100909---中怡sly_CONTRACT _1" xfId="532" xr:uid="{2CF2F593-8D5E-497F-9B50-F663A1BB7AB8}"/>
    <cellStyle name="差_6月平衡表A1006_Rev0716_A103100909---中怡sly_CONTRACT _CONTRACT " xfId="533" xr:uid="{6160ACC1-66B5-4DEE-AF30-39D6A9A9250B}"/>
    <cellStyle name="差_6月平衡表A1006_Rev0716_A103100909---中怡sly_CONTRACT _Invoice" xfId="243" xr:uid="{C90D6BC1-838E-450C-8C2F-5D6B4A6E4DF1}"/>
    <cellStyle name="差_6月平衡表A1006_Rev0716_A103100909---中怡sly_Invoice" xfId="537" xr:uid="{039019AA-E2F4-4C7E-8D33-D46C9D862880}"/>
    <cellStyle name="差_6月平衡表A1006_Rev0716_A103100909---中怡sly_Invoice_1" xfId="538" xr:uid="{95EF4D3D-7E68-4B50-B499-3F0DA89E0EA9}"/>
    <cellStyle name="差_6月平衡表A1006_Rev0716_A103100909---中怡sly_Invoice_CONTRACT " xfId="539" xr:uid="{36FDDA83-9AA4-41C1-9823-616A22973357}"/>
    <cellStyle name="差_6月平衡表A1006_Rev0716_A103100909---中怡sly_Invoice_Invoice" xfId="540" xr:uid="{9D7502CD-6F92-450A-BEE3-0ECD789F10CC}"/>
    <cellStyle name="差_6月平衡表A1006_Rev0716_A1040203--中怡Snow" xfId="101" xr:uid="{4DB5227F-211E-42CA-907F-56E41348AD40}"/>
    <cellStyle name="差_6月平衡表A1006_Rev0716_A1040203--中怡Snow_A104081801--中怡sly" xfId="541" xr:uid="{6CD86035-631A-4A97-83BC-76391B7C68D3}"/>
    <cellStyle name="差_6月平衡表A1006_Rev0716_A1040203--中怡Snow_A104081801--中怡sly_CONTRACT " xfId="543" xr:uid="{9E2ED7CD-3C91-49BD-B5E1-716357CA56FE}"/>
    <cellStyle name="差_6月平衡表A1006_Rev0716_A1040203--中怡Snow_A104081801--中怡sly_CONTRACT _1" xfId="546" xr:uid="{482663F8-9ABE-4949-8802-E15E6DCBFEC9}"/>
    <cellStyle name="差_6月平衡表A1006_Rev0716_A1040203--中怡Snow_A104081801--中怡sly_CONTRACT _1_CONTRACT " xfId="547" xr:uid="{9D06CE8F-6C7C-450D-BE2A-DC06EA02A063}"/>
    <cellStyle name="差_6月平衡表A1006_Rev0716_A1040203--中怡Snow_A104081801--中怡sly_CONTRACT _1_Invoice" xfId="334" xr:uid="{1CAEA2EA-A326-486B-BC53-3573C231A13F}"/>
    <cellStyle name="差_6月平衡表A1006_Rev0716_A1040203--中怡Snow_A104081801--中怡sly_CONTRACT _2" xfId="423" xr:uid="{E7D1258B-B03C-4BDF-A2E2-D7DDCB08CCCF}"/>
    <cellStyle name="差_6月平衡表A1006_Rev0716_A1040203--中怡Snow_A104081801--中怡sly_CONTRACT _CONTRACT " xfId="548" xr:uid="{33D172B0-D279-458B-8271-18D9419DB655}"/>
    <cellStyle name="差_6月平衡表A1006_Rev0716_A1040203--中怡Snow_A104081801--中怡sly_CONTRACT _Invoice" xfId="75" xr:uid="{959708A7-8763-4FAB-A84C-F42442D735A9}"/>
    <cellStyle name="差_6月平衡表A1006_Rev0716_A1040203--中怡Snow_A104081801--中怡sly_Invoice" xfId="551" xr:uid="{A4058AF9-DD47-42CD-A422-D5CEFE8B31E7}"/>
    <cellStyle name="差_6月平衡表A1006_Rev0716_A1040203--中怡Snow_A104081801--中怡sly_Invoice_1" xfId="553" xr:uid="{23F52614-6F7D-49C1-84DA-F72C605B13F6}"/>
    <cellStyle name="差_6月平衡表A1006_Rev0716_A1040203--中怡Snow_A104081801--中怡sly_Invoice_1_CONTRACT " xfId="557" xr:uid="{70FB2EE7-29B7-48A2-AFD4-F93823EFA1D3}"/>
    <cellStyle name="差_6月平衡表A1006_Rev0716_A1040203--中怡Snow_A104081801--中怡sly_Invoice_1_Invoice" xfId="560" xr:uid="{D017DA1A-9118-449A-840F-2AE5E2D189C7}"/>
    <cellStyle name="差_6月平衡表A1006_Rev0716_A1040203--中怡Snow_A104081801--中怡sly_Invoice_2" xfId="137" xr:uid="{545D6BEF-6DFA-44FC-9E7F-8399C89C7E90}"/>
    <cellStyle name="差_6月平衡表A1006_Rev0716_A1040203--中怡Snow_A104081801--中怡sly_Invoice_CONTRACT " xfId="561" xr:uid="{BAE5E60F-2B96-4652-8643-B6BF66350BDD}"/>
    <cellStyle name="差_6月平衡表A1006_Rev0716_A1040203--中怡Snow_A104081801--中怡sly_Invoice_Invoice" xfId="200" xr:uid="{6B2BA2AE-80C0-47DB-8F56-40C689FC321B}"/>
    <cellStyle name="差_6月平衡表A1006_Rev0716_A1040203--中怡Snow_A104110202--中怡sly" xfId="237" xr:uid="{07B12D35-2D9E-4099-8D0B-61BD91E7622F}"/>
    <cellStyle name="差_6月平衡表A1006_Rev0716_A1040203--中怡Snow_A104110202--中怡sly_CONTRACT " xfId="246" xr:uid="{D46B0D1A-6284-4978-AA9F-A80DB14D0BA7}"/>
    <cellStyle name="差_6月平衡表A1006_Rev0716_A1040203--中怡Snow_A104110202--中怡sly_CONTRACT _1" xfId="562" xr:uid="{C13E191E-CCD0-4BA2-999C-29C9BDA947B1}"/>
    <cellStyle name="差_6月平衡表A1006_Rev0716_A1040203--中怡Snow_A104110202--中怡sly_CONTRACT _1_CONTRACT " xfId="563" xr:uid="{3677F623-89A3-445F-AC98-CF0D920A9C02}"/>
    <cellStyle name="差_6月平衡表A1006_Rev0716_A1040203--中怡Snow_A104110202--中怡sly_CONTRACT _1_Invoice" xfId="408" xr:uid="{8BE01302-0680-4A27-84BD-2538681DF915}"/>
    <cellStyle name="差_6月平衡表A1006_Rev0716_A1040203--中怡Snow_A104110202--中怡sly_CONTRACT _2" xfId="564" xr:uid="{7E8A8F76-490E-4214-988A-01C95AC8F094}"/>
    <cellStyle name="差_6月平衡表A1006_Rev0716_A1040203--中怡Snow_A104110202--中怡sly_CONTRACT _CONTRACT " xfId="566" xr:uid="{8AB1238A-A0D6-4DB9-8368-DE0F9B16DBCA}"/>
    <cellStyle name="差_6月平衡表A1006_Rev0716_A1040203--中怡Snow_A104110202--中怡sly_CONTRACT _Invoice" xfId="36" xr:uid="{28CBEFC8-BD08-4E9F-8BE4-EA10AF7D9618}"/>
    <cellStyle name="差_6月平衡表A1006_Rev0716_A1040203--中怡Snow_A104110202--中怡sly_Invoice" xfId="249" xr:uid="{7C3DCC65-E49D-4B7D-9BF0-8C313E16D7A2}"/>
    <cellStyle name="差_6月平衡表A1006_Rev0716_A1040203--中怡Snow_A104110202--中怡sly_Invoice_1" xfId="514" xr:uid="{14049584-FB15-4D08-9E0E-B1C8FCED0D0D}"/>
    <cellStyle name="差_6月平衡表A1006_Rev0716_A1040203--中怡Snow_A104110202--中怡sly_Invoice_1_CONTRACT " xfId="517" xr:uid="{2E8B6FC9-DD7F-48FF-8C08-6A8E7119EA56}"/>
    <cellStyle name="差_6月平衡表A1006_Rev0716_A1040203--中怡Snow_A104110202--中怡sly_Invoice_1_Invoice" xfId="521" xr:uid="{74DF3B5D-7CE7-4BA4-ABAD-E8D38043348F}"/>
    <cellStyle name="差_6月平衡表A1006_Rev0716_A1040203--中怡Snow_A104110202--中怡sly_Invoice_2" xfId="60" xr:uid="{1C1700D3-A23E-4486-87A9-D9E0893BE11F}"/>
    <cellStyle name="差_6月平衡表A1006_Rev0716_A1040203--中怡Snow_A104110202--中怡sly_Invoice_CONTRACT " xfId="352" xr:uid="{E7BD79F3-668E-4DA2-A17B-2108A95A4E48}"/>
    <cellStyle name="差_6月平衡表A1006_Rev0716_A1040203--中怡Snow_A104110202--中怡sly_Invoice_Invoice" xfId="436" xr:uid="{757D925D-778E-43AC-971D-E5EEC66AD4D5}"/>
    <cellStyle name="差_6月平衡表A1006_Rev0716_A1040203--中怡Snow_A106071403-中怡Daisy" xfId="276" xr:uid="{2759707F-AA96-4693-A8F2-2A6CAD3CE177}"/>
    <cellStyle name="差_6月平衡表A1006_Rev0716_A1040203--中怡Snow_CONTRACT " xfId="21" xr:uid="{F0E9C923-C2EE-4EF6-81E3-A4ABD8385F73}"/>
    <cellStyle name="差_6月平衡表A1006_Rev0716_A1040203--中怡Snow_CONTRACT _1" xfId="567" xr:uid="{AD7AC248-9975-44EE-A312-34E62F56B6D1}"/>
    <cellStyle name="差_6月平衡表A1006_Rev0716_A1040203--中怡Snow_CONTRACT _CONTRACT " xfId="571" xr:uid="{69CAB671-9737-48EC-A5AE-A46D78B10804}"/>
    <cellStyle name="差_6月平衡表A1006_Rev0716_A1040203--中怡Snow_CONTRACT _Invoice" xfId="104" xr:uid="{32996F61-D007-41E5-8894-0396098ACBBB}"/>
    <cellStyle name="差_6月平衡表A1006_Rev0716_A1040203--中怡Snow_Invoice" xfId="498" xr:uid="{072504D7-EF13-440F-B781-E49777544324}"/>
    <cellStyle name="差_6月平衡表A1006_Rev0716_A1040203--中怡Snow_Invoice_1" xfId="73" xr:uid="{77E3DDEA-2FB1-48AA-AFAB-A72F0B5AF544}"/>
    <cellStyle name="差_6月平衡表A1006_Rev0716_A1040203--中怡Snow_Invoice_CONTRACT " xfId="70" xr:uid="{E912E1A9-E969-48C5-8719-706C090EA50D}"/>
    <cellStyle name="差_6月平衡表A1006_Rev0716_A1040203--中怡Snow_Invoice_Invoice" xfId="139" xr:uid="{EF266B31-522C-46A7-894C-82C163920903}"/>
    <cellStyle name="差_6月平衡表A1006_Rev0716_A1040428--中怡fiona " xfId="220" xr:uid="{48FE6ACE-0CD9-45F8-B402-4845BE78342B}"/>
    <cellStyle name="差_6月平衡表A1006_Rev0716_A1040428--中怡fiona _A106071403-中怡Daisy" xfId="326" xr:uid="{CE7C5EA7-F5A4-4E93-8D7F-AD21E35B0A62}"/>
    <cellStyle name="差_6月平衡表A1006_Rev0716_A1040428--中怡fiona _CONTRACT " xfId="572" xr:uid="{4A24C197-84BF-4D15-BB58-E86048BE217B}"/>
    <cellStyle name="差_6月平衡表A1006_Rev0716_A1040428--中怡fiona _CONTRACT _1" xfId="542" xr:uid="{29669362-29D9-4568-8553-B881201A6018}"/>
    <cellStyle name="差_6月平衡表A1006_Rev0716_A1040428--中怡fiona _CONTRACT _CONTRACT " xfId="574" xr:uid="{673FC832-8DE0-4CDB-B409-5F520DE95EA7}"/>
    <cellStyle name="差_6月平衡表A1006_Rev0716_A1040428--中怡fiona _CONTRACT _Invoice" xfId="576" xr:uid="{81626614-20CC-453E-A495-ED5DEEE6519F}"/>
    <cellStyle name="差_6月平衡表A1006_Rev0716_A1040428--中怡fiona _Invoice" xfId="400" xr:uid="{21672378-79EB-43EA-8364-05FC9BBBF171}"/>
    <cellStyle name="差_6月平衡表A1006_Rev0716_A1040428--中怡fiona _Invoice_1" xfId="506" xr:uid="{53E1E5B8-2059-49D9-B059-CA8151DA7571}"/>
    <cellStyle name="差_6月平衡表A1006_Rev0716_A1040428--中怡fiona _Invoice_CONTRACT " xfId="54" xr:uid="{82944067-10AF-4D13-B8A2-EAED510136A7}"/>
    <cellStyle name="差_6月平衡表A1006_Rev0716_A1040428--中怡fiona _Invoice_Invoice" xfId="429" xr:uid="{4CBBBD6A-B1D9-45D4-B8DC-ABA62E4A2774}"/>
    <cellStyle name="差_6月平衡表A1006_Rev0716_A104110202--中怡sly" xfId="4" xr:uid="{A66EC420-2389-451F-9EBC-E627AFDDE651}"/>
    <cellStyle name="差_6月平衡表A1006_Rev0716_A104110202--中怡sly_CONTRACT " xfId="552" xr:uid="{0507DBF6-936E-414B-B397-324B358627F5}"/>
    <cellStyle name="差_6月平衡表A1006_Rev0716_A104110202--中怡sly_CONTRACT _1" xfId="579" xr:uid="{B7157604-C5EB-4A7A-879A-006162A88FB4}"/>
    <cellStyle name="差_6月平衡表A1006_Rev0716_A104110202--中怡sly_CONTRACT _1_CONTRACT " xfId="580" xr:uid="{56E936C8-2653-422D-BBB6-D8E6FDE73CF1}"/>
    <cellStyle name="差_6月平衡表A1006_Rev0716_A104110202--中怡sly_CONTRACT _1_Invoice" xfId="583" xr:uid="{BA4F7420-CB0C-4589-B122-13FD638D87B0}"/>
    <cellStyle name="差_6月平衡表A1006_Rev0716_A104110202--中怡sly_CONTRACT _2" xfId="586" xr:uid="{A8D1476F-35DB-4FEA-A371-D5D531B91248}"/>
    <cellStyle name="差_6月平衡表A1006_Rev0716_A104110202--中怡sly_CONTRACT _CONTRACT " xfId="556" xr:uid="{4390AFFB-BB7F-4DF0-9E3F-9A3C8A971046}"/>
    <cellStyle name="差_6月平衡表A1006_Rev0716_A104110202--中怡sly_CONTRACT _Invoice" xfId="559" xr:uid="{2B512550-8617-4738-B525-3D98676D7CBE}"/>
    <cellStyle name="差_6月平衡表A1006_Rev0716_A104110202--中怡sly_Invoice" xfId="587" xr:uid="{C53848DD-7781-44D2-B0EE-5C4AFEAFF68F}"/>
    <cellStyle name="差_6月平衡表A1006_Rev0716_A104110202--中怡sly_Invoice_1" xfId="144" xr:uid="{E67A405D-C4F3-4FFD-ABFA-8106A21C4458}"/>
    <cellStyle name="差_6月平衡表A1006_Rev0716_A104110202--中怡sly_Invoice_1_CONTRACT " xfId="407" xr:uid="{5DFAD5E7-5A1A-4A8F-990A-708CBCA247F3}"/>
    <cellStyle name="差_6月平衡表A1006_Rev0716_A104110202--中怡sly_Invoice_1_Invoice" xfId="591" xr:uid="{F0446D63-2344-4CE5-B5B0-AF79F4BB14FE}"/>
    <cellStyle name="差_6月平衡表A1006_Rev0716_A104110202--中怡sly_Invoice_2" xfId="172" xr:uid="{E330AC55-2288-4493-898E-DA55AB4C257C}"/>
    <cellStyle name="差_6月平衡表A1006_Rev0716_A104110202--中怡sly_Invoice_CONTRACT " xfId="442" xr:uid="{DB0FD8E3-F9A8-4093-8DC9-809FC0CB0277}"/>
    <cellStyle name="差_6月平衡表A1006_Rev0716_A104110202--中怡sly_Invoice_Invoice" xfId="594" xr:uid="{C3D46B0F-ABCA-4EFF-AD63-C196AD4D425A}"/>
    <cellStyle name="差_6月平衡表A1006_Rev0716_A106071403-中怡Daisy" xfId="324" xr:uid="{EEC95CEC-00BC-420B-A083-A18D7922CC8D}"/>
    <cellStyle name="差_6月平衡表A1006_Rev0716_CONTRACT " xfId="573" xr:uid="{AE729A88-A91F-43BB-B280-DC3F8B6B5FA8}"/>
    <cellStyle name="差_6月平衡表A1006_Rev0716_CONTRACT _1" xfId="544" xr:uid="{3C6A8DCC-30D6-4538-A609-0BD1B03C550F}"/>
    <cellStyle name="差_6月平衡表A1006_Rev0716_CONTRACT _CONTRACT " xfId="575" xr:uid="{07288539-8E40-442F-A9C6-5170D36BD857}"/>
    <cellStyle name="差_6月平衡表A1006_Rev0716_CONTRACT _Invoice" xfId="577" xr:uid="{44424145-AE8C-40C4-973B-95DCDD7AAB08}"/>
    <cellStyle name="差_6月平衡表A1006_Rev0716_Invoice" xfId="399" xr:uid="{5AF4571A-F74B-426B-833C-00DEAF288D11}"/>
    <cellStyle name="差_6月平衡表A1006_Rev0716_Invoice_1" xfId="508" xr:uid="{9F571ED0-FA20-480D-9C65-8EC92C09E74E}"/>
    <cellStyle name="差_6月平衡表A1006_Rev0716_Invoice_CONTRACT " xfId="53" xr:uid="{4E6346CD-742B-4034-8F2E-667AA9980B1A}"/>
    <cellStyle name="差_6月平衡表A1006_Rev0716_Invoice_Invoice" xfId="428" xr:uid="{922CA35C-B29E-4A25-A5C6-8E554B3E97EC}"/>
    <cellStyle name="差_A106071402-中怡Fiona" xfId="596" xr:uid="{495A39D3-FB71-4A9A-BD2F-A94554B656AF}"/>
    <cellStyle name="差_SerNet SAMPLE" xfId="597" xr:uid="{3CFD4974-A189-4A48-B666-CF8E17E4FEF3}"/>
    <cellStyle name="差_SerNet SAMPLE_A1030825--中怡fiona" xfId="589" xr:uid="{97C3924B-983A-4963-9493-180D5003EF6B}"/>
    <cellStyle name="差_SerNet SAMPLE_A1030825--中怡fiona_A104081801--中怡sly" xfId="598" xr:uid="{E149BCBA-C501-4B56-A2FE-3C9C6960869D}"/>
    <cellStyle name="差_SerNet SAMPLE_A1030825--中怡fiona_A104081801--中怡sly_CONTRACT " xfId="600" xr:uid="{A62F28B1-26DB-4D8E-9BA4-4BC405B14F29}"/>
    <cellStyle name="差_SerNet SAMPLE_A1030825--中怡fiona_A104081801--中怡sly_CONTRACT _1" xfId="602" xr:uid="{2D3E10E2-6277-4301-9074-FC617ED549BB}"/>
    <cellStyle name="差_SerNet SAMPLE_A1030825--中怡fiona_A104081801--中怡sly_CONTRACT _1_CONTRACT " xfId="606" xr:uid="{EDA39BAA-4B53-4A28-A5CF-6CC7167E018D}"/>
    <cellStyle name="差_SerNet SAMPLE_A1030825--中怡fiona_A104081801--中怡sly_CONTRACT _1_Invoice" xfId="608" xr:uid="{F6860C18-657D-435E-95C3-1B5AF5841222}"/>
    <cellStyle name="差_SerNet SAMPLE_A1030825--中怡fiona_A104081801--中怡sly_CONTRACT _2" xfId="604" xr:uid="{0ECEE385-3174-4FDC-BD59-D1EDD0AB842E}"/>
    <cellStyle name="差_SerNet SAMPLE_A1030825--中怡fiona_A104081801--中怡sly_CONTRACT _CONTRACT " xfId="610" xr:uid="{FC42D01F-F12B-4C78-82AB-80DDAF692F57}"/>
    <cellStyle name="差_SerNet SAMPLE_A1030825--中怡fiona_A104081801--中怡sly_CONTRACT _Invoice" xfId="613" xr:uid="{26BE04EB-8895-46C1-BA92-91CC1D76C0DF}"/>
    <cellStyle name="差_SerNet SAMPLE_A1030825--中怡fiona_A104081801--中怡sly_Invoice" xfId="50" xr:uid="{8CB873D5-52A6-4F15-87E7-4C84EE7EE520}"/>
    <cellStyle name="差_SerNet SAMPLE_A1030825--中怡fiona_A104081801--中怡sly_Invoice_1" xfId="614" xr:uid="{008A215D-AA25-48DD-B781-76F132295B28}"/>
    <cellStyle name="差_SerNet SAMPLE_A1030825--中怡fiona_A104081801--中怡sly_Invoice_1_CONTRACT " xfId="328" xr:uid="{2ABD8461-A843-4EA9-8271-80E962ED6FBA}"/>
    <cellStyle name="差_SerNet SAMPLE_A1030825--中怡fiona_A104081801--中怡sly_Invoice_1_Invoice" xfId="616" xr:uid="{944EBF8B-E0FA-4445-875C-56D7916CAD3F}"/>
    <cellStyle name="差_SerNet SAMPLE_A1030825--中怡fiona_A104081801--中怡sly_Invoice_2" xfId="44" xr:uid="{E04CCABF-2911-4443-9C24-255169C52E10}"/>
    <cellStyle name="差_SerNet SAMPLE_A1030825--中怡fiona_A104081801--中怡sly_Invoice_CONTRACT " xfId="321" xr:uid="{C3730D4F-5083-4D39-A254-FF08CAD0D585}"/>
    <cellStyle name="差_SerNet SAMPLE_A1030825--中怡fiona_A104081801--中怡sly_Invoice_Invoice" xfId="69" xr:uid="{5246E36C-C68E-4BB7-BEC8-F777E5A3A867}"/>
    <cellStyle name="差_SerNet SAMPLE_A1030825--中怡fiona_A104110201--中怡fiona -出貨注意事項" xfId="77" xr:uid="{5F071B3B-FC77-402A-B2E5-BC1BD198F6CC}"/>
    <cellStyle name="差_SerNet SAMPLE_A1030825--中怡fiona_A104110202--中怡sly" xfId="441" xr:uid="{93CC1BC0-2FC6-48F7-A4C4-A270DA4D6F75}"/>
    <cellStyle name="差_SerNet SAMPLE_A1030825--中怡fiona_A104110202--中怡sly_CONTRACT " xfId="617" xr:uid="{98371E43-9934-47C4-8A04-EE02E8980E6C}"/>
    <cellStyle name="差_SerNet SAMPLE_A1030825--中怡fiona_A104110202--中怡sly_CONTRACT _1" xfId="618" xr:uid="{02564058-7E00-44E0-A1C3-6081EA275EC7}"/>
    <cellStyle name="差_SerNet SAMPLE_A1030825--中怡fiona_A104110202--中怡sly_CONTRACT _1_CONTRACT " xfId="116" xr:uid="{DD952655-F190-4C2D-9FEC-9D62BB5EC2D5}"/>
    <cellStyle name="差_SerNet SAMPLE_A1030825--中怡fiona_A104110202--中怡sly_CONTRACT _1_Invoice" xfId="619" xr:uid="{33283F6C-47F0-4EA6-875F-E77D9B50ED60}"/>
    <cellStyle name="差_SerNet SAMPLE_A1030825--中怡fiona_A104110202--中怡sly_CONTRACT _2" xfId="584" xr:uid="{1481D3BB-189C-465C-AFEA-AC75BEDD4DE1}"/>
    <cellStyle name="差_SerNet SAMPLE_A1030825--中怡fiona_A104110202--中怡sly_CONTRACT _CONTRACT " xfId="621" xr:uid="{CA052BE2-4EF1-4317-9651-CDB6D332ADA4}"/>
    <cellStyle name="差_SerNet SAMPLE_A1030825--中怡fiona_A104110202--中怡sly_CONTRACT _Invoice" xfId="421" xr:uid="{4EC3786D-48C1-468B-A392-38C138695DE4}"/>
    <cellStyle name="差_SerNet SAMPLE_A1030825--中怡fiona_A104110202--中怡sly_Invoice" xfId="549" xr:uid="{0B69C8F0-A583-4DF1-8F66-4369C9EA9450}"/>
    <cellStyle name="差_SerNet SAMPLE_A1030825--中怡fiona_A104110202--中怡sly_Invoice_1" xfId="622" xr:uid="{FDBA97C8-316D-42B0-A2FE-53A688351455}"/>
    <cellStyle name="差_SerNet SAMPLE_A1030825--中怡fiona_A104110202--中怡sly_Invoice_1_CONTRACT " xfId="412" xr:uid="{07DF51B7-E605-4C5F-8A8D-7190BA7A3529}"/>
    <cellStyle name="差_SerNet SAMPLE_A1030825--中怡fiona_A104110202--中怡sly_Invoice_1_Invoice" xfId="260" xr:uid="{FC509887-4734-4ABC-8097-328356A1699F}"/>
    <cellStyle name="差_SerNet SAMPLE_A1030825--中怡fiona_A104110202--中怡sly_Invoice_2" xfId="625" xr:uid="{A9E06A43-C197-4DCC-B38C-6A5754DD765B}"/>
    <cellStyle name="差_SerNet SAMPLE_A1030825--中怡fiona_A104110202--中怡sly_Invoice_CONTRACT " xfId="62" xr:uid="{DC7EEB01-FE9C-4FA2-A032-EF3FB7FFEF6C}"/>
    <cellStyle name="差_SerNet SAMPLE_A1030825--中怡fiona_A104110202--中怡sly_Invoice_Invoice" xfId="626" xr:uid="{2E925B3C-E2D3-41F1-93BC-363570DF7F06}"/>
    <cellStyle name="差_SerNet SAMPLE_A1030825--中怡fiona_A106071403-中怡Daisy" xfId="627" xr:uid="{C0DE016E-6C2B-4167-9B35-72AF965EE71E}"/>
    <cellStyle name="差_SerNet SAMPLE_A1030825--中怡fiona_CONTRACT " xfId="444" xr:uid="{011A125C-F9F5-4D18-A276-0A2596D50E01}"/>
    <cellStyle name="差_SerNet SAMPLE_A1030825--中怡fiona_CONTRACT _1" xfId="112" xr:uid="{21C599D9-89B9-48CB-B5DD-033940C57DD7}"/>
    <cellStyle name="差_SerNet SAMPLE_A1030825--中怡fiona_CONTRACT _CONTRACT " xfId="451" xr:uid="{10F3B909-3CF7-4DB1-8C5E-C2FC76065507}"/>
    <cellStyle name="差_SerNet SAMPLE_A1030825--中怡fiona_CONTRACT _Invoice" xfId="453" xr:uid="{AFAE285F-4AD8-4AC3-8BCB-CC12911FD1BB}"/>
    <cellStyle name="差_SerNet SAMPLE_A1030825--中怡fiona_Invoice" xfId="592" xr:uid="{DE25CBF3-96D7-44BB-BD0F-E3CBBBBC2F6A}"/>
    <cellStyle name="差_SerNet SAMPLE_A1030825--中怡fiona_Invoice_1" xfId="629" xr:uid="{74A7BB57-A9F9-4D13-AE78-691AA3E60483}"/>
    <cellStyle name="差_SerNet SAMPLE_A1030825--中怡fiona_Invoice_CONTRACT " xfId="214" xr:uid="{4F517A02-1E14-4256-A5EB-2162F4A4092D}"/>
    <cellStyle name="差_SerNet SAMPLE_A1030825--中怡fiona_Invoice_Invoice" xfId="13" xr:uid="{9150D1C3-FEDD-4A8B-9EB1-22691A3D9151}"/>
    <cellStyle name="差_SerNet SAMPLE_A1040203--中怡fiona " xfId="265" xr:uid="{A3F4A127-EC8C-4E15-8FF1-81BE0272BA33}"/>
    <cellStyle name="差_SerNet SAMPLE_A1040203--中怡fiona _A104081801--中怡sly" xfId="212" xr:uid="{11F20A32-128B-4CD8-93E0-646A08EFEAA1}"/>
    <cellStyle name="差_SerNet SAMPLE_A1040203--中怡fiona _A104081801--中怡sly_CONTRACT " xfId="630" xr:uid="{AF34D866-5435-4874-8AAF-7ED7733F8F30}"/>
    <cellStyle name="差_SerNet SAMPLE_A1040203--中怡fiona _A104081801--中怡sly_CONTRACT _1" xfId="473" xr:uid="{1EAFA55B-BB61-49F9-976F-4E5241F248BA}"/>
    <cellStyle name="差_SerNet SAMPLE_A1040203--中怡fiona _A104081801--中怡sly_CONTRACT _1_CONTRACT " xfId="349" xr:uid="{2E558C97-70F2-42A2-BEE4-E8C1E59B2701}"/>
    <cellStyle name="差_SerNet SAMPLE_A1040203--中怡fiona _A104081801--中怡sly_CONTRACT _1_Invoice" xfId="480" xr:uid="{71EF6B95-D244-45B5-9188-89BD2F7D1AB0}"/>
    <cellStyle name="差_SerNet SAMPLE_A1040203--中怡fiona _A104081801--中怡sly_CONTRACT _2" xfId="631" xr:uid="{4DBD1964-2BE6-40F3-A4FF-836B8BD430EE}"/>
    <cellStyle name="差_SerNet SAMPLE_A1040203--中怡fiona _A104081801--中怡sly_CONTRACT _CONTRACT " xfId="505" xr:uid="{CEBFAA6E-0F73-4F56-B114-16C6C6A3E111}"/>
    <cellStyle name="差_SerNet SAMPLE_A1040203--中怡fiona _A104081801--中怡sly_CONTRACT _Invoice" xfId="459" xr:uid="{ABC1F5AA-45EE-4DD2-B624-43ECD42EB81C}"/>
    <cellStyle name="差_SerNet SAMPLE_A1040203--中怡fiona _A104081801--中怡sly_Invoice" xfId="632" xr:uid="{6C959463-C9B7-4EC6-ABA1-9ADAFA1F22AE}"/>
    <cellStyle name="差_SerNet SAMPLE_A1040203--中怡fiona _A104081801--中怡sly_Invoice_1" xfId="177" xr:uid="{F7DD17C9-34A0-4606-93D3-2CB3D31EB27F}"/>
    <cellStyle name="差_SerNet SAMPLE_A1040203--中怡fiona _A104081801--中怡sly_Invoice_1_CONTRACT " xfId="287" xr:uid="{52171E29-DF8E-43BA-A8A2-DAC174D708E6}"/>
    <cellStyle name="差_SerNet SAMPLE_A1040203--中怡fiona _A104081801--中怡sly_Invoice_1_Invoice" xfId="290" xr:uid="{B34AF4A3-07AA-4732-9584-A42A81BD5D92}"/>
    <cellStyle name="差_SerNet SAMPLE_A1040203--中怡fiona _A104081801--中怡sly_Invoice_2" xfId="232" xr:uid="{3B5C5B35-552E-4652-A0FF-F6A158D03DFE}"/>
    <cellStyle name="差_SerNet SAMPLE_A1040203--中怡fiona _A104081801--中怡sly_Invoice_CONTRACT " xfId="633" xr:uid="{A26641CF-ABAE-4D11-A268-7FDFC1B47973}"/>
    <cellStyle name="差_SerNet SAMPLE_A1040203--中怡fiona _A104081801--中怡sly_Invoice_Invoice" xfId="360" xr:uid="{42F86C52-5A28-47CF-8C56-1C4DEADB93D6}"/>
    <cellStyle name="差_SerNet SAMPLE_A1040203--中怡fiona _A104110202--中怡sly" xfId="274" xr:uid="{FA84C918-0369-4901-B985-64328835A854}"/>
    <cellStyle name="差_SerNet SAMPLE_A1040203--中怡fiona _A104110202--中怡sly_CONTRACT " xfId="569" xr:uid="{1A4BDC5C-BCB1-442C-9330-CE342F6A161D}"/>
    <cellStyle name="差_SerNet SAMPLE_A1040203--中怡fiona _A104110202--中怡sly_CONTRACT _1" xfId="635" xr:uid="{FBC2B475-1C7C-4530-B9BA-3433DA8F661E}"/>
    <cellStyle name="差_SerNet SAMPLE_A1040203--中怡fiona _A104110202--中怡sly_CONTRACT _1_CONTRACT " xfId="637" xr:uid="{B112D5D9-8444-45D7-8F5E-9F98756B8370}"/>
    <cellStyle name="差_SerNet SAMPLE_A1040203--中怡fiona _A104110202--中怡sly_CONTRACT _1_Invoice" xfId="638" xr:uid="{A4503700-ECE4-4A4F-9B03-8C61B7A2DFAE}"/>
    <cellStyle name="差_SerNet SAMPLE_A1040203--中怡fiona _A104110202--中怡sly_CONTRACT _2" xfId="641" xr:uid="{C9563DD4-EDB5-4DC0-BE7E-AF4CE77AA4A3}"/>
    <cellStyle name="差_SerNet SAMPLE_A1040203--中怡fiona _A104110202--中怡sly_CONTRACT _CONTRACT " xfId="642" xr:uid="{301C7B54-1205-4AB2-9221-A80A536B5AED}"/>
    <cellStyle name="差_SerNet SAMPLE_A1040203--中怡fiona _A104110202--中怡sly_CONTRACT _Invoice" xfId="644" xr:uid="{AB72AE5B-FEC8-41EA-8689-6683C8EF5155}"/>
    <cellStyle name="差_SerNet SAMPLE_A1040203--中怡fiona _A104110202--中怡sly_Invoice" xfId="645" xr:uid="{F7D50521-376A-46AE-A8A9-A082E50725A1}"/>
    <cellStyle name="差_SerNet SAMPLE_A1040203--中怡fiona _A104110202--中怡sly_Invoice_1" xfId="390" xr:uid="{31AE27C4-CD46-4F2D-A367-CEE925717BED}"/>
    <cellStyle name="差_SerNet SAMPLE_A1040203--中怡fiona _A104110202--中怡sly_Invoice_1_CONTRACT " xfId="392" xr:uid="{F5DF96BE-60BE-412E-84B8-1C9122D7A7FF}"/>
    <cellStyle name="差_SerNet SAMPLE_A1040203--中怡fiona _A104110202--中怡sly_Invoice_1_Invoice" xfId="34" xr:uid="{F1821341-2C90-4DC7-86E7-B2EBCCCA1346}"/>
    <cellStyle name="差_SerNet SAMPLE_A1040203--中怡fiona _A104110202--中怡sly_Invoice_2" xfId="646" xr:uid="{325176E7-C3AC-4C44-9114-84E59D0882B8}"/>
    <cellStyle name="差_SerNet SAMPLE_A1040203--中怡fiona _A104110202--中怡sly_Invoice_CONTRACT " xfId="651" xr:uid="{345AC60A-174F-41C1-B63E-E6301F038F12}"/>
    <cellStyle name="差_SerNet SAMPLE_A1040203--中怡fiona _A104110202--中怡sly_Invoice_Invoice" xfId="332" xr:uid="{D6537885-F4CA-4699-81E6-B333FB98D638}"/>
    <cellStyle name="差_SerNet SAMPLE_A1040203--中怡fiona _A106071403-中怡Daisy" xfId="339" xr:uid="{824E03DE-BDF2-4C27-9CAD-9F9FE19A1407}"/>
    <cellStyle name="差_SerNet SAMPLE_A1040203--中怡fiona _CONTRACT " xfId="652" xr:uid="{E064603A-EC4E-454B-955C-2643CDB408F0}"/>
    <cellStyle name="差_SerNet SAMPLE_A1040203--中怡fiona _CONTRACT _1" xfId="655" xr:uid="{B1306E56-3337-4029-9BB3-7BA561DD4F8F}"/>
    <cellStyle name="差_SerNet SAMPLE_A1040203--中怡fiona _CONTRACT _CONTRACT " xfId="248" xr:uid="{1514C9A2-0ACF-4FE9-BE2B-CE3A240EFA01}"/>
    <cellStyle name="差_SerNet SAMPLE_A1040203--中怡fiona _CONTRACT _Invoice" xfId="11" xr:uid="{BDC2D60B-966B-4336-A653-470C5E93C911}"/>
    <cellStyle name="差_SerNet SAMPLE_A1040203--中怡fiona _Invoice" xfId="656" xr:uid="{23321F0D-8F5D-4A65-AC12-DD7827000E2F}"/>
    <cellStyle name="差_SerNet SAMPLE_A1040203--中怡fiona _Invoice_1" xfId="659" xr:uid="{88CA1C4C-B374-414D-B8FD-28808E046995}"/>
    <cellStyle name="差_SerNet SAMPLE_A1040203--中怡fiona _Invoice_CONTRACT " xfId="1" xr:uid="{46C867B6-E367-44A6-8DC1-891B6D7C1434}"/>
    <cellStyle name="差_SerNet SAMPLE_A1040203--中怡fiona _Invoice_Invoice" xfId="661" xr:uid="{8B75A094-B0F3-4571-8693-8964C3AA83C2}"/>
    <cellStyle name="差_SerNet SAMPLE_A1040420--中怡fiona " xfId="662" xr:uid="{95E30698-742A-4A16-81FB-75BF20D00436}"/>
    <cellStyle name="差_SerNet SAMPLE_A104081801--中怡sly" xfId="664" xr:uid="{1FE69F10-BA6F-411C-829B-A73646705E2C}"/>
    <cellStyle name="差_SerNet SAMPLE_A104081801--中怡sly_CONTRACT " xfId="666" xr:uid="{E113D7C3-2113-4834-99BF-9141DA29E551}"/>
    <cellStyle name="差_SerNet SAMPLE_A104081801--中怡sly_CONTRACT _1" xfId="667" xr:uid="{E9405C96-F30E-4599-A42B-C36C1D8F7212}"/>
    <cellStyle name="差_SerNet SAMPLE_A104081801--中怡sly_CONTRACT _1_CONTRACT " xfId="668" xr:uid="{011EC30E-6BD1-415E-8E1C-8DDEB53CDA2F}"/>
    <cellStyle name="差_SerNet SAMPLE_A104081801--中怡sly_CONTRACT _1_Invoice" xfId="669" xr:uid="{2862C2BB-9038-4D39-BE17-89087E4EF888}"/>
    <cellStyle name="差_SerNet SAMPLE_A104081801--中怡sly_CONTRACT _2" xfId="455" xr:uid="{A6B9C7DB-A7FA-4E79-ADD7-F741B8128CAA}"/>
    <cellStyle name="差_SerNet SAMPLE_A104081801--中怡sly_CONTRACT _CONTRACT " xfId="671" xr:uid="{C4B11F7C-51BD-4E11-A170-66F5DC8A5956}"/>
    <cellStyle name="差_SerNet SAMPLE_A104081801--中怡sly_CONTRACT _Invoice" xfId="673" xr:uid="{B8C8772A-E437-4C21-B48D-87D8174C0CE0}"/>
    <cellStyle name="差_SerNet SAMPLE_A104081801--中怡sly_Invoice" xfId="674" xr:uid="{1DE126CF-34DB-4031-B2C6-9551128FCE6B}"/>
    <cellStyle name="差_SerNet SAMPLE_A104081801--中怡sly_Invoice_1" xfId="676" xr:uid="{40475783-9C8C-4745-B66A-6408B8C0F660}"/>
    <cellStyle name="差_SerNet SAMPLE_A104081801--中怡sly_Invoice_1_CONTRACT " xfId="640" xr:uid="{38048392-F048-460E-A218-7233FC1E5E5D}"/>
    <cellStyle name="差_SerNet SAMPLE_A104081801--中怡sly_Invoice_1_Invoice" xfId="677" xr:uid="{B36CCEF6-2F1C-4B39-A1FA-E0A78473E93F}"/>
    <cellStyle name="差_SerNet SAMPLE_A104081801--中怡sly_Invoice_2" xfId="680" xr:uid="{5275E8AB-EB32-47A0-A896-2AC7B46D7EF9}"/>
    <cellStyle name="差_SerNet SAMPLE_A104081801--中怡sly_Invoice_CONTRACT " xfId="683" xr:uid="{194DA1D0-BB8C-4050-9319-F90178576E45}"/>
    <cellStyle name="差_SerNet SAMPLE_A104081801--中怡sly_Invoice_Invoice" xfId="568" xr:uid="{E7F765AB-0379-46BC-8294-EFA570F8392A}"/>
    <cellStyle name="差_SerNet SAMPLE_A104110201--中怡fiona -出貨注意事項" xfId="272" xr:uid="{D00B35A5-B54B-4A53-920C-217E4EB2BB04}"/>
    <cellStyle name="差_SerNet SAMPLE_A104110202--中怡sly" xfId="685" xr:uid="{151954D6-60B5-4E4E-BAC0-093CEE1A92A7}"/>
    <cellStyle name="差_SerNet SAMPLE_A104110202--中怡sly_CONTRACT " xfId="686" xr:uid="{402C852D-BB89-4347-AD68-FC6A03BC2058}"/>
    <cellStyle name="差_SerNet SAMPLE_A104110202--中怡sly_CONTRACT _1" xfId="124" xr:uid="{82FD2F64-8C8C-4C87-9B3C-DB90EB6982B1}"/>
    <cellStyle name="差_SerNet SAMPLE_A104110202--中怡sly_CONTRACT _1_CONTRACT " xfId="688" xr:uid="{AE40E719-B1CD-49E0-998F-90BBED1E31DD}"/>
    <cellStyle name="差_SerNet SAMPLE_A104110202--中怡sly_CONTRACT _1_Invoice" xfId="692" xr:uid="{C40DAA76-AFA0-46F5-AAF6-34D89ECDCFF6}"/>
    <cellStyle name="差_SerNet SAMPLE_A104110202--中怡sly_CONTRACT _2" xfId="695" xr:uid="{B6290586-702A-4B3B-8E55-D1B3871F6C72}"/>
    <cellStyle name="差_SerNet SAMPLE_A104110202--中怡sly_CONTRACT _CONTRACT " xfId="585" xr:uid="{47F1F135-C643-47FD-B28E-DE82FB9293C8}"/>
    <cellStyle name="差_SerNet SAMPLE_A104110202--中怡sly_CONTRACT _Invoice" xfId="148" xr:uid="{1B13821E-3708-4406-8191-FA490D997171}"/>
    <cellStyle name="差_SerNet SAMPLE_A104110202--中怡sly_Invoice" xfId="257" xr:uid="{AD6AF275-530C-44AE-871E-96F7B5BFBA00}"/>
    <cellStyle name="差_SerNet SAMPLE_A104110202--中怡sly_Invoice_1" xfId="236" xr:uid="{7FF713AC-E3B0-4B2A-ACA9-BEE80EBA00CA}"/>
    <cellStyle name="差_SerNet SAMPLE_A104110202--中怡sly_Invoice_1_CONTRACT " xfId="588" xr:uid="{714571B1-7E01-4FE3-B573-6F18C9BA4302}"/>
    <cellStyle name="差_SerNet SAMPLE_A104110202--中怡sly_Invoice_1_Invoice" xfId="337" xr:uid="{B3851C78-6AA4-4CAF-96A4-828A66E9A093}"/>
    <cellStyle name="差_SerNet SAMPLE_A104110202--中怡sly_Invoice_2" xfId="3" xr:uid="{89D7C042-AE17-41E4-9EF3-EEDB11911BD1}"/>
    <cellStyle name="差_SerNet SAMPLE_A104110202--中怡sly_Invoice_CONTRACT " xfId="698" xr:uid="{287AEC96-A9CA-413C-B38B-BAFA17D0293F}"/>
    <cellStyle name="差_SerNet SAMPLE_A104110202--中怡sly_Invoice_Invoice" xfId="700" xr:uid="{310B0EE7-9135-4BE7-A079-8402D11DB970}"/>
    <cellStyle name="差_SerNet SAMPLE_A106071403-中怡Daisy" xfId="267" xr:uid="{7D3E764B-E52C-4505-9461-21327BF59F27}"/>
    <cellStyle name="差_SerNet SAMPLE_CONTRACT " xfId="449" xr:uid="{EB9B1207-F6C0-4888-8D33-F4B9626D2AF6}"/>
    <cellStyle name="差_SerNet SAMPLE_CONTRACT _1" xfId="701" xr:uid="{0D5335BB-894B-43A7-ADB8-8FF96FBF6148}"/>
    <cellStyle name="差_SerNet SAMPLE_CONTRACT _CONTRACT " xfId="530" xr:uid="{8AE4D6EB-DE95-4CED-99C7-51D06FA2093F}"/>
    <cellStyle name="差_SerNet SAMPLE_CONTRACT _Invoice" xfId="536" xr:uid="{8B0DC877-3C74-40B6-9CBC-3D828CF5D60D}"/>
    <cellStyle name="差_SerNet SAMPLE_Invoice" xfId="702" xr:uid="{1B0365B6-BA73-45A4-A2BB-EFC8491039A9}"/>
    <cellStyle name="差_SerNet SAMPLE_Invoice_1" xfId="703" xr:uid="{756A88F6-E644-45DC-8E50-B064EE1A2087}"/>
    <cellStyle name="差_SerNet SAMPLE_Invoice_CONTRACT " xfId="704" xr:uid="{7EF4533B-7F2C-4FA0-9BE9-EBEABCB3482B}"/>
    <cellStyle name="差_SerNet SAMPLE_Invoice_Invoice" xfId="705" xr:uid="{7D231CF2-BFC1-4F50-AFC4-C568C3543A19}"/>
    <cellStyle name="差_入倉單" xfId="708" xr:uid="{9F84234B-BF49-47A2-8397-0369C8A035DC}"/>
    <cellStyle name="差_廠商導入二維條碼格式12-20" xfId="707" xr:uid="{112A08FE-37C8-4C34-BFA8-550DA6BF7879}"/>
    <cellStyle name="适中 2" xfId="1074" xr:uid="{16E6C080-FE2F-4828-8B8F-B6A6630721C0}"/>
    <cellStyle name="常规 2" xfId="216" xr:uid="{768B307D-4A6A-4C3D-8418-CF601C827539}"/>
    <cellStyle name="常规 3" xfId="105" xr:uid="{F9A4A7F1-55A3-4E51-A3AF-F3FD7ECBACDE}"/>
    <cellStyle name="常规 4" xfId="710" xr:uid="{B0D32FCF-F8B7-475A-9234-71104EA8370E}"/>
    <cellStyle name="常规_A104110202--中怡sly" xfId="711" xr:uid="{9EFC76D6-B0FA-4DFC-AA03-D943E61B9547}"/>
    <cellStyle name="常规_啟德一般貿易" xfId="714" xr:uid="{4246EFE3-15A8-4085-B625-6A2B5AD69532}"/>
    <cellStyle name="检查单元格 2" xfId="1068" xr:uid="{BB97CD16-3502-4DD6-A762-743D1F1EFC5F}"/>
    <cellStyle name="强调文字颜色 1 2" xfId="1071" xr:uid="{6D627E61-7256-45C9-A854-B8BA54C6CA84}"/>
    <cellStyle name="强调文字颜色 2 2" xfId="1072" xr:uid="{80C66CF8-D729-40FD-B750-00438A1FAE3D}"/>
    <cellStyle name="强调文字颜色 3 2" xfId="1073" xr:uid="{BC80EB4D-0A06-4295-8797-DA9E4BEF414E}"/>
    <cellStyle name="强调文字颜色 4 2" xfId="263" xr:uid="{5175FBB2-FCB1-4260-B1F3-9443C5E650EC}"/>
    <cellStyle name="强调文字颜色 5 2" xfId="1048" xr:uid="{F1307491-3456-4514-93BB-1BF424EA0FBF}"/>
    <cellStyle name="强调文字颜色 6 2" xfId="807" xr:uid="{F77CA244-0099-4EFE-991A-3DE0D572AB25}"/>
    <cellStyle name="链接单元格 2" xfId="1069" xr:uid="{7296E5FE-3587-4460-8E4F-CAFD8789D3B2}"/>
    <cellStyle name="解释性文本 2" xfId="443" xr:uid="{1BDA0D02-5285-4E54-A053-997F7155A554}"/>
    <cellStyle name="输入 2" xfId="1075" xr:uid="{2680AD80-6C88-41F2-BCAB-8A988E3732C7}"/>
    <cellStyle name="输出 2" xfId="759" xr:uid="{E7D37914-0B0C-488B-A535-AD740E4C8CCC}"/>
    <cellStyle name="樣式 1" xfId="1076" xr:uid="{9262EACC-8E76-4E86-BA14-76DAFF5751F7}"/>
    <cellStyle name="壞_2015新版陆运托书" xfId="728" xr:uid="{6310590C-F54D-4F96-83BB-133932DD25E6}"/>
    <cellStyle name="壞_2015新版陆运托书_A1040428--中怡fiona " xfId="1039" xr:uid="{954F7364-20E6-49C2-AC53-BFD73E351786}"/>
    <cellStyle name="壞_2015新版陆运托书_A1040428--中怡fiona _A106071403-中怡Daisy" xfId="417" xr:uid="{F23E4490-C3BD-4413-BEA0-20E5133CC43D}"/>
    <cellStyle name="壞_2015新版陆运托书_A1040428--中怡fiona _CONTRACT " xfId="1040" xr:uid="{48A82C2E-28D2-4552-8416-1A5B684531E2}"/>
    <cellStyle name="壞_2015新版陆运托书_A1040428--中怡fiona _CONTRACT _1" xfId="1041" xr:uid="{F1D093F9-9383-45BE-B764-070FCBB83B2E}"/>
    <cellStyle name="壞_2015新版陆运托书_A1040428--中怡fiona _CONTRACT _CONTRACT " xfId="1042" xr:uid="{67F456B2-AF1A-4EBF-BB48-3A2E19C3241C}"/>
    <cellStyle name="壞_2015新版陆运托书_A1040428--中怡fiona _CONTRACT _Invoice" xfId="305" xr:uid="{882113A0-DA78-4F45-9015-CC0B093EBF2C}"/>
    <cellStyle name="壞_2015新版陆运托书_A1040428--中怡fiona _Invoice" xfId="425" xr:uid="{53567EDC-B399-490F-9250-C8A6D1518A31}"/>
    <cellStyle name="壞_2015新版陆运托书_A1040428--中怡fiona _Invoice_1" xfId="1044" xr:uid="{7B632A38-311A-496C-9C14-1C9FC4CB6B10}"/>
    <cellStyle name="壞_2015新版陆运托书_A1040428--中怡fiona _Invoice_CONTRACT " xfId="1045" xr:uid="{FF7B42CE-E254-448A-BD6E-879E53B781CF}"/>
    <cellStyle name="壞_2015新版陆运托书_A1040428--中怡fiona _Invoice_Invoice" xfId="1046" xr:uid="{6F634AE6-5EDD-448C-BCF8-893052CF4C1E}"/>
    <cellStyle name="壞_2015新版陆运托书_A104110202--中怡sly" xfId="1047" xr:uid="{9FDECE03-B3FC-49A1-A0FB-A5508A810DB7}"/>
    <cellStyle name="壞_2015新版陆运托书_A104110202--中怡sly_CONTRACT " xfId="1049" xr:uid="{F1CE1734-F9F2-4549-B12C-7D99E1A7CDFD}"/>
    <cellStyle name="壞_2015新版陆运托书_A104110202--中怡sly_CONTRACT _1" xfId="1050" xr:uid="{10C475B3-F409-44AF-8047-630333DBBCC8}"/>
    <cellStyle name="壞_2015新版陆运托书_A104110202--中怡sly_CONTRACT _1_CONTRACT " xfId="1051" xr:uid="{97E3A981-C3D2-4B6D-99CF-AE048C301E37}"/>
    <cellStyle name="壞_2015新版陆运托书_A104110202--中怡sly_CONTRACT _1_Invoice" xfId="170" xr:uid="{D443F080-DD47-44F7-BD40-3922E35B19F3}"/>
    <cellStyle name="壞_2015新版陆运托书_A104110202--中怡sly_CONTRACT _2" xfId="529" xr:uid="{D6B5DC7D-8C42-4273-8504-12364C523399}"/>
    <cellStyle name="壞_2015新版陆运托书_A104110202--中怡sly_CONTRACT _CONTRACT " xfId="1052" xr:uid="{5E8D7513-0314-4E72-BD33-C95FBFE02DBC}"/>
    <cellStyle name="壞_2015新版陆运托书_A104110202--中怡sly_CONTRACT _Invoice" xfId="1053" xr:uid="{F3DB3AE5-F527-4CD4-8715-D90C6213296C}"/>
    <cellStyle name="壞_2015新版陆运托书_A104110202--中怡sly_Invoice" xfId="1054" xr:uid="{BD9AC6F4-35AD-47A5-8A51-FDB2E54D7EA8}"/>
    <cellStyle name="壞_2015新版陆运托书_A104110202--中怡sly_Invoice_1" xfId="590" xr:uid="{3A3C546E-2532-4DA4-B3B9-687480E90FCF}"/>
    <cellStyle name="壞_2015新版陆运托书_A104110202--中怡sly_Invoice_1_CONTRACT " xfId="723" xr:uid="{2A8FE2B3-F722-4FBC-8954-6EB2C768ABB8}"/>
    <cellStyle name="壞_2015新版陆运托书_A104110202--中怡sly_Invoice_1_Invoice" xfId="1055" xr:uid="{DD3C8812-82AC-41F9-8AD9-72FD625E053B}"/>
    <cellStyle name="壞_2015新版陆运托书_A104110202--中怡sly_Invoice_2" xfId="513" xr:uid="{24852D02-044F-4D3D-8365-14E3E5F1F82E}"/>
    <cellStyle name="壞_2015新版陆运托书_A104110202--中怡sly_Invoice_CONTRACT " xfId="1056" xr:uid="{07B224AD-BCFF-4BF7-8362-CB12FE70D4D0}"/>
    <cellStyle name="壞_2015新版陆运托书_A104110202--中怡sly_Invoice_Invoice" xfId="852" xr:uid="{E44AA3F9-0DCD-4E7D-ACBA-512007296217}"/>
    <cellStyle name="壞_2015新版陆运托书_A106071403-中怡Daisy" xfId="1034" xr:uid="{26783028-9D07-4F0A-9574-9099D88DB068}"/>
    <cellStyle name="壞_2015新版陆运托书_CONTRACT " xfId="1058" xr:uid="{0A157510-00B9-4E25-AD0A-CD723E8100CC}"/>
    <cellStyle name="壞_2015新版陆运托书_CONTRACT _1" xfId="518" xr:uid="{AC590C62-BC60-441C-B08C-11DD751F5044}"/>
    <cellStyle name="壞_2015新版陆运托书_CONTRACT _CONTRACT " xfId="634" xr:uid="{5CC5DD78-6BD7-4F3D-8839-BB7A08C1A1B9}"/>
    <cellStyle name="壞_2015新版陆运托书_CONTRACT _Invoice" xfId="1059" xr:uid="{BCBFC0B1-906C-4A1E-B4B9-C0AB22A4FE17}"/>
    <cellStyle name="壞_2015新版陆运托书_Invoice" xfId="1060" xr:uid="{5453A845-6B3F-4AD5-9EFB-8EFD9E2C3DC6}"/>
    <cellStyle name="壞_2015新版陆运托书_Invoice_1" xfId="1061" xr:uid="{A2EDE7B4-ECED-42BC-A110-7F1F7D76CF51}"/>
    <cellStyle name="壞_2015新版陆运托书_Invoice_CONTRACT " xfId="1062" xr:uid="{E3BA4359-EA89-4BA6-98A3-E2CA92A01A97}"/>
    <cellStyle name="壞_2015新版陆运托书_Invoice_Invoice" xfId="1057" xr:uid="{3BB9F7F1-486D-4F3C-91DE-66CDD8366F37}"/>
    <cellStyle name="壞_A104101307 盛恆達.." xfId="1063" xr:uid="{63BCF215-E48F-4F3E-9329-3D2F2C591124}"/>
    <cellStyle name="壞_A104110202--中怡sly" xfId="1064" xr:uid="{F0EA007F-D5F5-423F-8094-B33F1A791A5C}"/>
    <cellStyle name="壞_A104110203--中怡fiona" xfId="1023" xr:uid="{E1B3A41B-21F9-4E4C-A517-7A8E8A6C6F4B}"/>
    <cellStyle name="壞_A1041109--中怡Anco" xfId="1065" xr:uid="{3069F6AC-D987-4EC6-B124-209CADAA89D5}"/>
    <cellStyle name="壞_A1041109--中怡fiona " xfId="1066" xr:uid="{0DC1A310-E65A-4926-99F0-CAFACE08A4BA}"/>
    <cellStyle name="壞_A1060721-中怡Tony" xfId="872" xr:uid="{37E7F5F8-D902-4D3B-BC5B-6EA7D365D96B}"/>
    <cellStyle name="警告文本 2" xfId="1043" xr:uid="{A92CAE26-BAD1-4BA6-AECC-B689A60E473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556260</xdr:colOff>
      <xdr:row>38</xdr:row>
      <xdr:rowOff>266700</xdr:rowOff>
    </xdr:from>
    <xdr:to>
      <xdr:col>3</xdr:col>
      <xdr:colOff>129540</xdr:colOff>
      <xdr:row>43</xdr:row>
      <xdr:rowOff>15240</xdr:rowOff>
    </xdr:to>
    <xdr:pic>
      <xdr:nvPicPr>
        <xdr:cNvPr id="1671201" name="图片 1" descr="中怡專用">
          <a:extLst>
            <a:ext uri="{FF2B5EF4-FFF2-40B4-BE49-F238E27FC236}">
              <a16:creationId xmlns:a16="http://schemas.microsoft.com/office/drawing/2014/main" id="{794EAEF1-48B3-12E9-A936-A0B7ED7D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13060680"/>
          <a:ext cx="2697480" cy="1310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434340</xdr:colOff>
      <xdr:row>37</xdr:row>
      <xdr:rowOff>114300</xdr:rowOff>
    </xdr:from>
    <xdr:to>
      <xdr:col>3</xdr:col>
      <xdr:colOff>518160</xdr:colOff>
      <xdr:row>44</xdr:row>
      <xdr:rowOff>121920</xdr:rowOff>
    </xdr:to>
    <xdr:pic>
      <xdr:nvPicPr>
        <xdr:cNvPr id="1699844" name="图片 1" descr="中怡專用">
          <a:extLst>
            <a:ext uri="{FF2B5EF4-FFF2-40B4-BE49-F238E27FC236}">
              <a16:creationId xmlns:a16="http://schemas.microsoft.com/office/drawing/2014/main" id="{AEFFDC26-FEE9-6136-37C9-1C46EEA54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8839200"/>
          <a:ext cx="2689860" cy="1341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167640</xdr:rowOff>
    </xdr:from>
    <xdr:to>
      <xdr:col>3</xdr:col>
      <xdr:colOff>91440</xdr:colOff>
      <xdr:row>20</xdr:row>
      <xdr:rowOff>236220</xdr:rowOff>
    </xdr:to>
    <xdr:pic>
      <xdr:nvPicPr>
        <xdr:cNvPr id="1697806" name="图片 11">
          <a:extLst>
            <a:ext uri="{FF2B5EF4-FFF2-40B4-BE49-F238E27FC236}">
              <a16:creationId xmlns:a16="http://schemas.microsoft.com/office/drawing/2014/main" id="{95AB30BD-1329-E9DF-02B2-81556E2E9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3482340"/>
          <a:ext cx="3909060" cy="242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3154680</xdr:colOff>
      <xdr:row>20</xdr:row>
      <xdr:rowOff>426720</xdr:rowOff>
    </xdr:from>
    <xdr:to>
      <xdr:col>3</xdr:col>
      <xdr:colOff>76200</xdr:colOff>
      <xdr:row>25</xdr:row>
      <xdr:rowOff>175260</xdr:rowOff>
    </xdr:to>
    <xdr:pic>
      <xdr:nvPicPr>
        <xdr:cNvPr id="1697807" name="Picture 3">
          <a:extLst>
            <a:ext uri="{FF2B5EF4-FFF2-40B4-BE49-F238E27FC236}">
              <a16:creationId xmlns:a16="http://schemas.microsoft.com/office/drawing/2014/main" id="{CCF84BFB-F31D-CBD5-EE30-4FAC05F37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1980" y="6096000"/>
          <a:ext cx="3901440" cy="2385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464820</xdr:colOff>
      <xdr:row>23</xdr:row>
      <xdr:rowOff>259080</xdr:rowOff>
    </xdr:from>
    <xdr:to>
      <xdr:col>8</xdr:col>
      <xdr:colOff>53340</xdr:colOff>
      <xdr:row>28</xdr:row>
      <xdr:rowOff>1379220</xdr:rowOff>
    </xdr:to>
    <xdr:pic>
      <xdr:nvPicPr>
        <xdr:cNvPr id="1697808" name="Picture 4">
          <a:extLst>
            <a:ext uri="{FF2B5EF4-FFF2-40B4-BE49-F238E27FC236}">
              <a16:creationId xmlns:a16="http://schemas.microsoft.com/office/drawing/2014/main" id="{06904B0D-AD13-C489-6294-BD9144D79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7840" y="8031480"/>
          <a:ext cx="3924300" cy="2461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c-ad\invoice\Users\Administrator\AppData\Local\Microsoft\Windows\Temporary%20Internet%20Files\Content.Outlook\SSZ9B9G1\&#27161;&#31844;&#30906;&#35469;&#65292;&#35613;&#35613;~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c-ad\invoice\Documents%20and%20Settings\a\Application%20Data\Skype\My%20Skype%20Received%20Files\A1080117-&#20013;&#24609;Tony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42841/Desktop/&#36827;&#21475;&#23548;&#20837;&#25968;&#25454;&#27169;&#26495;/&#20013;&#30922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怡SERN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PACKING"/>
      <sheetName val="注意事項"/>
      <sheetName val="shipping mark"/>
      <sheetName val="CONTRACT"/>
      <sheetName val="入倉單"/>
      <sheetName val="LABEL SAMPLE"/>
      <sheetName val="新標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单票"/>
      <sheetName val="国家代码"/>
      <sheetName val="模板数据"/>
      <sheetName val="采购二课"/>
      <sheetName val="采购联系人"/>
      <sheetName val="快递信息"/>
      <sheetName val="Sheet1"/>
      <sheetName val="Sheet2"/>
      <sheetName val="Sheet3"/>
    </sheetNames>
    <sheetDataSet>
      <sheetData sheetId="0"/>
      <sheetData sheetId="1">
        <row r="1">
          <cell r="A1" t="str">
            <v>国家</v>
          </cell>
          <cell r="B1" t="str">
            <v>代码</v>
          </cell>
        </row>
        <row r="2">
          <cell r="A2" t="str">
            <v>Vietnam</v>
          </cell>
          <cell r="B2">
            <v>141</v>
          </cell>
        </row>
        <row r="3">
          <cell r="A3" t="str">
            <v>Japan</v>
          </cell>
          <cell r="B3">
            <v>116</v>
          </cell>
        </row>
        <row r="4">
          <cell r="A4" t="str">
            <v>Thailand</v>
          </cell>
          <cell r="B4">
            <v>136</v>
          </cell>
        </row>
        <row r="5">
          <cell r="A5" t="str">
            <v>UK</v>
          </cell>
          <cell r="B5">
            <v>303</v>
          </cell>
        </row>
        <row r="6">
          <cell r="A6" t="str">
            <v>PH</v>
          </cell>
          <cell r="B6">
            <v>129</v>
          </cell>
        </row>
        <row r="7">
          <cell r="A7" t="str">
            <v>KR</v>
          </cell>
          <cell r="B7">
            <v>133</v>
          </cell>
        </row>
        <row r="8">
          <cell r="A8" t="str">
            <v>IN</v>
          </cell>
          <cell r="B8">
            <v>111</v>
          </cell>
        </row>
        <row r="9">
          <cell r="A9" t="str">
            <v>MADE IN  CHINA</v>
          </cell>
          <cell r="B9">
            <v>142</v>
          </cell>
        </row>
        <row r="10">
          <cell r="A10" t="str">
            <v>MADE IN TAIWAN , CHINA</v>
          </cell>
          <cell r="B10">
            <v>143</v>
          </cell>
        </row>
        <row r="11">
          <cell r="A11" t="str">
            <v>NZ</v>
          </cell>
          <cell r="B11">
            <v>609</v>
          </cell>
        </row>
        <row r="12">
          <cell r="A12" t="str">
            <v>DE</v>
          </cell>
          <cell r="B12">
            <v>304</v>
          </cell>
        </row>
        <row r="13">
          <cell r="A13" t="str">
            <v>CR</v>
          </cell>
          <cell r="B13">
            <v>415</v>
          </cell>
        </row>
        <row r="14">
          <cell r="A14" t="str">
            <v>US</v>
          </cell>
          <cell r="B14">
            <v>502</v>
          </cell>
        </row>
        <row r="15">
          <cell r="A15" t="str">
            <v>VN</v>
          </cell>
          <cell r="B15">
            <v>141</v>
          </cell>
        </row>
        <row r="16">
          <cell r="A16" t="str">
            <v>MX</v>
          </cell>
          <cell r="B16">
            <v>429</v>
          </cell>
        </row>
        <row r="17">
          <cell r="A17" t="str">
            <v>india</v>
          </cell>
          <cell r="B17">
            <v>111</v>
          </cell>
        </row>
        <row r="18">
          <cell r="A18" t="str">
            <v>EL SALVADOR</v>
          </cell>
          <cell r="B18">
            <v>440</v>
          </cell>
        </row>
        <row r="19">
          <cell r="A19" t="str">
            <v>Malaysia</v>
          </cell>
          <cell r="B19">
            <v>122</v>
          </cell>
        </row>
        <row r="20">
          <cell r="A20" t="str">
            <v>MY</v>
          </cell>
          <cell r="B20">
            <v>122</v>
          </cell>
        </row>
        <row r="21">
          <cell r="A21" t="str">
            <v>MADE IN CHINA</v>
          </cell>
          <cell r="B21">
            <v>142</v>
          </cell>
        </row>
        <row r="22">
          <cell r="A22" t="str">
            <v>MADE IN TAIWAN,CHINA</v>
          </cell>
          <cell r="B22">
            <v>143</v>
          </cell>
        </row>
        <row r="23">
          <cell r="A23" t="str">
            <v>CN</v>
          </cell>
          <cell r="B23">
            <v>142</v>
          </cell>
        </row>
        <row r="24">
          <cell r="A24" t="str">
            <v>Taiwan</v>
          </cell>
          <cell r="B24">
            <v>143</v>
          </cell>
        </row>
        <row r="25">
          <cell r="A25" t="str">
            <v>CHINA</v>
          </cell>
          <cell r="B25">
            <v>142</v>
          </cell>
        </row>
        <row r="26">
          <cell r="A26" t="str">
            <v>TAIWAN,CHINA</v>
          </cell>
          <cell r="B26">
            <v>143</v>
          </cell>
        </row>
        <row r="27">
          <cell r="A27" t="str">
            <v>JP</v>
          </cell>
          <cell r="B27">
            <v>116</v>
          </cell>
        </row>
        <row r="28">
          <cell r="A28" t="str">
            <v>CR</v>
          </cell>
          <cell r="B28">
            <v>415</v>
          </cell>
        </row>
        <row r="29">
          <cell r="A29" t="str">
            <v>The Republic of Costa Rica</v>
          </cell>
          <cell r="B29">
            <v>415</v>
          </cell>
        </row>
        <row r="30">
          <cell r="A30" t="str">
            <v>Costa Rica</v>
          </cell>
          <cell r="B30">
            <v>415</v>
          </cell>
        </row>
        <row r="31">
          <cell r="A31" t="str">
            <v>INDONESIA</v>
          </cell>
          <cell r="B31">
            <v>112</v>
          </cell>
        </row>
        <row r="32">
          <cell r="A32" t="str">
            <v>TH</v>
          </cell>
          <cell r="B32">
            <v>136</v>
          </cell>
        </row>
        <row r="33">
          <cell r="A33" t="str">
            <v>Taiwan, China</v>
          </cell>
          <cell r="B33">
            <v>143</v>
          </cell>
        </row>
        <row r="34">
          <cell r="A34" t="str">
            <v>SG</v>
          </cell>
          <cell r="B34">
            <v>132</v>
          </cell>
        </row>
        <row r="35">
          <cell r="A35" t="str">
            <v>Netherlands</v>
          </cell>
          <cell r="B35">
            <v>309</v>
          </cell>
        </row>
        <row r="36">
          <cell r="A36" t="str">
            <v>Korea</v>
          </cell>
          <cell r="B36">
            <v>133</v>
          </cell>
        </row>
        <row r="37">
          <cell r="A37" t="str">
            <v>Singapore</v>
          </cell>
          <cell r="B37">
            <v>132</v>
          </cell>
        </row>
        <row r="38">
          <cell r="A38" t="str">
            <v>Austria</v>
          </cell>
          <cell r="B38">
            <v>315</v>
          </cell>
        </row>
        <row r="39">
          <cell r="A39" t="str">
            <v>CHN</v>
          </cell>
          <cell r="B39">
            <v>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EDF1-01DC-4191-9DDB-AC12D0C3E206}">
  <dimension ref="A4:D13"/>
  <sheetViews>
    <sheetView workbookViewId="0">
      <selection activeCell="D22" sqref="D22"/>
    </sheetView>
  </sheetViews>
  <sheetFormatPr defaultColWidth="9.33203125" defaultRowHeight="16.2"/>
  <cols>
    <col min="1" max="2" width="9.33203125" style="48"/>
    <col min="3" max="3" width="10.44140625" style="48" customWidth="1"/>
    <col min="4" max="4" width="29.33203125" style="48" customWidth="1"/>
    <col min="5" max="16384" width="9.33203125" style="48"/>
  </cols>
  <sheetData>
    <row r="4" spans="1:4">
      <c r="A4" s="48" t="s">
        <v>0</v>
      </c>
      <c r="C4" s="76"/>
      <c r="D4" s="76"/>
    </row>
    <row r="5" spans="1:4">
      <c r="C5" s="322" t="s">
        <v>1</v>
      </c>
      <c r="D5" s="323" t="s">
        <v>2</v>
      </c>
    </row>
    <row r="6" spans="1:4">
      <c r="C6" s="322" t="s">
        <v>3</v>
      </c>
      <c r="D6" s="324"/>
    </row>
    <row r="7" spans="1:4">
      <c r="D7" s="324" t="s">
        <v>4</v>
      </c>
    </row>
    <row r="8" spans="1:4">
      <c r="D8" s="324" t="s">
        <v>5</v>
      </c>
    </row>
    <row r="9" spans="1:4">
      <c r="D9" s="324" t="s">
        <v>6</v>
      </c>
    </row>
    <row r="10" spans="1:4">
      <c r="D10" s="324" t="s">
        <v>7</v>
      </c>
    </row>
    <row r="11" spans="1:4">
      <c r="D11" s="324" t="s">
        <v>8</v>
      </c>
    </row>
    <row r="12" spans="1:4">
      <c r="D12" s="324" t="s">
        <v>9</v>
      </c>
    </row>
    <row r="13" spans="1:4">
      <c r="D13" s="324" t="s">
        <v>10</v>
      </c>
    </row>
  </sheetData>
  <phoneticPr fontId="130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CA6D-3BD7-4E26-8794-C79771D02E69}">
  <sheetPr>
    <pageSetUpPr fitToPage="1"/>
  </sheetPr>
  <dimension ref="A1:P40"/>
  <sheetViews>
    <sheetView tabSelected="1" view="pageBreakPreview" zoomScale="90" zoomScaleNormal="90" zoomScaleSheetLayoutView="90" workbookViewId="0"/>
  </sheetViews>
  <sheetFormatPr defaultColWidth="10.33203125" defaultRowHeight="24.6"/>
  <cols>
    <col min="1" max="1" width="10.33203125" style="254"/>
    <col min="2" max="2" width="14.88671875" style="254" customWidth="1"/>
    <col min="3" max="3" width="20.33203125" style="254" customWidth="1"/>
    <col min="4" max="4" width="23.6640625" style="254" customWidth="1"/>
    <col min="5" max="5" width="12.6640625" style="254" customWidth="1"/>
    <col min="6" max="8" width="10.33203125" style="254"/>
    <col min="9" max="9" width="13.109375" style="254" bestFit="1" customWidth="1"/>
    <col min="10" max="11" width="10.33203125" style="254"/>
    <col min="12" max="12" width="13.33203125" style="254" customWidth="1"/>
    <col min="13" max="13" width="10.33203125" style="254"/>
    <col min="14" max="14" width="11.88671875" style="254" customWidth="1"/>
    <col min="15" max="16384" width="10.33203125" style="254"/>
  </cols>
  <sheetData>
    <row r="1" spans="1:15">
      <c r="A1" s="255"/>
      <c r="B1" s="256" t="s">
        <v>11</v>
      </c>
      <c r="C1" s="256" t="s">
        <v>12</v>
      </c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300"/>
    </row>
    <row r="2" spans="1:15" ht="28.2">
      <c r="A2" s="325" t="s">
        <v>13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7"/>
    </row>
    <row r="3" spans="1:15">
      <c r="A3" s="258" t="s">
        <v>14</v>
      </c>
      <c r="B3" s="259"/>
      <c r="C3" s="260"/>
      <c r="D3" s="212"/>
      <c r="E3" s="258" t="s">
        <v>15</v>
      </c>
      <c r="F3" s="260"/>
      <c r="G3" s="260"/>
      <c r="H3" s="260"/>
      <c r="I3" s="260"/>
      <c r="J3" s="240"/>
      <c r="K3" s="240"/>
      <c r="L3" s="240"/>
      <c r="M3" s="240"/>
      <c r="N3" s="240"/>
      <c r="O3" s="301"/>
    </row>
    <row r="4" spans="1:15">
      <c r="A4" s="174" t="s">
        <v>16</v>
      </c>
      <c r="B4" s="175"/>
      <c r="C4" s="260"/>
      <c r="D4" s="261"/>
      <c r="E4" s="174" t="s">
        <v>17</v>
      </c>
      <c r="F4" s="262"/>
      <c r="G4" s="263"/>
      <c r="H4" s="263"/>
      <c r="I4" s="260"/>
      <c r="J4" s="240"/>
      <c r="K4" s="240"/>
      <c r="L4" s="240"/>
      <c r="M4" s="240"/>
      <c r="N4" s="240"/>
      <c r="O4" s="301"/>
    </row>
    <row r="5" spans="1:15">
      <c r="A5" s="341"/>
      <c r="B5" s="342"/>
      <c r="C5" s="342"/>
      <c r="D5" s="343"/>
      <c r="E5" s="179">
        <v>45883</v>
      </c>
      <c r="F5" s="264"/>
      <c r="G5" s="264"/>
      <c r="H5" s="265"/>
      <c r="I5" s="260"/>
      <c r="J5" s="240"/>
      <c r="K5" s="240"/>
      <c r="L5" s="240"/>
      <c r="M5" s="240"/>
      <c r="N5" s="240"/>
      <c r="O5" s="301"/>
    </row>
    <row r="6" spans="1:15">
      <c r="A6" s="341"/>
      <c r="B6" s="342"/>
      <c r="C6" s="342"/>
      <c r="D6" s="343"/>
      <c r="E6" s="266"/>
      <c r="F6" s="260"/>
      <c r="G6" s="260"/>
      <c r="H6" s="260"/>
      <c r="I6" s="260"/>
      <c r="J6" s="240"/>
      <c r="K6" s="240"/>
      <c r="L6" s="240"/>
      <c r="M6" s="240"/>
      <c r="N6" s="240"/>
      <c r="O6" s="301"/>
    </row>
    <row r="7" spans="1:15">
      <c r="A7" s="181"/>
      <c r="B7" s="267"/>
      <c r="C7" s="182"/>
      <c r="D7" s="268"/>
      <c r="E7" s="269"/>
      <c r="F7" s="182"/>
      <c r="G7" s="182"/>
      <c r="H7" s="182"/>
      <c r="I7" s="182"/>
      <c r="J7" s="302"/>
      <c r="K7" s="302"/>
      <c r="L7" s="302"/>
      <c r="M7" s="302"/>
      <c r="N7" s="302"/>
      <c r="O7" s="303"/>
    </row>
    <row r="8" spans="1:15">
      <c r="A8" s="187" t="s">
        <v>18</v>
      </c>
      <c r="B8" s="270"/>
      <c r="C8" s="271"/>
      <c r="D8" s="272"/>
      <c r="E8" s="187" t="s">
        <v>19</v>
      </c>
      <c r="F8" s="271"/>
      <c r="G8" s="271"/>
      <c r="H8" s="271"/>
      <c r="I8" s="271"/>
      <c r="J8" s="304"/>
      <c r="K8" s="305"/>
      <c r="L8" s="305"/>
      <c r="M8" s="305"/>
      <c r="N8" s="305"/>
      <c r="O8" s="306"/>
    </row>
    <row r="9" spans="1:15">
      <c r="A9" s="190" t="s">
        <v>20</v>
      </c>
      <c r="B9" s="175"/>
      <c r="C9" s="191"/>
      <c r="D9" s="273"/>
      <c r="E9" s="274" t="s">
        <v>21</v>
      </c>
      <c r="F9" s="260"/>
      <c r="G9" s="260"/>
      <c r="H9" s="260"/>
      <c r="I9" s="260"/>
      <c r="J9" s="305"/>
      <c r="K9" s="305"/>
      <c r="L9" s="305"/>
      <c r="M9" s="305"/>
      <c r="N9" s="305"/>
      <c r="O9" s="306"/>
    </row>
    <row r="10" spans="1:15" ht="13.95" customHeight="1">
      <c r="A10" s="195" t="s">
        <v>22</v>
      </c>
      <c r="B10" s="196"/>
      <c r="C10" s="196"/>
      <c r="D10" s="275"/>
      <c r="E10" s="328"/>
      <c r="F10" s="329"/>
      <c r="G10" s="329"/>
      <c r="H10" s="329"/>
      <c r="I10" s="329"/>
      <c r="J10" s="307"/>
      <c r="K10" s="307"/>
      <c r="L10" s="307"/>
      <c r="M10" s="307"/>
      <c r="N10" s="307"/>
      <c r="O10" s="308"/>
    </row>
    <row r="11" spans="1:15" ht="29.1" customHeight="1">
      <c r="A11" s="330" t="s">
        <v>23</v>
      </c>
      <c r="B11" s="331"/>
      <c r="C11" s="331"/>
      <c r="D11" s="332"/>
      <c r="E11" s="266"/>
      <c r="F11" s="260"/>
      <c r="G11" s="260"/>
      <c r="H11" s="260"/>
      <c r="I11" s="260"/>
      <c r="J11" s="307"/>
      <c r="K11" s="307"/>
      <c r="L11" s="307"/>
      <c r="M11" s="307"/>
      <c r="N11" s="307"/>
      <c r="O11" s="308"/>
    </row>
    <row r="12" spans="1:15">
      <c r="A12" s="187" t="s">
        <v>24</v>
      </c>
      <c r="B12" s="271"/>
      <c r="C12" s="271"/>
      <c r="D12" s="272"/>
      <c r="E12" s="187" t="s">
        <v>25</v>
      </c>
      <c r="F12" s="271"/>
      <c r="G12" s="271"/>
      <c r="H12" s="271"/>
      <c r="I12" s="271"/>
      <c r="J12" s="271"/>
      <c r="K12" s="271"/>
      <c r="L12" s="271"/>
      <c r="M12" s="271"/>
      <c r="N12" s="271"/>
      <c r="O12" s="272"/>
    </row>
    <row r="13" spans="1:15">
      <c r="A13" s="190" t="s">
        <v>20</v>
      </c>
      <c r="B13" s="175"/>
      <c r="C13" s="175"/>
      <c r="D13" s="261"/>
      <c r="E13" s="174" t="s">
        <v>26</v>
      </c>
      <c r="F13" s="262"/>
      <c r="G13" s="262"/>
      <c r="H13" s="262"/>
      <c r="I13" s="262"/>
      <c r="J13" s="240"/>
      <c r="K13" s="240"/>
      <c r="L13" s="240"/>
      <c r="M13" s="240"/>
      <c r="N13" s="240"/>
      <c r="O13" s="301"/>
    </row>
    <row r="14" spans="1:15" ht="42" customHeight="1">
      <c r="A14" s="333" t="s">
        <v>27</v>
      </c>
      <c r="B14" s="334"/>
      <c r="C14" s="334"/>
      <c r="D14" s="335"/>
      <c r="E14" s="269"/>
      <c r="F14" s="182"/>
      <c r="G14" s="182"/>
      <c r="H14" s="182"/>
      <c r="I14" s="309"/>
      <c r="J14" s="240"/>
      <c r="K14" s="240"/>
      <c r="L14" s="240"/>
      <c r="M14" s="240"/>
      <c r="N14" s="240"/>
      <c r="O14" s="303"/>
    </row>
    <row r="15" spans="1:15">
      <c r="A15" s="187" t="s">
        <v>28</v>
      </c>
      <c r="B15" s="271"/>
      <c r="C15" s="187" t="s">
        <v>29</v>
      </c>
      <c r="D15" s="272"/>
      <c r="E15" s="259" t="s">
        <v>30</v>
      </c>
      <c r="F15" s="201"/>
      <c r="G15" s="201"/>
      <c r="H15" s="201"/>
      <c r="I15" s="241"/>
      <c r="J15" s="310"/>
      <c r="K15" s="310"/>
      <c r="L15" s="310"/>
      <c r="M15" s="310"/>
      <c r="N15" s="310"/>
      <c r="O15" s="301"/>
    </row>
    <row r="16" spans="1:15">
      <c r="A16" s="336" t="s">
        <v>31</v>
      </c>
      <c r="B16" s="337"/>
      <c r="C16" s="336" t="s">
        <v>32</v>
      </c>
      <c r="D16" s="337"/>
      <c r="E16" s="276"/>
      <c r="F16" s="260"/>
      <c r="G16" s="260"/>
      <c r="H16" s="260"/>
      <c r="I16" s="241"/>
      <c r="J16" s="240"/>
      <c r="K16" s="240"/>
      <c r="L16" s="240"/>
      <c r="M16" s="240"/>
      <c r="N16" s="240"/>
      <c r="O16" s="301"/>
    </row>
    <row r="17" spans="1:16">
      <c r="A17" s="277"/>
      <c r="B17" s="278"/>
      <c r="C17" s="279"/>
      <c r="D17" s="280"/>
      <c r="E17" s="276"/>
      <c r="F17" s="262"/>
      <c r="G17" s="260"/>
      <c r="H17" s="260"/>
      <c r="I17" s="241"/>
      <c r="J17" s="240"/>
      <c r="K17" s="240"/>
      <c r="L17" s="240"/>
      <c r="M17" s="240"/>
      <c r="N17" s="240"/>
      <c r="O17" s="301"/>
    </row>
    <row r="18" spans="1:16">
      <c r="A18" s="187" t="s">
        <v>33</v>
      </c>
      <c r="B18" s="272"/>
      <c r="C18" s="258" t="s">
        <v>34</v>
      </c>
      <c r="D18" s="213"/>
      <c r="E18" s="276"/>
      <c r="F18" s="262"/>
      <c r="G18" s="241"/>
      <c r="H18" s="241"/>
      <c r="I18" s="241"/>
      <c r="J18" s="240"/>
      <c r="K18" s="240"/>
      <c r="L18" s="240"/>
      <c r="M18" s="240"/>
      <c r="N18" s="240"/>
      <c r="O18" s="301"/>
    </row>
    <row r="19" spans="1:16">
      <c r="A19" s="210" t="s">
        <v>35</v>
      </c>
      <c r="B19" s="281"/>
      <c r="C19" s="338"/>
      <c r="D19" s="339"/>
      <c r="E19" s="282" t="s">
        <v>36</v>
      </c>
      <c r="F19" s="182" t="s">
        <v>37</v>
      </c>
      <c r="G19" s="182"/>
      <c r="H19" s="182"/>
      <c r="I19" s="182"/>
      <c r="J19" s="311"/>
      <c r="K19" s="240"/>
      <c r="L19" s="240"/>
      <c r="M19" s="240"/>
      <c r="N19" s="240"/>
      <c r="O19" s="301"/>
    </row>
    <row r="20" spans="1:16" ht="30">
      <c r="A20" s="283" t="s">
        <v>38</v>
      </c>
      <c r="B20" s="284" t="s">
        <v>39</v>
      </c>
      <c r="C20" s="284" t="s">
        <v>40</v>
      </c>
      <c r="D20" s="285" t="s">
        <v>41</v>
      </c>
      <c r="E20" s="284" t="s">
        <v>42</v>
      </c>
      <c r="F20" s="284" t="s">
        <v>43</v>
      </c>
      <c r="G20" s="284" t="s">
        <v>44</v>
      </c>
      <c r="H20" s="284" t="s">
        <v>45</v>
      </c>
      <c r="I20" s="284" t="s">
        <v>46</v>
      </c>
      <c r="J20" s="312" t="s">
        <v>47</v>
      </c>
      <c r="K20" s="312" t="s">
        <v>48</v>
      </c>
      <c r="L20" s="285" t="s">
        <v>49</v>
      </c>
      <c r="M20" s="285" t="s">
        <v>50</v>
      </c>
      <c r="N20" s="313" t="s">
        <v>51</v>
      </c>
      <c r="O20" s="314" t="s">
        <v>52</v>
      </c>
    </row>
    <row r="21" spans="1:16" ht="31.2">
      <c r="A21" s="286">
        <v>1</v>
      </c>
      <c r="B21" s="287">
        <v>2250100170</v>
      </c>
      <c r="C21" s="287" t="s">
        <v>53</v>
      </c>
      <c r="D21" s="287" t="s">
        <v>7</v>
      </c>
      <c r="E21" s="287">
        <v>10000</v>
      </c>
      <c r="F21" s="288" t="s">
        <v>54</v>
      </c>
      <c r="G21" s="289">
        <v>4.3999999999999997E-2</v>
      </c>
      <c r="H21" s="290" t="s">
        <v>55</v>
      </c>
      <c r="I21" s="315">
        <f t="shared" ref="I21:I28" si="0">ROUND(E21*G21,2)</f>
        <v>440</v>
      </c>
      <c r="J21" s="287" t="s">
        <v>56</v>
      </c>
      <c r="K21" s="287" t="s">
        <v>57</v>
      </c>
      <c r="L21" s="287" t="s">
        <v>2</v>
      </c>
      <c r="M21" s="316" t="s">
        <v>58</v>
      </c>
      <c r="N21" s="287" t="s">
        <v>57</v>
      </c>
      <c r="O21" s="317">
        <v>2.83</v>
      </c>
      <c r="P21" s="254">
        <f>VLOOKUP(J21,[3]国家代码!$A$1:$B$65536,2,0)</f>
        <v>142</v>
      </c>
    </row>
    <row r="22" spans="1:16" ht="31.2">
      <c r="A22" s="286">
        <v>2</v>
      </c>
      <c r="B22" s="287">
        <v>2250500414</v>
      </c>
      <c r="C22" s="287" t="s">
        <v>59</v>
      </c>
      <c r="D22" s="287" t="s">
        <v>60</v>
      </c>
      <c r="E22" s="287">
        <v>3000</v>
      </c>
      <c r="F22" s="288" t="s">
        <v>54</v>
      </c>
      <c r="G22" s="289">
        <v>3.2000000000000001E-2</v>
      </c>
      <c r="H22" s="290" t="s">
        <v>55</v>
      </c>
      <c r="I22" s="315">
        <f t="shared" si="0"/>
        <v>96</v>
      </c>
      <c r="J22" s="287" t="s">
        <v>56</v>
      </c>
      <c r="K22" s="287" t="s">
        <v>57</v>
      </c>
      <c r="L22" s="287" t="s">
        <v>2</v>
      </c>
      <c r="M22" s="316" t="s">
        <v>58</v>
      </c>
      <c r="N22" s="287" t="s">
        <v>57</v>
      </c>
      <c r="O22" s="317">
        <v>0.75</v>
      </c>
      <c r="P22" s="254">
        <f>VLOOKUP(J22,[3]国家代码!$A$1:$B$65536,2,0)</f>
        <v>142</v>
      </c>
    </row>
    <row r="23" spans="1:16" ht="31.2">
      <c r="A23" s="286">
        <v>3</v>
      </c>
      <c r="B23" s="287">
        <v>2250200088</v>
      </c>
      <c r="C23" s="287" t="s">
        <v>61</v>
      </c>
      <c r="D23" s="287" t="s">
        <v>62</v>
      </c>
      <c r="E23" s="287">
        <v>10000</v>
      </c>
      <c r="F23" s="288" t="s">
        <v>54</v>
      </c>
      <c r="G23" s="289">
        <v>2.5999999999999999E-2</v>
      </c>
      <c r="H23" s="290" t="s">
        <v>55</v>
      </c>
      <c r="I23" s="315">
        <f t="shared" si="0"/>
        <v>260</v>
      </c>
      <c r="J23" s="287" t="s">
        <v>56</v>
      </c>
      <c r="K23" s="287" t="s">
        <v>57</v>
      </c>
      <c r="L23" s="287" t="s">
        <v>2</v>
      </c>
      <c r="M23" s="316" t="s">
        <v>58</v>
      </c>
      <c r="N23" s="287" t="s">
        <v>57</v>
      </c>
      <c r="O23" s="317">
        <v>1.55</v>
      </c>
      <c r="P23" s="254">
        <f>VLOOKUP(J23,[3]国家代码!$A$1:$B$65536,2,0)</f>
        <v>142</v>
      </c>
    </row>
    <row r="24" spans="1:16" ht="31.2">
      <c r="A24" s="286">
        <v>4</v>
      </c>
      <c r="B24" s="287">
        <v>2250201427</v>
      </c>
      <c r="C24" s="287" t="s">
        <v>61</v>
      </c>
      <c r="D24" s="287" t="s">
        <v>62</v>
      </c>
      <c r="E24" s="287">
        <v>10000</v>
      </c>
      <c r="F24" s="288" t="s">
        <v>54</v>
      </c>
      <c r="G24" s="289">
        <v>2.5999999999999999E-2</v>
      </c>
      <c r="H24" s="290" t="s">
        <v>55</v>
      </c>
      <c r="I24" s="315">
        <f t="shared" si="0"/>
        <v>260</v>
      </c>
      <c r="J24" s="287" t="s">
        <v>56</v>
      </c>
      <c r="K24" s="287" t="s">
        <v>57</v>
      </c>
      <c r="L24" s="287" t="s">
        <v>2</v>
      </c>
      <c r="M24" s="316" t="s">
        <v>58</v>
      </c>
      <c r="N24" s="287" t="s">
        <v>57</v>
      </c>
      <c r="O24" s="317">
        <v>1.55</v>
      </c>
      <c r="P24" s="254">
        <f>VLOOKUP(J24,[3]国家代码!$A$1:$B$65536,2,0)</f>
        <v>142</v>
      </c>
    </row>
    <row r="25" spans="1:16" ht="31.2">
      <c r="A25" s="286">
        <v>5</v>
      </c>
      <c r="B25" s="287">
        <v>2250301934</v>
      </c>
      <c r="C25" s="287" t="s">
        <v>61</v>
      </c>
      <c r="D25" s="287" t="s">
        <v>62</v>
      </c>
      <c r="E25" s="287">
        <v>10000</v>
      </c>
      <c r="F25" s="288" t="s">
        <v>54</v>
      </c>
      <c r="G25" s="289">
        <v>2.5999999999999999E-2</v>
      </c>
      <c r="H25" s="290" t="s">
        <v>55</v>
      </c>
      <c r="I25" s="315">
        <f t="shared" si="0"/>
        <v>260</v>
      </c>
      <c r="J25" s="287" t="s">
        <v>56</v>
      </c>
      <c r="K25" s="287" t="s">
        <v>57</v>
      </c>
      <c r="L25" s="287" t="s">
        <v>2</v>
      </c>
      <c r="M25" s="316" t="s">
        <v>58</v>
      </c>
      <c r="N25" s="287" t="s">
        <v>57</v>
      </c>
      <c r="O25" s="317">
        <v>1.55</v>
      </c>
      <c r="P25" s="254">
        <f>VLOOKUP(J25,[3]国家代码!$A$1:$B$65536,2,0)</f>
        <v>142</v>
      </c>
    </row>
    <row r="26" spans="1:16" ht="31.2">
      <c r="A26" s="286">
        <v>6</v>
      </c>
      <c r="B26" s="287">
        <v>2250300757</v>
      </c>
      <c r="C26" s="287" t="s">
        <v>63</v>
      </c>
      <c r="D26" s="287" t="s">
        <v>8</v>
      </c>
      <c r="E26" s="287">
        <v>24000</v>
      </c>
      <c r="F26" s="288" t="s">
        <v>54</v>
      </c>
      <c r="G26" s="289">
        <v>0.152</v>
      </c>
      <c r="H26" s="290" t="s">
        <v>55</v>
      </c>
      <c r="I26" s="315">
        <f t="shared" si="0"/>
        <v>3648</v>
      </c>
      <c r="J26" s="287" t="s">
        <v>64</v>
      </c>
      <c r="K26" s="287" t="s">
        <v>57</v>
      </c>
      <c r="L26" s="287" t="s">
        <v>2</v>
      </c>
      <c r="M26" s="316" t="s">
        <v>58</v>
      </c>
      <c r="N26" s="287" t="s">
        <v>57</v>
      </c>
      <c r="O26" s="317">
        <v>1.6</v>
      </c>
      <c r="P26" s="254">
        <f>VLOOKUP(J26,[3]国家代码!$A$1:$B$65536,2,0)</f>
        <v>136</v>
      </c>
    </row>
    <row r="27" spans="1:16" ht="31.2">
      <c r="A27" s="286">
        <v>7</v>
      </c>
      <c r="B27" s="287">
        <v>2250800499</v>
      </c>
      <c r="C27" s="287" t="s">
        <v>65</v>
      </c>
      <c r="D27" s="287" t="s">
        <v>66</v>
      </c>
      <c r="E27" s="287">
        <v>900</v>
      </c>
      <c r="F27" s="288" t="s">
        <v>54</v>
      </c>
      <c r="G27" s="289">
        <v>0.19500000000000001</v>
      </c>
      <c r="H27" s="290" t="s">
        <v>55</v>
      </c>
      <c r="I27" s="315">
        <f t="shared" si="0"/>
        <v>175.5</v>
      </c>
      <c r="J27" s="287" t="s">
        <v>56</v>
      </c>
      <c r="K27" s="287" t="s">
        <v>57</v>
      </c>
      <c r="L27" s="287" t="s">
        <v>2</v>
      </c>
      <c r="M27" s="316" t="s">
        <v>58</v>
      </c>
      <c r="N27" s="287" t="s">
        <v>57</v>
      </c>
      <c r="O27" s="317">
        <v>0.96</v>
      </c>
      <c r="P27" s="254">
        <f>VLOOKUP(J27,[3]国家代码!$A$1:$B$65536,2,0)</f>
        <v>142</v>
      </c>
    </row>
    <row r="28" spans="1:16" ht="31.2">
      <c r="A28" s="286">
        <v>8</v>
      </c>
      <c r="B28" s="287">
        <v>2250500414</v>
      </c>
      <c r="C28" s="287" t="s">
        <v>67</v>
      </c>
      <c r="D28" s="287" t="s">
        <v>68</v>
      </c>
      <c r="E28" s="287">
        <v>80000</v>
      </c>
      <c r="F28" s="288" t="s">
        <v>54</v>
      </c>
      <c r="G28" s="289">
        <v>3.0499999999999999E-2</v>
      </c>
      <c r="H28" s="290" t="s">
        <v>55</v>
      </c>
      <c r="I28" s="315">
        <f t="shared" si="0"/>
        <v>2440</v>
      </c>
      <c r="J28" s="287" t="s">
        <v>56</v>
      </c>
      <c r="K28" s="287" t="s">
        <v>57</v>
      </c>
      <c r="L28" s="287" t="s">
        <v>2</v>
      </c>
      <c r="M28" s="316" t="s">
        <v>58</v>
      </c>
      <c r="N28" s="287" t="s">
        <v>57</v>
      </c>
      <c r="O28" s="317">
        <v>22.51</v>
      </c>
      <c r="P28" s="254">
        <f>VLOOKUP(J28,[3]国家代码!$A$1:$B$65536,2,0)</f>
        <v>142</v>
      </c>
    </row>
    <row r="29" spans="1:16">
      <c r="A29" s="286"/>
      <c r="B29" s="287"/>
      <c r="C29" s="287"/>
      <c r="D29" s="287"/>
      <c r="E29" s="287"/>
      <c r="F29" s="288"/>
      <c r="G29" s="289"/>
      <c r="H29" s="290"/>
      <c r="I29" s="315"/>
      <c r="J29" s="287"/>
      <c r="K29" s="287"/>
      <c r="L29" s="287"/>
      <c r="M29" s="316"/>
      <c r="N29" s="287"/>
      <c r="O29" s="317"/>
    </row>
    <row r="30" spans="1:16">
      <c r="A30" s="286"/>
      <c r="B30" s="287"/>
      <c r="C30" s="287"/>
      <c r="D30" s="287"/>
      <c r="E30" s="287"/>
      <c r="F30" s="288"/>
      <c r="G30" s="289"/>
      <c r="H30" s="290"/>
      <c r="I30" s="315"/>
      <c r="J30" s="287"/>
      <c r="K30" s="287"/>
      <c r="L30" s="287"/>
      <c r="M30" s="316"/>
      <c r="N30" s="287"/>
      <c r="O30" s="317"/>
    </row>
    <row r="31" spans="1:16">
      <c r="A31" s="286"/>
      <c r="B31" s="287"/>
      <c r="C31" s="287"/>
      <c r="D31" s="287"/>
      <c r="E31" s="287"/>
      <c r="F31" s="288"/>
      <c r="G31" s="289"/>
      <c r="H31" s="290"/>
      <c r="I31" s="315"/>
      <c r="J31" s="287"/>
      <c r="K31" s="287"/>
      <c r="L31" s="287"/>
      <c r="M31" s="316"/>
      <c r="N31" s="287"/>
      <c r="O31" s="317"/>
    </row>
    <row r="32" spans="1:16">
      <c r="A32" s="286"/>
      <c r="B32" s="287"/>
      <c r="C32" s="287"/>
      <c r="D32" s="287"/>
      <c r="E32" s="287"/>
      <c r="F32" s="288"/>
      <c r="G32" s="289"/>
      <c r="H32" s="290"/>
      <c r="I32" s="315"/>
      <c r="J32" s="287"/>
      <c r="K32" s="287"/>
      <c r="L32" s="287"/>
      <c r="M32" s="316"/>
      <c r="N32" s="287"/>
      <c r="O32" s="317"/>
    </row>
    <row r="33" spans="1:15">
      <c r="A33" s="286"/>
      <c r="B33" s="287"/>
      <c r="C33" s="287"/>
      <c r="D33" s="287"/>
      <c r="E33" s="287"/>
      <c r="F33" s="288"/>
      <c r="G33" s="289"/>
      <c r="H33" s="290"/>
      <c r="I33" s="315"/>
      <c r="J33" s="287"/>
      <c r="K33" s="287"/>
      <c r="L33" s="287"/>
      <c r="M33" s="316"/>
      <c r="N33" s="287"/>
      <c r="O33" s="317"/>
    </row>
    <row r="34" spans="1:15">
      <c r="A34" s="286"/>
      <c r="B34" s="287"/>
      <c r="C34" s="287"/>
      <c r="D34" s="287"/>
      <c r="E34" s="287"/>
      <c r="F34" s="288"/>
      <c r="G34" s="289"/>
      <c r="H34" s="290"/>
      <c r="I34" s="315"/>
      <c r="J34" s="287"/>
      <c r="K34" s="287"/>
      <c r="L34" s="287"/>
      <c r="M34" s="316"/>
      <c r="N34" s="287"/>
      <c r="O34" s="317"/>
    </row>
    <row r="35" spans="1:15">
      <c r="A35" s="286"/>
      <c r="B35" s="287"/>
      <c r="C35" s="287"/>
      <c r="D35" s="287"/>
      <c r="E35" s="287"/>
      <c r="F35" s="288"/>
      <c r="G35" s="289"/>
      <c r="H35" s="290"/>
      <c r="I35" s="315"/>
      <c r="J35" s="287"/>
      <c r="K35" s="287"/>
      <c r="L35" s="287"/>
      <c r="M35" s="316"/>
      <c r="N35" s="287"/>
      <c r="O35" s="317"/>
    </row>
    <row r="36" spans="1:15">
      <c r="A36" s="286"/>
      <c r="B36" s="291"/>
      <c r="C36" s="291"/>
      <c r="D36" s="291"/>
      <c r="E36" s="291"/>
      <c r="F36" s="292"/>
      <c r="G36" s="293"/>
      <c r="H36" s="294"/>
      <c r="I36" s="318"/>
      <c r="J36" s="291"/>
      <c r="K36" s="291"/>
      <c r="L36" s="291"/>
      <c r="M36" s="291"/>
      <c r="N36" s="291"/>
      <c r="O36" s="317"/>
    </row>
    <row r="37" spans="1:15">
      <c r="A37" s="231"/>
      <c r="B37" s="98"/>
      <c r="C37" s="98"/>
      <c r="D37" s="98"/>
      <c r="E37" s="98"/>
      <c r="F37" s="98"/>
      <c r="G37" s="98"/>
      <c r="H37" s="98"/>
      <c r="I37" s="98"/>
      <c r="J37" s="235"/>
      <c r="K37" s="235"/>
      <c r="L37" s="235"/>
      <c r="M37" s="235"/>
      <c r="N37" s="235"/>
      <c r="O37" s="252"/>
    </row>
    <row r="38" spans="1:15">
      <c r="A38" s="295"/>
      <c r="B38" s="296"/>
      <c r="C38" s="340" t="s">
        <v>69</v>
      </c>
      <c r="D38" s="340"/>
      <c r="E38" s="297">
        <f>SUM(E21:E37)</f>
        <v>147900</v>
      </c>
      <c r="F38" s="298"/>
      <c r="G38" s="299"/>
      <c r="H38" s="299"/>
      <c r="I38" s="319">
        <f>SUM(I21:I37)</f>
        <v>7579.5</v>
      </c>
      <c r="J38" s="320"/>
      <c r="K38" s="320"/>
      <c r="L38" s="320"/>
      <c r="M38" s="320"/>
      <c r="N38" s="320"/>
      <c r="O38" s="321">
        <f>SUM(O21:O37)</f>
        <v>33.299999999999997</v>
      </c>
    </row>
    <row r="40" spans="1:15">
      <c r="I40" s="254" t="s">
        <v>70</v>
      </c>
    </row>
  </sheetData>
  <sheetCalcPr fullCalcOnLoad="1"/>
  <mergeCells count="9">
    <mergeCell ref="C19:D19"/>
    <mergeCell ref="C38:D38"/>
    <mergeCell ref="A5:D6"/>
    <mergeCell ref="A2:O2"/>
    <mergeCell ref="E10:I10"/>
    <mergeCell ref="A11:D11"/>
    <mergeCell ref="A14:D14"/>
    <mergeCell ref="A16:B16"/>
    <mergeCell ref="C16:D16"/>
  </mergeCells>
  <phoneticPr fontId="130" type="noConversion"/>
  <pageMargins left="0.25" right="0.25" top="0.75" bottom="0.75" header="0.3" footer="0.3"/>
  <pageSetup paperSize="9" scale="51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910DF-F288-4CC1-89F1-A1138CAA9814}">
  <sheetPr>
    <pageSetUpPr fitToPage="1"/>
  </sheetPr>
  <dimension ref="A1:O39"/>
  <sheetViews>
    <sheetView topLeftCell="A25" zoomScaleSheetLayoutView="100" workbookViewId="0">
      <selection activeCell="B36" sqref="B36"/>
    </sheetView>
  </sheetViews>
  <sheetFormatPr defaultColWidth="10.33203125" defaultRowHeight="15"/>
  <cols>
    <col min="1" max="1" width="10.33203125" style="98"/>
    <col min="2" max="2" width="13.33203125" style="98" customWidth="1"/>
    <col min="3" max="3" width="14.33203125" style="98" customWidth="1"/>
    <col min="4" max="4" width="22.44140625" style="98" customWidth="1"/>
    <col min="5" max="5" width="10.33203125" style="98"/>
    <col min="6" max="6" width="12.109375" style="98" bestFit="1" customWidth="1"/>
    <col min="7" max="8" width="10.33203125" style="161"/>
    <col min="9" max="11" width="10.33203125" style="98"/>
    <col min="12" max="12" width="14.5546875" style="98" bestFit="1" customWidth="1"/>
    <col min="13" max="13" width="10.33203125" style="98"/>
    <col min="14" max="14" width="14.5546875" style="98" bestFit="1" customWidth="1"/>
    <col min="15" max="16384" width="10.33203125" style="98"/>
  </cols>
  <sheetData>
    <row r="1" spans="1:11">
      <c r="A1" s="162"/>
      <c r="B1" s="163" t="s">
        <v>11</v>
      </c>
      <c r="C1" s="163" t="s">
        <v>12</v>
      </c>
      <c r="D1" s="164"/>
      <c r="E1" s="164"/>
      <c r="F1" s="164"/>
      <c r="G1" s="165"/>
      <c r="H1" s="165"/>
      <c r="I1" s="164"/>
      <c r="J1" s="164"/>
      <c r="K1" s="237"/>
    </row>
    <row r="2" spans="1:11" ht="22.8">
      <c r="A2" s="344" t="s">
        <v>71</v>
      </c>
      <c r="B2" s="345"/>
      <c r="C2" s="345"/>
      <c r="D2" s="345"/>
      <c r="E2" s="345"/>
      <c r="F2" s="345"/>
      <c r="G2" s="345"/>
      <c r="H2" s="345"/>
      <c r="I2" s="345"/>
      <c r="J2" s="345"/>
      <c r="K2" s="238"/>
    </row>
    <row r="3" spans="1:11">
      <c r="A3" s="166"/>
      <c r="B3" s="167"/>
      <c r="C3" s="167"/>
      <c r="D3" s="167"/>
      <c r="E3" s="167"/>
      <c r="F3" s="167"/>
      <c r="G3" s="168"/>
      <c r="H3" s="168"/>
      <c r="I3" s="167"/>
      <c r="J3" s="239"/>
      <c r="K3" s="238"/>
    </row>
    <row r="4" spans="1:11">
      <c r="A4" s="169" t="s">
        <v>14</v>
      </c>
      <c r="B4" s="170"/>
      <c r="C4" s="171"/>
      <c r="D4" s="171"/>
      <c r="E4" s="172"/>
      <c r="F4" s="170" t="s">
        <v>72</v>
      </c>
      <c r="G4" s="173"/>
      <c r="H4" s="173"/>
      <c r="I4" s="171"/>
      <c r="J4" s="240"/>
      <c r="K4" s="237"/>
    </row>
    <row r="5" spans="1:11">
      <c r="A5" s="174" t="s">
        <v>16</v>
      </c>
      <c r="B5" s="175"/>
      <c r="C5" s="176"/>
      <c r="D5" s="176"/>
      <c r="E5" s="177"/>
      <c r="F5" s="174" t="str">
        <f>Invoice!E4</f>
        <v>A114081421</v>
      </c>
      <c r="G5" s="178"/>
      <c r="H5" s="178"/>
      <c r="I5" s="176"/>
      <c r="J5" s="240"/>
      <c r="K5" s="238"/>
    </row>
    <row r="6" spans="1:11">
      <c r="A6" s="360"/>
      <c r="B6" s="361"/>
      <c r="C6" s="361"/>
      <c r="D6" s="361"/>
      <c r="E6" s="362"/>
      <c r="F6" s="179">
        <f>Invoice!E5</f>
        <v>45883</v>
      </c>
      <c r="G6" s="178"/>
      <c r="H6" s="178"/>
      <c r="I6" s="176"/>
      <c r="J6" s="240"/>
      <c r="K6" s="238"/>
    </row>
    <row r="7" spans="1:11">
      <c r="A7" s="360"/>
      <c r="B7" s="361"/>
      <c r="C7" s="361"/>
      <c r="D7" s="361"/>
      <c r="E7" s="362"/>
      <c r="F7" s="180"/>
      <c r="G7" s="178"/>
      <c r="H7" s="178"/>
      <c r="I7" s="176"/>
      <c r="J7" s="240"/>
      <c r="K7" s="238"/>
    </row>
    <row r="8" spans="1:11">
      <c r="A8" s="181"/>
      <c r="B8" s="182"/>
      <c r="C8" s="183"/>
      <c r="D8" s="183"/>
      <c r="E8" s="184"/>
      <c r="F8" s="185"/>
      <c r="G8" s="186"/>
      <c r="H8" s="186"/>
      <c r="I8" s="206"/>
      <c r="J8" s="206"/>
      <c r="K8" s="238"/>
    </row>
    <row r="9" spans="1:11">
      <c r="A9" s="187" t="s">
        <v>18</v>
      </c>
      <c r="B9" s="170"/>
      <c r="C9" s="171"/>
      <c r="D9" s="171"/>
      <c r="E9" s="188"/>
      <c r="F9" s="170" t="s">
        <v>73</v>
      </c>
      <c r="G9" s="189"/>
      <c r="H9" s="189"/>
      <c r="I9" s="201"/>
      <c r="J9" s="240"/>
      <c r="K9" s="237"/>
    </row>
    <row r="10" spans="1:11">
      <c r="A10" s="190" t="s">
        <v>20</v>
      </c>
      <c r="B10" s="175"/>
      <c r="C10" s="191"/>
      <c r="D10" s="191"/>
      <c r="E10" s="192"/>
      <c r="F10" s="193"/>
      <c r="G10" s="194"/>
      <c r="H10" s="194"/>
      <c r="I10" s="241"/>
      <c r="J10" s="240"/>
      <c r="K10" s="238"/>
    </row>
    <row r="11" spans="1:11">
      <c r="A11" s="195" t="s">
        <v>22</v>
      </c>
      <c r="B11" s="196"/>
      <c r="C11" s="196"/>
      <c r="D11" s="196"/>
      <c r="E11" s="192"/>
      <c r="F11" s="193"/>
      <c r="G11" s="189"/>
      <c r="H11" s="178"/>
      <c r="I11" s="241"/>
      <c r="J11" s="240"/>
      <c r="K11" s="238"/>
    </row>
    <row r="12" spans="1:11">
      <c r="A12" s="330" t="s">
        <v>74</v>
      </c>
      <c r="B12" s="331"/>
      <c r="C12" s="331"/>
      <c r="D12" s="331"/>
      <c r="E12" s="192"/>
      <c r="F12" s="193"/>
      <c r="G12" s="189"/>
      <c r="H12" s="178"/>
      <c r="I12" s="241"/>
      <c r="J12" s="240"/>
      <c r="K12" s="238"/>
    </row>
    <row r="13" spans="1:11">
      <c r="A13" s="197"/>
      <c r="B13" s="198"/>
      <c r="C13" s="198"/>
      <c r="D13" s="198"/>
      <c r="E13" s="199"/>
      <c r="F13" s="176"/>
      <c r="G13" s="200"/>
      <c r="H13" s="200"/>
      <c r="I13" s="201"/>
      <c r="J13" s="240"/>
      <c r="K13" s="238"/>
    </row>
    <row r="14" spans="1:11">
      <c r="A14" s="187" t="s">
        <v>24</v>
      </c>
      <c r="B14" s="193"/>
      <c r="C14" s="201"/>
      <c r="D14" s="201"/>
      <c r="E14" s="177"/>
      <c r="F14" s="202"/>
      <c r="G14" s="203"/>
      <c r="H14" s="178"/>
      <c r="I14" s="201"/>
      <c r="J14" s="240"/>
      <c r="K14" s="238"/>
    </row>
    <row r="15" spans="1:11">
      <c r="A15" s="190" t="s">
        <v>20</v>
      </c>
      <c r="B15" s="204"/>
      <c r="C15" s="204"/>
      <c r="D15" s="204"/>
      <c r="E15" s="177"/>
      <c r="F15" s="202"/>
      <c r="G15" s="203"/>
      <c r="H15" s="178"/>
      <c r="I15" s="201"/>
      <c r="J15" s="240"/>
      <c r="K15" s="238"/>
    </row>
    <row r="16" spans="1:11">
      <c r="A16" s="190" t="s">
        <v>22</v>
      </c>
      <c r="B16" s="204"/>
      <c r="C16" s="176"/>
      <c r="D16" s="176"/>
      <c r="E16" s="205"/>
      <c r="F16" s="201"/>
      <c r="G16" s="189"/>
      <c r="H16" s="189"/>
      <c r="I16" s="201"/>
      <c r="J16" s="240"/>
      <c r="K16" s="238"/>
    </row>
    <row r="17" spans="1:15">
      <c r="A17" s="185" t="s">
        <v>23</v>
      </c>
      <c r="B17" s="206"/>
      <c r="C17" s="206"/>
      <c r="D17" s="206"/>
      <c r="E17" s="207"/>
      <c r="F17" s="346"/>
      <c r="G17" s="346"/>
      <c r="H17" s="208"/>
      <c r="I17" s="242"/>
      <c r="J17" s="240"/>
      <c r="K17" s="238"/>
    </row>
    <row r="18" spans="1:15">
      <c r="A18" s="169" t="s">
        <v>75</v>
      </c>
      <c r="B18" s="170"/>
      <c r="C18" s="172"/>
      <c r="D18" s="170" t="s">
        <v>76</v>
      </c>
      <c r="E18" s="209"/>
      <c r="F18" s="346"/>
      <c r="G18" s="346"/>
      <c r="H18" s="208"/>
      <c r="I18" s="201"/>
      <c r="J18" s="240"/>
      <c r="K18" s="238"/>
    </row>
    <row r="19" spans="1:15">
      <c r="A19" s="347" t="s">
        <v>31</v>
      </c>
      <c r="B19" s="348"/>
      <c r="C19" s="349"/>
      <c r="D19" s="347" t="s">
        <v>32</v>
      </c>
      <c r="E19" s="349"/>
      <c r="F19" s="346"/>
      <c r="G19" s="346"/>
      <c r="H19" s="208"/>
      <c r="I19" s="201"/>
      <c r="J19" s="240"/>
      <c r="K19" s="238"/>
    </row>
    <row r="20" spans="1:15">
      <c r="A20" s="169" t="s">
        <v>33</v>
      </c>
      <c r="B20" s="211"/>
      <c r="C20" s="212"/>
      <c r="D20" s="170" t="s">
        <v>34</v>
      </c>
      <c r="E20" s="213"/>
      <c r="F20" s="176"/>
      <c r="G20" s="189"/>
      <c r="H20" s="189"/>
      <c r="I20" s="201"/>
      <c r="J20" s="240"/>
      <c r="K20" s="238"/>
    </row>
    <row r="21" spans="1:15">
      <c r="A21" s="347" t="s">
        <v>77</v>
      </c>
      <c r="B21" s="348"/>
      <c r="C21" s="349"/>
      <c r="D21" s="338"/>
      <c r="E21" s="339"/>
      <c r="F21" s="206"/>
      <c r="G21" s="186"/>
      <c r="H21" s="186"/>
      <c r="I21" s="206"/>
      <c r="J21" s="240"/>
      <c r="K21" s="243"/>
    </row>
    <row r="22" spans="1:15">
      <c r="A22" s="350" t="s">
        <v>78</v>
      </c>
      <c r="B22" s="350" t="s">
        <v>39</v>
      </c>
      <c r="C22" s="350" t="s">
        <v>40</v>
      </c>
      <c r="D22" s="351" t="s">
        <v>79</v>
      </c>
      <c r="E22" s="353" t="s">
        <v>80</v>
      </c>
      <c r="F22" s="354" t="s">
        <v>42</v>
      </c>
      <c r="G22" s="355" t="s">
        <v>43</v>
      </c>
      <c r="H22" s="214" t="s">
        <v>81</v>
      </c>
      <c r="I22" s="244" t="s">
        <v>82</v>
      </c>
      <c r="J22" s="356" t="s">
        <v>47</v>
      </c>
      <c r="K22" s="358" t="s">
        <v>83</v>
      </c>
    </row>
    <row r="23" spans="1:15">
      <c r="A23" s="350"/>
      <c r="B23" s="350"/>
      <c r="C23" s="350"/>
      <c r="D23" s="352"/>
      <c r="E23" s="353"/>
      <c r="F23" s="354"/>
      <c r="G23" s="355"/>
      <c r="H23" s="214" t="s">
        <v>84</v>
      </c>
      <c r="I23" s="244" t="s">
        <v>84</v>
      </c>
      <c r="J23" s="357"/>
      <c r="K23" s="359"/>
    </row>
    <row r="24" spans="1:15" ht="27" customHeight="1">
      <c r="A24" s="215" t="s">
        <v>85</v>
      </c>
      <c r="B24" s="216" t="s">
        <v>86</v>
      </c>
      <c r="C24" s="216" t="s">
        <v>53</v>
      </c>
      <c r="D24" s="216" t="s">
        <v>7</v>
      </c>
      <c r="E24" s="217">
        <v>1</v>
      </c>
      <c r="F24" s="218">
        <v>10000</v>
      </c>
      <c r="G24" s="219" t="s">
        <v>54</v>
      </c>
      <c r="H24" s="220">
        <v>2.83</v>
      </c>
      <c r="I24" s="220">
        <v>3.33</v>
      </c>
      <c r="J24" s="245" t="s">
        <v>56</v>
      </c>
      <c r="K24" s="246" t="s">
        <v>87</v>
      </c>
      <c r="L24" s="247"/>
      <c r="M24" s="247"/>
      <c r="N24" s="247"/>
      <c r="O24" s="247"/>
    </row>
    <row r="25" spans="1:15" ht="27" customHeight="1">
      <c r="A25" s="215" t="s">
        <v>88</v>
      </c>
      <c r="B25" s="216" t="s">
        <v>89</v>
      </c>
      <c r="C25" s="216" t="s">
        <v>67</v>
      </c>
      <c r="D25" s="216" t="s">
        <v>68</v>
      </c>
      <c r="E25" s="217">
        <v>2</v>
      </c>
      <c r="F25" s="218">
        <v>40000</v>
      </c>
      <c r="G25" s="219" t="s">
        <v>54</v>
      </c>
      <c r="H25" s="220">
        <v>11.3</v>
      </c>
      <c r="I25" s="220">
        <v>12</v>
      </c>
      <c r="J25" s="245" t="s">
        <v>56</v>
      </c>
      <c r="K25" s="246" t="s">
        <v>90</v>
      </c>
      <c r="L25" s="247"/>
      <c r="M25" s="247"/>
      <c r="N25" s="247"/>
      <c r="O25" s="247"/>
    </row>
    <row r="26" spans="1:15" ht="27" customHeight="1">
      <c r="A26" s="215" t="s">
        <v>91</v>
      </c>
      <c r="B26" s="216" t="s">
        <v>89</v>
      </c>
      <c r="C26" s="216" t="s">
        <v>67</v>
      </c>
      <c r="D26" s="216" t="s">
        <v>68</v>
      </c>
      <c r="E26" s="217">
        <v>3</v>
      </c>
      <c r="F26" s="218">
        <v>40000</v>
      </c>
      <c r="G26" s="219" t="s">
        <v>54</v>
      </c>
      <c r="H26" s="220">
        <v>11.21</v>
      </c>
      <c r="I26" s="220">
        <v>11.96</v>
      </c>
      <c r="J26" s="245" t="s">
        <v>56</v>
      </c>
      <c r="K26" s="246" t="s">
        <v>92</v>
      </c>
      <c r="L26" s="247"/>
      <c r="M26" s="247"/>
      <c r="N26" s="247"/>
      <c r="O26" s="247"/>
    </row>
    <row r="27" spans="1:15" ht="27" customHeight="1">
      <c r="A27" s="215" t="s">
        <v>93</v>
      </c>
      <c r="B27" s="216" t="s">
        <v>94</v>
      </c>
      <c r="C27" s="216" t="s">
        <v>63</v>
      </c>
      <c r="D27" s="216" t="s">
        <v>8</v>
      </c>
      <c r="E27" s="217">
        <v>4</v>
      </c>
      <c r="F27" s="218">
        <v>24000</v>
      </c>
      <c r="G27" s="219" t="s">
        <v>54</v>
      </c>
      <c r="H27" s="220">
        <v>1.6</v>
      </c>
      <c r="I27" s="220">
        <v>1.95</v>
      </c>
      <c r="J27" s="245" t="s">
        <v>64</v>
      </c>
      <c r="K27" s="246" t="s">
        <v>95</v>
      </c>
      <c r="L27" s="247"/>
      <c r="M27" s="247"/>
      <c r="N27" s="247"/>
      <c r="O27" s="247"/>
    </row>
    <row r="28" spans="1:15" ht="27" customHeight="1">
      <c r="A28" s="215" t="s">
        <v>96</v>
      </c>
      <c r="B28" s="216" t="s">
        <v>97</v>
      </c>
      <c r="C28" s="216" t="s">
        <v>65</v>
      </c>
      <c r="D28" s="216" t="s">
        <v>66</v>
      </c>
      <c r="E28" s="217">
        <v>5</v>
      </c>
      <c r="F28" s="218">
        <v>900</v>
      </c>
      <c r="G28" s="219" t="s">
        <v>54</v>
      </c>
      <c r="H28" s="220">
        <v>0.96</v>
      </c>
      <c r="I28" s="220">
        <v>1.36</v>
      </c>
      <c r="J28" s="245" t="s">
        <v>56</v>
      </c>
      <c r="K28" s="246" t="s">
        <v>98</v>
      </c>
      <c r="L28" s="247"/>
      <c r="M28" s="247"/>
      <c r="N28" s="247"/>
      <c r="O28" s="247"/>
    </row>
    <row r="29" spans="1:15" ht="27" customHeight="1">
      <c r="A29" s="215" t="s">
        <v>99</v>
      </c>
      <c r="B29" s="216" t="s">
        <v>100</v>
      </c>
      <c r="C29" s="216" t="s">
        <v>61</v>
      </c>
      <c r="D29" s="216" t="s">
        <v>62</v>
      </c>
      <c r="E29" s="217">
        <v>6</v>
      </c>
      <c r="F29" s="218">
        <v>10000</v>
      </c>
      <c r="G29" s="219" t="s">
        <v>54</v>
      </c>
      <c r="H29" s="220">
        <v>1.55</v>
      </c>
      <c r="I29" s="220">
        <v>1.72</v>
      </c>
      <c r="J29" s="245" t="s">
        <v>56</v>
      </c>
      <c r="K29" s="246" t="s">
        <v>87</v>
      </c>
      <c r="L29" s="247"/>
      <c r="M29" s="247"/>
      <c r="N29" s="247"/>
      <c r="O29" s="247"/>
    </row>
    <row r="30" spans="1:15" ht="27" customHeight="1">
      <c r="A30" s="215" t="s">
        <v>101</v>
      </c>
      <c r="B30" s="221" t="s">
        <v>102</v>
      </c>
      <c r="C30" s="221" t="s">
        <v>61</v>
      </c>
      <c r="D30" s="221" t="s">
        <v>62</v>
      </c>
      <c r="E30" s="222"/>
      <c r="F30" s="222">
        <v>10000</v>
      </c>
      <c r="G30" s="219" t="s">
        <v>54</v>
      </c>
      <c r="H30" s="223">
        <v>1.55</v>
      </c>
      <c r="I30" s="220">
        <v>1.72</v>
      </c>
      <c r="J30" s="248" t="s">
        <v>56</v>
      </c>
      <c r="K30" s="248"/>
      <c r="L30" s="247"/>
      <c r="M30" s="247"/>
      <c r="N30" s="247"/>
      <c r="O30" s="247"/>
    </row>
    <row r="31" spans="1:15" ht="27" customHeight="1">
      <c r="A31" s="215" t="s">
        <v>103</v>
      </c>
      <c r="B31" s="221" t="s">
        <v>104</v>
      </c>
      <c r="C31" s="221" t="s">
        <v>61</v>
      </c>
      <c r="D31" s="221" t="s">
        <v>62</v>
      </c>
      <c r="E31" s="222"/>
      <c r="F31" s="222">
        <v>10000</v>
      </c>
      <c r="G31" s="219" t="s">
        <v>54</v>
      </c>
      <c r="H31" s="223">
        <v>1.55</v>
      </c>
      <c r="I31" s="220">
        <v>1.71</v>
      </c>
      <c r="J31" s="248" t="s">
        <v>56</v>
      </c>
      <c r="K31" s="248"/>
      <c r="L31" s="247"/>
      <c r="M31" s="247"/>
      <c r="N31" s="247"/>
      <c r="O31" s="247"/>
    </row>
    <row r="32" spans="1:15" ht="27" customHeight="1">
      <c r="A32" s="215" t="s">
        <v>105</v>
      </c>
      <c r="B32" s="221" t="s">
        <v>89</v>
      </c>
      <c r="C32" s="221" t="s">
        <v>59</v>
      </c>
      <c r="D32" s="221" t="s">
        <v>60</v>
      </c>
      <c r="E32" s="222">
        <v>7</v>
      </c>
      <c r="F32" s="222">
        <v>3000</v>
      </c>
      <c r="G32" s="219" t="s">
        <v>54</v>
      </c>
      <c r="H32" s="223">
        <v>0.75</v>
      </c>
      <c r="I32" s="248">
        <v>1.1499999999999999</v>
      </c>
      <c r="J32" s="248" t="s">
        <v>56</v>
      </c>
      <c r="K32" s="249" t="s">
        <v>98</v>
      </c>
      <c r="L32" s="247"/>
      <c r="M32" s="247"/>
      <c r="N32" s="247"/>
      <c r="O32" s="247"/>
    </row>
    <row r="33" spans="1:11" ht="31.2" customHeight="1">
      <c r="A33" s="224"/>
      <c r="B33" s="225"/>
      <c r="C33" s="226"/>
      <c r="D33" s="227" t="s">
        <v>106</v>
      </c>
      <c r="E33" s="228" t="str">
        <f>MAX(E24:E32)&amp;"CTNS"</f>
        <v>7CTNS</v>
      </c>
      <c r="F33" s="229">
        <f>SUM(F24:F32)</f>
        <v>147900</v>
      </c>
      <c r="G33" s="230"/>
      <c r="H33" s="230">
        <f>SUM(H24:H32)</f>
        <v>33.300000000000004</v>
      </c>
      <c r="I33" s="230">
        <f>SUM(I24:I32)</f>
        <v>36.9</v>
      </c>
      <c r="J33" s="230"/>
      <c r="K33" s="230"/>
    </row>
    <row r="34" spans="1:11">
      <c r="A34" s="231"/>
      <c r="E34" s="232" t="s">
        <v>107</v>
      </c>
      <c r="F34" s="201" t="str">
        <f>E33</f>
        <v>7CTNS</v>
      </c>
      <c r="J34" s="250"/>
      <c r="K34" s="251"/>
    </row>
    <row r="35" spans="1:11">
      <c r="A35" s="231"/>
      <c r="E35" s="232"/>
      <c r="F35" s="233"/>
      <c r="J35" s="250"/>
      <c r="K35" s="251"/>
    </row>
    <row r="36" spans="1:11">
      <c r="A36" s="231"/>
      <c r="E36" s="232"/>
      <c r="F36" s="233"/>
      <c r="J36" s="250"/>
      <c r="K36" s="251"/>
    </row>
    <row r="37" spans="1:11">
      <c r="A37" s="234"/>
      <c r="B37" s="235"/>
      <c r="C37" s="235"/>
      <c r="D37" s="235"/>
      <c r="E37" s="235"/>
      <c r="F37" s="235"/>
      <c r="G37" s="236"/>
      <c r="H37" s="236"/>
      <c r="I37" s="235"/>
      <c r="J37" s="252"/>
      <c r="K37" s="253"/>
    </row>
    <row r="39" spans="1:11">
      <c r="G39" s="161" t="s">
        <v>70</v>
      </c>
    </row>
  </sheetData>
  <mergeCells count="19">
    <mergeCell ref="F22:F23"/>
    <mergeCell ref="G22:G23"/>
    <mergeCell ref="J22:J23"/>
    <mergeCell ref="K22:K23"/>
    <mergeCell ref="A6:E7"/>
    <mergeCell ref="A21:C21"/>
    <mergeCell ref="D21:E21"/>
    <mergeCell ref="A22:A23"/>
    <mergeCell ref="B22:B23"/>
    <mergeCell ref="C22:C23"/>
    <mergeCell ref="D22:D23"/>
    <mergeCell ref="E22:E23"/>
    <mergeCell ref="A2:J2"/>
    <mergeCell ref="A12:D12"/>
    <mergeCell ref="F17:G17"/>
    <mergeCell ref="F18:G18"/>
    <mergeCell ref="A19:C19"/>
    <mergeCell ref="D19:E19"/>
    <mergeCell ref="F19:G19"/>
  </mergeCells>
  <phoneticPr fontId="130" type="noConversion"/>
  <pageMargins left="0.75" right="0.75" top="1" bottom="1" header="0.5" footer="0.5"/>
  <pageSetup paperSize="9" scale="65" orientation="portrait" horizontalDpi="0" verticalDpi="0"/>
  <ignoredErrors>
    <ignoredError sqref="A24:A32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C97E-A80A-4F02-817C-192138882074}">
  <sheetPr>
    <pageSetUpPr fitToPage="1"/>
  </sheetPr>
  <dimension ref="A1:T33"/>
  <sheetViews>
    <sheetView zoomScaleSheetLayoutView="100" workbookViewId="0">
      <selection activeCell="K31" sqref="K31"/>
    </sheetView>
  </sheetViews>
  <sheetFormatPr defaultColWidth="10.33203125" defaultRowHeight="13.2"/>
  <cols>
    <col min="1" max="1" width="10.5546875" style="126" bestFit="1" customWidth="1"/>
    <col min="2" max="2" width="13.33203125" style="126" customWidth="1"/>
    <col min="3" max="3" width="15.6640625" style="126" customWidth="1"/>
    <col min="4" max="4" width="13.6640625" style="126" bestFit="1" customWidth="1"/>
    <col min="5" max="5" width="10.33203125" style="126" customWidth="1"/>
    <col min="6" max="6" width="12.33203125" style="126" bestFit="1" customWidth="1"/>
    <col min="7" max="7" width="17.33203125" style="126" bestFit="1" customWidth="1"/>
    <col min="8" max="8" width="14.6640625" style="126" bestFit="1" customWidth="1"/>
    <col min="9" max="16384" width="10.33203125" style="126"/>
  </cols>
  <sheetData>
    <row r="1" spans="1:20" s="124" customFormat="1" ht="16.2">
      <c r="A1" s="363" t="s">
        <v>108</v>
      </c>
      <c r="B1" s="363"/>
      <c r="C1" s="363"/>
      <c r="D1" s="363"/>
      <c r="E1" s="363"/>
      <c r="F1" s="363"/>
      <c r="G1" s="363"/>
      <c r="H1" s="363"/>
    </row>
    <row r="2" spans="1:20" s="124" customFormat="1" ht="16.2">
      <c r="A2" s="364" t="s">
        <v>109</v>
      </c>
      <c r="B2" s="364"/>
      <c r="C2" s="364"/>
      <c r="D2" s="364"/>
      <c r="E2" s="364"/>
      <c r="F2" s="364"/>
      <c r="G2" s="364"/>
      <c r="H2" s="364"/>
    </row>
    <row r="3" spans="1:20" s="124" customFormat="1" ht="16.2">
      <c r="A3" s="364"/>
      <c r="B3" s="364"/>
      <c r="C3" s="364"/>
      <c r="D3" s="364"/>
      <c r="E3" s="364"/>
      <c r="F3" s="364"/>
      <c r="G3" s="364"/>
      <c r="H3" s="364"/>
    </row>
    <row r="4" spans="1:20">
      <c r="A4" s="127"/>
      <c r="E4" s="128"/>
      <c r="F4" s="128"/>
    </row>
    <row r="5" spans="1:20" ht="13.8">
      <c r="A5" s="365" t="s">
        <v>110</v>
      </c>
      <c r="B5" s="365"/>
      <c r="C5" s="365"/>
      <c r="D5" s="365"/>
      <c r="E5" s="365"/>
      <c r="F5" s="365"/>
      <c r="G5" s="365"/>
      <c r="H5" s="365"/>
    </row>
    <row r="6" spans="1:20" ht="13.8">
      <c r="A6" s="365" t="s">
        <v>111</v>
      </c>
      <c r="B6" s="366"/>
      <c r="C6" s="366"/>
      <c r="D6" s="366"/>
      <c r="E6" s="366"/>
      <c r="F6" s="366"/>
      <c r="G6" s="366"/>
      <c r="H6" s="366"/>
    </row>
    <row r="7" spans="1:20">
      <c r="E7" s="128"/>
      <c r="F7" s="128"/>
    </row>
    <row r="8" spans="1:20">
      <c r="A8" s="367" t="s">
        <v>112</v>
      </c>
      <c r="B8" s="368"/>
      <c r="C8" s="130" t="s">
        <v>113</v>
      </c>
      <c r="D8" s="130" t="s">
        <v>114</v>
      </c>
      <c r="E8" s="129" t="s">
        <v>115</v>
      </c>
      <c r="F8" s="131"/>
      <c r="G8" s="130" t="s">
        <v>116</v>
      </c>
      <c r="H8" s="130" t="s">
        <v>117</v>
      </c>
    </row>
    <row r="9" spans="1:20">
      <c r="A9" s="369" t="str">
        <f>Invoice!E4</f>
        <v>A114081421</v>
      </c>
      <c r="B9" s="368"/>
      <c r="C9" s="132">
        <f>Invoice!E5</f>
        <v>45883</v>
      </c>
      <c r="D9" s="133" t="s">
        <v>12</v>
      </c>
      <c r="E9" s="369" t="s">
        <v>31</v>
      </c>
      <c r="F9" s="368"/>
      <c r="G9" s="134" t="s">
        <v>31</v>
      </c>
      <c r="H9" s="134"/>
    </row>
    <row r="10" spans="1:20" ht="13.8">
      <c r="A10" s="367" t="s">
        <v>118</v>
      </c>
      <c r="B10" s="370"/>
      <c r="C10" s="130"/>
      <c r="D10" s="130" t="s">
        <v>119</v>
      </c>
      <c r="E10" s="367" t="s">
        <v>120</v>
      </c>
      <c r="F10" s="370"/>
      <c r="G10" s="135" t="s">
        <v>121</v>
      </c>
      <c r="H10" s="134"/>
      <c r="N10" s="155"/>
      <c r="O10" s="156"/>
      <c r="P10" s="155"/>
      <c r="Q10" s="156"/>
      <c r="R10" s="157"/>
      <c r="S10" s="156"/>
      <c r="T10" s="158"/>
    </row>
    <row r="11" spans="1:20">
      <c r="A11" s="369"/>
      <c r="B11" s="371"/>
      <c r="C11" s="134"/>
      <c r="D11" s="134"/>
      <c r="E11" s="369"/>
      <c r="F11" s="371"/>
      <c r="G11" s="136"/>
      <c r="H11" s="134"/>
    </row>
    <row r="12" spans="1:20">
      <c r="A12" s="137" t="s">
        <v>122</v>
      </c>
      <c r="B12" s="372" t="s">
        <v>51</v>
      </c>
      <c r="C12" s="373"/>
      <c r="D12" s="137" t="s">
        <v>123</v>
      </c>
      <c r="E12" s="372" t="s">
        <v>124</v>
      </c>
      <c r="F12" s="368"/>
      <c r="G12" s="137" t="s">
        <v>125</v>
      </c>
      <c r="H12" s="137" t="s">
        <v>126</v>
      </c>
    </row>
    <row r="13" spans="1:20" s="125" customFormat="1" ht="12.15" customHeight="1">
      <c r="A13" s="138">
        <v>1</v>
      </c>
      <c r="B13" s="139"/>
      <c r="C13" s="140" t="s">
        <v>53</v>
      </c>
      <c r="D13" s="140"/>
      <c r="E13" s="141"/>
      <c r="F13" s="140">
        <v>10000</v>
      </c>
      <c r="G13" s="142">
        <v>4.3999999999999997E-2</v>
      </c>
      <c r="H13" s="142">
        <f t="shared" ref="H13:H18" si="0">F13*G13</f>
        <v>440</v>
      </c>
    </row>
    <row r="14" spans="1:20" s="125" customFormat="1" ht="12.15" customHeight="1">
      <c r="A14" s="138">
        <v>2</v>
      </c>
      <c r="B14" s="139"/>
      <c r="C14" s="140" t="s">
        <v>59</v>
      </c>
      <c r="D14" s="140"/>
      <c r="E14" s="141"/>
      <c r="F14" s="140">
        <v>3000</v>
      </c>
      <c r="G14" s="142">
        <v>3.2000000000000001E-2</v>
      </c>
      <c r="H14" s="142">
        <f t="shared" si="0"/>
        <v>96</v>
      </c>
    </row>
    <row r="15" spans="1:20" s="125" customFormat="1" ht="12.15" customHeight="1">
      <c r="A15" s="138">
        <v>3</v>
      </c>
      <c r="B15" s="139"/>
      <c r="C15" s="140" t="s">
        <v>61</v>
      </c>
      <c r="D15" s="140"/>
      <c r="E15" s="141"/>
      <c r="F15" s="140">
        <v>30000</v>
      </c>
      <c r="G15" s="142">
        <v>2.5999999999999999E-2</v>
      </c>
      <c r="H15" s="142">
        <f t="shared" si="0"/>
        <v>780</v>
      </c>
    </row>
    <row r="16" spans="1:20" s="125" customFormat="1" ht="12.15" customHeight="1">
      <c r="A16" s="138">
        <v>4</v>
      </c>
      <c r="B16" s="139"/>
      <c r="C16" s="140" t="s">
        <v>63</v>
      </c>
      <c r="D16" s="140"/>
      <c r="E16" s="141"/>
      <c r="F16" s="140">
        <v>24000</v>
      </c>
      <c r="G16" s="142">
        <v>0.152</v>
      </c>
      <c r="H16" s="142">
        <f t="shared" si="0"/>
        <v>3648</v>
      </c>
    </row>
    <row r="17" spans="1:16" s="125" customFormat="1" ht="12.15" customHeight="1">
      <c r="A17" s="138">
        <v>5</v>
      </c>
      <c r="B17" s="139"/>
      <c r="C17" s="140" t="s">
        <v>65</v>
      </c>
      <c r="D17" s="140"/>
      <c r="E17" s="141"/>
      <c r="F17" s="140">
        <v>900</v>
      </c>
      <c r="G17" s="142">
        <v>0.19500000000000001</v>
      </c>
      <c r="H17" s="142">
        <f t="shared" si="0"/>
        <v>175.5</v>
      </c>
    </row>
    <row r="18" spans="1:16" s="125" customFormat="1" ht="12.15" customHeight="1">
      <c r="A18" s="138">
        <v>6</v>
      </c>
      <c r="B18" s="139"/>
      <c r="C18" s="140" t="s">
        <v>67</v>
      </c>
      <c r="D18" s="140"/>
      <c r="E18" s="141"/>
      <c r="F18" s="140">
        <v>80000</v>
      </c>
      <c r="G18" s="142">
        <v>3.0499999999999999E-2</v>
      </c>
      <c r="H18" s="142">
        <f t="shared" si="0"/>
        <v>2440</v>
      </c>
    </row>
    <row r="19" spans="1:16" s="125" customFormat="1" ht="12.15" customHeight="1">
      <c r="A19" s="138">
        <v>7</v>
      </c>
      <c r="B19" s="139"/>
      <c r="C19" s="140"/>
      <c r="D19" s="140"/>
      <c r="E19" s="141"/>
      <c r="F19" s="140"/>
      <c r="G19" s="142"/>
      <c r="H19" s="142"/>
    </row>
    <row r="20" spans="1:16" s="125" customFormat="1" ht="12.15" customHeight="1">
      <c r="A20" s="138">
        <v>8</v>
      </c>
      <c r="B20" s="139"/>
      <c r="C20" s="140"/>
      <c r="D20" s="140"/>
      <c r="E20" s="141"/>
      <c r="F20" s="140"/>
      <c r="G20" s="142"/>
      <c r="H20" s="142"/>
    </row>
    <row r="21" spans="1:16" s="125" customFormat="1" ht="12.15" customHeight="1">
      <c r="A21" s="138">
        <v>9</v>
      </c>
      <c r="B21" s="139"/>
      <c r="C21" s="140"/>
      <c r="D21" s="140"/>
      <c r="E21" s="141"/>
      <c r="F21" s="140"/>
      <c r="G21" s="142"/>
      <c r="H21" s="142"/>
    </row>
    <row r="22" spans="1:16" s="125" customFormat="1" ht="12.15" customHeight="1">
      <c r="A22" s="138">
        <v>10</v>
      </c>
      <c r="B22" s="139"/>
      <c r="C22" s="140"/>
      <c r="D22" s="140"/>
      <c r="E22" s="141"/>
      <c r="F22" s="140"/>
      <c r="G22" s="142"/>
      <c r="H22" s="142"/>
    </row>
    <row r="23" spans="1:16" s="125" customFormat="1" ht="12.15" customHeight="1">
      <c r="A23" s="138"/>
      <c r="B23" s="139"/>
      <c r="C23" s="140"/>
      <c r="D23" s="140"/>
      <c r="E23" s="141"/>
      <c r="F23" s="140"/>
      <c r="G23" s="142"/>
      <c r="H23" s="142"/>
    </row>
    <row r="24" spans="1:16" s="125" customFormat="1" ht="12.15" customHeight="1">
      <c r="A24" s="138"/>
      <c r="B24" s="139"/>
      <c r="C24" s="140"/>
      <c r="D24" s="140"/>
      <c r="E24" s="141"/>
      <c r="F24" s="143"/>
      <c r="G24" s="142"/>
      <c r="H24" s="142"/>
    </row>
    <row r="25" spans="1:16">
      <c r="A25" s="144" t="s">
        <v>106</v>
      </c>
      <c r="B25" s="144"/>
      <c r="C25" s="144"/>
      <c r="D25" s="144"/>
      <c r="E25" s="145"/>
      <c r="F25" s="145">
        <f>SUM(E13:F24)</f>
        <v>147900</v>
      </c>
      <c r="G25" s="144"/>
      <c r="H25" s="146">
        <f>SUM(H13:H24)</f>
        <v>7579.5</v>
      </c>
    </row>
    <row r="26" spans="1:16" ht="13.8">
      <c r="A26" s="147"/>
      <c r="B26" s="147"/>
      <c r="C26" s="147"/>
      <c r="D26" s="147"/>
      <c r="E26" s="148"/>
      <c r="F26" s="149"/>
      <c r="G26" s="147"/>
      <c r="H26" s="150"/>
      <c r="J26" s="155"/>
      <c r="K26" s="156"/>
      <c r="L26" s="155"/>
      <c r="M26" s="156"/>
      <c r="N26" s="157"/>
      <c r="O26" s="156"/>
      <c r="P26" s="158"/>
    </row>
    <row r="27" spans="1:16">
      <c r="A27" s="147"/>
      <c r="B27" s="147"/>
      <c r="C27" s="147"/>
      <c r="D27" s="147"/>
      <c r="E27" s="148"/>
      <c r="F27" s="149"/>
      <c r="G27" s="147"/>
    </row>
    <row r="28" spans="1:16">
      <c r="A28" s="147"/>
      <c r="B28" s="147"/>
      <c r="C28" s="147"/>
      <c r="D28" s="147"/>
      <c r="E28" s="148"/>
      <c r="F28" s="149"/>
      <c r="G28" s="147"/>
    </row>
    <row r="29" spans="1:16">
      <c r="H29" s="151"/>
    </row>
    <row r="31" spans="1:16">
      <c r="A31" s="152" t="s">
        <v>127</v>
      </c>
      <c r="B31" s="151"/>
      <c r="C31" s="151"/>
      <c r="D31" s="151"/>
      <c r="E31" s="153" t="s">
        <v>128</v>
      </c>
      <c r="F31" s="154"/>
      <c r="G31" s="151"/>
      <c r="H31" s="151"/>
    </row>
    <row r="32" spans="1:16" ht="13.8">
      <c r="E32" s="128"/>
      <c r="I32" s="159"/>
      <c r="K32" s="160"/>
    </row>
    <row r="33" spans="1:7">
      <c r="A33" s="152" t="s">
        <v>108</v>
      </c>
      <c r="B33" s="151"/>
      <c r="C33" s="151"/>
      <c r="D33" s="151"/>
      <c r="E33" s="153" t="s">
        <v>129</v>
      </c>
      <c r="F33" s="154"/>
      <c r="G33" s="151"/>
    </row>
  </sheetData>
  <mergeCells count="14">
    <mergeCell ref="B12:C12"/>
    <mergeCell ref="E12:F12"/>
    <mergeCell ref="A9:B9"/>
    <mergeCell ref="E9:F9"/>
    <mergeCell ref="A10:B10"/>
    <mergeCell ref="E10:F10"/>
    <mergeCell ref="A11:B11"/>
    <mergeCell ref="E11:F11"/>
    <mergeCell ref="A1:H1"/>
    <mergeCell ref="A2:H2"/>
    <mergeCell ref="A3:H3"/>
    <mergeCell ref="A5:H5"/>
    <mergeCell ref="A6:H6"/>
    <mergeCell ref="A8:B8"/>
  </mergeCells>
  <phoneticPr fontId="130" type="noConversion"/>
  <pageMargins left="0.75" right="0.75" top="0.98" bottom="0.98" header="0.51" footer="0.51"/>
  <pageSetup paperSize="9" scale="81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CDA7-CF7B-4F0B-9B57-CC7478547E8F}">
  <sheetPr>
    <pageSetUpPr fitToPage="1"/>
  </sheetPr>
  <dimension ref="A1:I28"/>
  <sheetViews>
    <sheetView topLeftCell="A7" zoomScale="115" zoomScaleSheetLayoutView="100" workbookViewId="0">
      <selection activeCell="H20" sqref="H20"/>
    </sheetView>
  </sheetViews>
  <sheetFormatPr defaultColWidth="10.33203125" defaultRowHeight="15"/>
  <cols>
    <col min="1" max="1" width="10.33203125" style="98"/>
    <col min="2" max="2" width="19.109375" style="98" customWidth="1"/>
    <col min="3" max="3" width="21.33203125" style="98" customWidth="1"/>
    <col min="4" max="4" width="25" style="98" customWidth="1"/>
    <col min="5" max="5" width="20" style="98" customWidth="1"/>
    <col min="6" max="6" width="23.44140625" style="98" customWidth="1"/>
    <col min="7" max="7" width="24.6640625" style="98" customWidth="1"/>
    <col min="8" max="16384" width="10.33203125" style="98"/>
  </cols>
  <sheetData>
    <row r="1" spans="1:9">
      <c r="A1" s="382" t="s">
        <v>130</v>
      </c>
      <c r="B1" s="383"/>
      <c r="C1" s="383"/>
      <c r="D1" s="383"/>
      <c r="E1" s="383"/>
      <c r="F1" s="383"/>
      <c r="G1" s="384"/>
    </row>
    <row r="2" spans="1:9">
      <c r="A2" s="385"/>
      <c r="B2" s="386"/>
      <c r="C2" s="386"/>
      <c r="D2" s="386"/>
      <c r="E2" s="386"/>
      <c r="F2" s="386"/>
      <c r="G2" s="387"/>
    </row>
    <row r="3" spans="1:9" ht="15" customHeight="1">
      <c r="A3" s="388"/>
      <c r="B3" s="389"/>
      <c r="C3" s="389"/>
      <c r="D3" s="389"/>
      <c r="E3" s="389"/>
      <c r="F3" s="389"/>
      <c r="G3" s="390"/>
    </row>
    <row r="4" spans="1:9">
      <c r="A4" s="382" t="s">
        <v>131</v>
      </c>
      <c r="B4" s="383"/>
      <c r="C4" s="383"/>
      <c r="D4" s="383"/>
      <c r="E4" s="383"/>
      <c r="F4" s="383"/>
      <c r="G4" s="384"/>
    </row>
    <row r="5" spans="1:9">
      <c r="A5" s="388"/>
      <c r="B5" s="389"/>
      <c r="C5" s="389"/>
      <c r="D5" s="389"/>
      <c r="E5" s="389"/>
      <c r="F5" s="389"/>
      <c r="G5" s="390"/>
    </row>
    <row r="6" spans="1:9" ht="19.2" customHeight="1">
      <c r="A6" s="374" t="s">
        <v>132</v>
      </c>
      <c r="B6" s="375"/>
      <c r="C6" s="375"/>
      <c r="D6" s="375"/>
      <c r="E6" s="375"/>
      <c r="F6" s="375"/>
      <c r="G6" s="376"/>
    </row>
    <row r="7" spans="1:9">
      <c r="A7" s="391" t="s">
        <v>133</v>
      </c>
      <c r="B7" s="392"/>
      <c r="C7" s="392"/>
      <c r="D7" s="392"/>
      <c r="E7" s="397" t="s">
        <v>134</v>
      </c>
      <c r="F7" s="397"/>
      <c r="G7" s="379">
        <f>Invoice!E5</f>
        <v>45883</v>
      </c>
    </row>
    <row r="8" spans="1:9">
      <c r="A8" s="393"/>
      <c r="B8" s="394"/>
      <c r="C8" s="394"/>
      <c r="D8" s="394"/>
      <c r="E8" s="398"/>
      <c r="F8" s="398"/>
      <c r="G8" s="380"/>
    </row>
    <row r="9" spans="1:9">
      <c r="A9" s="395"/>
      <c r="B9" s="396"/>
      <c r="C9" s="396"/>
      <c r="D9" s="396"/>
      <c r="E9" s="399"/>
      <c r="F9" s="399"/>
      <c r="G9" s="381"/>
    </row>
    <row r="10" spans="1:9" ht="44.4">
      <c r="A10" s="99" t="s">
        <v>135</v>
      </c>
      <c r="B10" s="100" t="s">
        <v>136</v>
      </c>
      <c r="C10" s="101" t="s">
        <v>137</v>
      </c>
      <c r="D10" s="100" t="s">
        <v>138</v>
      </c>
      <c r="E10" s="100" t="s">
        <v>139</v>
      </c>
      <c r="F10" s="100" t="s">
        <v>140</v>
      </c>
      <c r="G10" s="100" t="s">
        <v>141</v>
      </c>
      <c r="I10" s="97"/>
    </row>
    <row r="11" spans="1:9">
      <c r="A11" s="99"/>
      <c r="B11" s="102">
        <v>2250100170</v>
      </c>
      <c r="C11" s="103" t="s">
        <v>142</v>
      </c>
      <c r="D11" s="104" t="s">
        <v>53</v>
      </c>
      <c r="E11" s="104"/>
      <c r="F11" s="104" t="str">
        <f>Invoice!E4</f>
        <v>A114081421</v>
      </c>
      <c r="G11" s="104">
        <v>10000</v>
      </c>
      <c r="I11" s="97"/>
    </row>
    <row r="12" spans="1:9">
      <c r="A12" s="99"/>
      <c r="B12" s="105">
        <v>2250500414</v>
      </c>
      <c r="C12" s="103" t="s">
        <v>142</v>
      </c>
      <c r="D12" s="104" t="s">
        <v>59</v>
      </c>
      <c r="E12" s="104"/>
      <c r="F12" s="104" t="str">
        <f>F11</f>
        <v>A114081421</v>
      </c>
      <c r="G12" s="104">
        <v>3000</v>
      </c>
      <c r="I12" s="97"/>
    </row>
    <row r="13" spans="1:9" ht="26.4">
      <c r="A13" s="99"/>
      <c r="B13" s="106" t="s">
        <v>143</v>
      </c>
      <c r="C13" s="103" t="s">
        <v>142</v>
      </c>
      <c r="D13" s="104" t="s">
        <v>61</v>
      </c>
      <c r="E13" s="104"/>
      <c r="F13" s="104" t="str">
        <f>F12</f>
        <v>A114081421</v>
      </c>
      <c r="G13" s="104">
        <v>30000</v>
      </c>
      <c r="I13" s="97"/>
    </row>
    <row r="14" spans="1:9">
      <c r="A14" s="99"/>
      <c r="B14" s="106">
        <v>2250300757</v>
      </c>
      <c r="C14" s="103" t="s">
        <v>142</v>
      </c>
      <c r="D14" s="104" t="s">
        <v>63</v>
      </c>
      <c r="E14" s="104"/>
      <c r="F14" s="104" t="str">
        <f>F13</f>
        <v>A114081421</v>
      </c>
      <c r="G14" s="104">
        <v>24000</v>
      </c>
      <c r="I14" s="97"/>
    </row>
    <row r="15" spans="1:9">
      <c r="A15" s="99"/>
      <c r="B15" s="106">
        <v>2250800499</v>
      </c>
      <c r="C15" s="103" t="s">
        <v>142</v>
      </c>
      <c r="D15" s="104" t="s">
        <v>65</v>
      </c>
      <c r="E15" s="104"/>
      <c r="F15" s="104" t="str">
        <f>F14</f>
        <v>A114081421</v>
      </c>
      <c r="G15" s="104">
        <v>900</v>
      </c>
      <c r="I15" s="97"/>
    </row>
    <row r="16" spans="1:9">
      <c r="A16" s="99"/>
      <c r="B16" s="106">
        <v>2250500414</v>
      </c>
      <c r="C16" s="103" t="s">
        <v>142</v>
      </c>
      <c r="D16" s="104" t="s">
        <v>67</v>
      </c>
      <c r="E16" s="104"/>
      <c r="F16" s="104" t="str">
        <f>F15</f>
        <v>A114081421</v>
      </c>
      <c r="G16" s="104">
        <v>80000</v>
      </c>
      <c r="I16" s="97"/>
    </row>
    <row r="17" spans="1:9">
      <c r="A17" s="99"/>
      <c r="B17" s="106"/>
      <c r="C17" s="103"/>
      <c r="D17" s="104"/>
      <c r="E17" s="104"/>
      <c r="F17" s="104"/>
      <c r="G17" s="104"/>
      <c r="I17" s="97"/>
    </row>
    <row r="18" spans="1:9">
      <c r="A18" s="99"/>
      <c r="B18" s="106"/>
      <c r="C18" s="103"/>
      <c r="D18" s="104"/>
      <c r="E18" s="104"/>
      <c r="F18" s="104"/>
      <c r="G18" s="104"/>
      <c r="I18" s="97"/>
    </row>
    <row r="19" spans="1:9">
      <c r="A19" s="99"/>
      <c r="B19" s="107"/>
      <c r="C19" s="108"/>
      <c r="D19" s="100"/>
      <c r="E19" s="100"/>
      <c r="F19" s="100"/>
      <c r="G19" s="109"/>
      <c r="I19" s="97"/>
    </row>
    <row r="20" spans="1:9">
      <c r="A20" s="99"/>
      <c r="B20" s="107"/>
      <c r="C20" s="108"/>
      <c r="D20" s="100"/>
      <c r="E20" s="100"/>
      <c r="F20" s="100"/>
      <c r="G20" s="109"/>
    </row>
    <row r="21" spans="1:9" s="97" customFormat="1" ht="37.200000000000003" customHeight="1">
      <c r="A21" s="110"/>
      <c r="B21" s="111"/>
      <c r="C21" s="112"/>
      <c r="D21" s="112"/>
      <c r="E21" s="112"/>
      <c r="F21" s="112"/>
      <c r="G21" s="113"/>
    </row>
    <row r="22" spans="1:9">
      <c r="A22" s="114"/>
      <c r="B22" s="115"/>
      <c r="C22" s="116"/>
      <c r="D22" s="116"/>
      <c r="E22" s="116"/>
      <c r="F22" s="116"/>
      <c r="G22" s="117"/>
    </row>
    <row r="23" spans="1:9">
      <c r="A23" s="114"/>
      <c r="B23" s="114"/>
      <c r="C23" s="118"/>
      <c r="D23" s="118"/>
      <c r="E23" s="118"/>
      <c r="F23" s="118"/>
      <c r="G23" s="119"/>
    </row>
    <row r="24" spans="1:9" ht="17.399999999999999">
      <c r="A24" s="114"/>
      <c r="B24" s="377" t="s">
        <v>144</v>
      </c>
      <c r="C24" s="378"/>
      <c r="D24" s="378" t="s">
        <v>145</v>
      </c>
      <c r="E24" s="378"/>
      <c r="F24" s="378"/>
      <c r="G24" s="120" t="s">
        <v>146</v>
      </c>
    </row>
    <row r="25" spans="1:9">
      <c r="A25" s="114"/>
      <c r="B25" s="114"/>
      <c r="C25" s="118"/>
      <c r="D25" s="118"/>
      <c r="E25" s="118"/>
      <c r="F25" s="118"/>
      <c r="G25" s="119"/>
    </row>
    <row r="26" spans="1:9">
      <c r="A26" s="121"/>
      <c r="B26" s="121"/>
      <c r="C26" s="122"/>
      <c r="D26" s="122"/>
      <c r="E26" s="122"/>
      <c r="F26" s="122"/>
      <c r="G26" s="123"/>
    </row>
    <row r="28" spans="1:9" s="97" customFormat="1">
      <c r="A28" s="98"/>
      <c r="B28" s="98"/>
      <c r="C28" s="98"/>
      <c r="D28" s="98"/>
      <c r="E28" s="98"/>
      <c r="F28" s="98"/>
      <c r="G28" s="98"/>
    </row>
  </sheetData>
  <mergeCells count="8">
    <mergeCell ref="A6:G6"/>
    <mergeCell ref="B24:C24"/>
    <mergeCell ref="D24:F24"/>
    <mergeCell ref="G7:G9"/>
    <mergeCell ref="A1:G3"/>
    <mergeCell ref="A4:G5"/>
    <mergeCell ref="A7:D9"/>
    <mergeCell ref="E7:F9"/>
  </mergeCells>
  <phoneticPr fontId="130" type="noConversion"/>
  <pageMargins left="0.75" right="0.75" top="1" bottom="1" header="0.5" footer="0.5"/>
  <pageSetup paperSize="9" scale="92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71AF-6F6E-4AE7-90E1-E299CA962147}">
  <dimension ref="A1:U31"/>
  <sheetViews>
    <sheetView view="pageBreakPreview" topLeftCell="A4" zoomScaleNormal="100" workbookViewId="0">
      <selection activeCell="A20" sqref="A20"/>
    </sheetView>
  </sheetViews>
  <sheetFormatPr defaultColWidth="9.33203125" defaultRowHeight="16.2"/>
  <cols>
    <col min="1" max="1" width="9.33203125" style="48"/>
    <col min="2" max="2" width="28.33203125" style="48" customWidth="1"/>
    <col min="3" max="3" width="21" style="48" customWidth="1"/>
    <col min="4" max="4" width="21.33203125" style="48" customWidth="1"/>
    <col min="5" max="16384" width="9.33203125" style="48"/>
  </cols>
  <sheetData>
    <row r="1" spans="1:21" s="42" customFormat="1" ht="44.4">
      <c r="A1" s="400" t="s">
        <v>147</v>
      </c>
      <c r="B1" s="400"/>
      <c r="C1" s="49"/>
      <c r="D1" s="50"/>
      <c r="E1" s="51"/>
      <c r="F1" s="51"/>
      <c r="G1" s="51"/>
      <c r="H1" s="52"/>
      <c r="K1" s="81"/>
      <c r="L1" s="81"/>
      <c r="M1" s="81"/>
      <c r="N1" s="81"/>
      <c r="O1" s="81"/>
      <c r="P1" s="81"/>
      <c r="Q1" s="81"/>
      <c r="R1" s="81"/>
      <c r="S1" s="81"/>
      <c r="T1" s="90"/>
      <c r="U1" s="90"/>
    </row>
    <row r="2" spans="1:21" s="43" customFormat="1" ht="26.4" customHeight="1">
      <c r="A2" s="45" t="s">
        <v>148</v>
      </c>
      <c r="B2" s="53" t="s">
        <v>149</v>
      </c>
      <c r="C2" s="54"/>
      <c r="D2" s="54"/>
      <c r="E2" s="55"/>
      <c r="F2" s="54"/>
      <c r="G2" s="56"/>
      <c r="H2" s="57"/>
      <c r="I2" s="82"/>
      <c r="J2" s="57"/>
      <c r="K2" s="83"/>
      <c r="L2" s="83"/>
      <c r="M2" s="84"/>
      <c r="N2" s="84"/>
      <c r="O2" s="84"/>
      <c r="P2" s="84"/>
      <c r="Q2" s="84"/>
      <c r="R2" s="84"/>
      <c r="S2" s="84"/>
      <c r="T2" s="91"/>
      <c r="U2" s="91"/>
    </row>
    <row r="3" spans="1:21" s="43" customFormat="1" ht="26.4" customHeight="1">
      <c r="A3" s="45"/>
      <c r="B3" s="58" t="s">
        <v>150</v>
      </c>
      <c r="C3" s="59"/>
      <c r="D3" s="59"/>
      <c r="E3" s="59"/>
      <c r="F3" s="59"/>
      <c r="G3" s="60"/>
      <c r="H3" s="61"/>
      <c r="I3" s="85"/>
      <c r="K3" s="84"/>
      <c r="L3" s="84"/>
      <c r="M3" s="84"/>
      <c r="N3" s="84"/>
      <c r="O3" s="84"/>
      <c r="P3" s="84"/>
      <c r="Q3" s="84"/>
      <c r="R3" s="84"/>
      <c r="S3" s="84"/>
      <c r="T3" s="91"/>
      <c r="U3" s="91"/>
    </row>
    <row r="4" spans="1:21" s="43" customFormat="1" ht="26.4" customHeight="1">
      <c r="A4" s="45"/>
      <c r="B4" s="58" t="s">
        <v>151</v>
      </c>
      <c r="C4" s="59"/>
      <c r="D4" s="59"/>
      <c r="E4" s="59"/>
      <c r="F4" s="59"/>
      <c r="G4" s="62"/>
      <c r="H4" s="62"/>
      <c r="I4" s="85"/>
      <c r="K4" s="84"/>
      <c r="L4" s="84"/>
      <c r="M4" s="84"/>
      <c r="N4" s="84"/>
      <c r="O4" s="84"/>
      <c r="P4" s="84"/>
      <c r="Q4" s="84"/>
      <c r="R4" s="84"/>
      <c r="S4" s="84"/>
      <c r="T4" s="91"/>
      <c r="U4" s="91"/>
    </row>
    <row r="5" spans="1:21" s="43" customFormat="1" ht="26.4" customHeight="1">
      <c r="A5" s="45"/>
      <c r="B5" s="58" t="s">
        <v>152</v>
      </c>
      <c r="C5" s="59"/>
      <c r="D5" s="59"/>
      <c r="E5" s="59"/>
      <c r="F5" s="59"/>
      <c r="G5" s="60"/>
      <c r="H5" s="61"/>
      <c r="I5" s="85"/>
      <c r="K5" s="84"/>
      <c r="L5" s="84"/>
      <c r="M5" s="84"/>
      <c r="N5" s="84"/>
      <c r="O5" s="84"/>
      <c r="P5" s="84"/>
      <c r="Q5" s="84"/>
      <c r="R5" s="84"/>
      <c r="S5" s="84"/>
      <c r="T5" s="91"/>
      <c r="U5" s="91"/>
    </row>
    <row r="6" spans="1:21" s="43" customFormat="1" ht="26.4" customHeight="1">
      <c r="A6" s="60"/>
      <c r="B6" s="58" t="s">
        <v>153</v>
      </c>
      <c r="C6" s="59"/>
      <c r="D6" s="59"/>
      <c r="E6" s="59"/>
      <c r="F6" s="59"/>
      <c r="G6" s="63"/>
      <c r="H6" s="63"/>
      <c r="I6" s="85"/>
      <c r="K6" s="84"/>
      <c r="L6" s="84"/>
      <c r="M6" s="84"/>
      <c r="N6" s="84"/>
      <c r="O6" s="84"/>
      <c r="P6" s="84"/>
      <c r="Q6" s="84"/>
      <c r="R6" s="84"/>
      <c r="S6" s="84"/>
      <c r="T6" s="91"/>
      <c r="U6" s="91"/>
    </row>
    <row r="7" spans="1:21" s="43" customFormat="1" ht="26.4" customHeight="1">
      <c r="A7" s="60"/>
      <c r="B7" s="58" t="s">
        <v>154</v>
      </c>
      <c r="C7" s="59"/>
      <c r="D7" s="59"/>
      <c r="E7" s="59"/>
      <c r="F7" s="59"/>
      <c r="G7" s="64"/>
      <c r="H7" s="64"/>
      <c r="K7" s="84"/>
      <c r="L7" s="84"/>
      <c r="M7" s="84"/>
      <c r="N7" s="84"/>
      <c r="O7" s="84"/>
      <c r="P7" s="84"/>
      <c r="Q7" s="84"/>
      <c r="R7" s="84"/>
      <c r="S7" s="84"/>
      <c r="T7" s="91"/>
      <c r="U7" s="91"/>
    </row>
    <row r="8" spans="1:21" s="43" customFormat="1" ht="26.4" customHeight="1">
      <c r="A8" s="60"/>
      <c r="B8" s="58" t="s">
        <v>155</v>
      </c>
      <c r="C8" s="59"/>
      <c r="D8" s="59"/>
      <c r="E8" s="59"/>
      <c r="F8" s="59"/>
      <c r="G8" s="60"/>
      <c r="H8" s="61"/>
      <c r="K8" s="84"/>
      <c r="L8" s="84"/>
      <c r="M8" s="84"/>
      <c r="N8" s="84"/>
      <c r="O8" s="84"/>
      <c r="P8" s="84"/>
      <c r="Q8" s="84"/>
      <c r="R8" s="84"/>
      <c r="S8" s="84"/>
      <c r="T8" s="91"/>
      <c r="U8" s="91"/>
    </row>
    <row r="9" spans="1:21" s="43" customFormat="1" ht="26.4" customHeight="1">
      <c r="A9" s="65" t="s">
        <v>156</v>
      </c>
      <c r="B9" s="58" t="s">
        <v>157</v>
      </c>
      <c r="C9" s="59"/>
      <c r="D9" s="59"/>
      <c r="E9" s="59"/>
      <c r="F9" s="59"/>
      <c r="G9" s="60"/>
      <c r="H9" s="61"/>
      <c r="K9" s="84"/>
      <c r="L9" s="84"/>
      <c r="M9" s="84"/>
      <c r="N9" s="84"/>
      <c r="O9" s="84"/>
      <c r="P9" s="84"/>
      <c r="Q9" s="84"/>
      <c r="R9" s="84"/>
      <c r="S9" s="84"/>
      <c r="T9" s="91"/>
      <c r="U9" s="91"/>
    </row>
    <row r="10" spans="1:21" s="43" customFormat="1" ht="26.4" customHeight="1">
      <c r="A10" s="65" t="s">
        <v>158</v>
      </c>
      <c r="B10" s="66" t="s">
        <v>159</v>
      </c>
      <c r="C10" s="59"/>
      <c r="D10" s="59"/>
      <c r="E10" s="59"/>
      <c r="F10" s="59"/>
      <c r="G10" s="60"/>
      <c r="H10" s="61"/>
      <c r="K10" s="84"/>
      <c r="L10" s="84"/>
      <c r="M10" s="84"/>
      <c r="N10" s="84"/>
      <c r="O10" s="84"/>
      <c r="P10" s="84"/>
      <c r="Q10" s="84"/>
      <c r="R10" s="84"/>
      <c r="S10" s="84"/>
      <c r="T10" s="91"/>
      <c r="U10" s="91"/>
    </row>
    <row r="11" spans="1:21" s="43" customFormat="1" ht="26.4" customHeight="1">
      <c r="A11" s="65" t="s">
        <v>160</v>
      </c>
      <c r="B11" s="67" t="s">
        <v>161</v>
      </c>
      <c r="C11" s="68"/>
      <c r="D11" s="68"/>
      <c r="E11" s="68"/>
      <c r="F11" s="68"/>
      <c r="G11" s="60"/>
      <c r="H11" s="60"/>
      <c r="I11" s="45"/>
      <c r="J11" s="45"/>
      <c r="K11" s="86"/>
      <c r="L11" s="86"/>
      <c r="M11" s="86"/>
      <c r="N11" s="86"/>
      <c r="O11" s="86"/>
      <c r="P11" s="86"/>
      <c r="Q11" s="86"/>
      <c r="R11" s="84"/>
      <c r="S11" s="84"/>
      <c r="T11" s="91"/>
      <c r="U11" s="91"/>
    </row>
    <row r="12" spans="1:21" s="44" customFormat="1" ht="26.4" customHeight="1">
      <c r="A12" s="65" t="s">
        <v>162</v>
      </c>
      <c r="B12" s="69" t="s">
        <v>163</v>
      </c>
      <c r="C12" s="70"/>
      <c r="D12" s="71"/>
      <c r="E12" s="71"/>
      <c r="F12" s="71"/>
      <c r="G12" s="71"/>
      <c r="H12" s="71"/>
      <c r="K12" s="87"/>
      <c r="L12" s="87"/>
      <c r="M12" s="87"/>
      <c r="N12" s="87"/>
      <c r="O12" s="87"/>
      <c r="P12" s="87"/>
      <c r="Q12" s="87"/>
      <c r="R12" s="87"/>
      <c r="S12" s="87"/>
      <c r="T12" s="92"/>
      <c r="U12" s="92"/>
    </row>
    <row r="13" spans="1:21" s="45" customFormat="1" ht="26.4" customHeight="1">
      <c r="A13" s="65" t="s">
        <v>164</v>
      </c>
      <c r="B13" s="58" t="s">
        <v>165</v>
      </c>
      <c r="C13" s="59"/>
      <c r="D13" s="59"/>
      <c r="E13" s="59"/>
      <c r="F13" s="59"/>
      <c r="G13" s="60"/>
      <c r="H13" s="60"/>
      <c r="K13" s="86"/>
      <c r="L13" s="86"/>
      <c r="M13" s="86"/>
      <c r="N13" s="86"/>
      <c r="O13" s="86"/>
      <c r="P13" s="86"/>
      <c r="Q13" s="86"/>
      <c r="R13" s="86"/>
      <c r="S13" s="86"/>
      <c r="T13" s="93"/>
      <c r="U13" s="93"/>
    </row>
    <row r="14" spans="1:21" s="46" customFormat="1" ht="26.4" customHeight="1">
      <c r="A14" s="65" t="s">
        <v>166</v>
      </c>
      <c r="B14" s="58" t="s">
        <v>167</v>
      </c>
      <c r="C14" s="59"/>
      <c r="D14" s="59"/>
      <c r="E14" s="59"/>
      <c r="F14" s="59"/>
      <c r="G14" s="60"/>
      <c r="H14" s="60"/>
      <c r="I14" s="45"/>
      <c r="J14" s="45"/>
      <c r="K14" s="86"/>
      <c r="L14" s="86"/>
      <c r="M14" s="86"/>
      <c r="N14" s="86"/>
      <c r="O14" s="86"/>
      <c r="P14" s="86"/>
      <c r="Q14" s="86"/>
      <c r="R14" s="88"/>
      <c r="S14" s="88"/>
      <c r="T14" s="94"/>
      <c r="U14" s="94"/>
    </row>
    <row r="15" spans="1:21" s="42" customFormat="1" ht="19.8">
      <c r="A15" s="65" t="s">
        <v>168</v>
      </c>
      <c r="B15" s="66" t="s">
        <v>169</v>
      </c>
      <c r="C15" s="72"/>
      <c r="D15" s="72"/>
      <c r="E15" s="72"/>
      <c r="F15" s="72"/>
      <c r="G15" s="73"/>
      <c r="H15" s="73"/>
      <c r="I15" s="46"/>
      <c r="J15" s="46"/>
      <c r="K15" s="88"/>
      <c r="L15" s="88"/>
      <c r="M15" s="88"/>
      <c r="N15" s="88"/>
      <c r="O15" s="88"/>
      <c r="P15" s="88"/>
      <c r="Q15" s="88"/>
      <c r="R15" s="95"/>
      <c r="S15" s="81"/>
      <c r="T15" s="90"/>
      <c r="U15" s="90"/>
    </row>
    <row r="16" spans="1:21" ht="23.1" customHeight="1">
      <c r="A16" s="65" t="s">
        <v>170</v>
      </c>
      <c r="B16" s="66" t="s">
        <v>171</v>
      </c>
      <c r="C16" s="72"/>
      <c r="D16" s="72"/>
      <c r="E16" s="72"/>
      <c r="F16" s="72"/>
      <c r="G16" s="73"/>
      <c r="H16" s="73"/>
      <c r="I16" s="46"/>
      <c r="J16" s="46"/>
      <c r="K16" s="88"/>
      <c r="L16" s="88"/>
      <c r="M16" s="88"/>
      <c r="N16" s="88"/>
      <c r="O16" s="88"/>
      <c r="P16" s="88"/>
      <c r="Q16" s="88"/>
      <c r="R16"/>
    </row>
    <row r="17" spans="1:21" s="47" customFormat="1" ht="26.4" customHeight="1">
      <c r="A17" s="74" t="s">
        <v>172</v>
      </c>
      <c r="B17" s="66" t="s">
        <v>173</v>
      </c>
      <c r="C17" s="75"/>
      <c r="D17" s="75"/>
      <c r="E17" s="71"/>
      <c r="F17" s="71"/>
      <c r="G17" s="71"/>
      <c r="H17" s="71"/>
      <c r="K17" s="89"/>
      <c r="L17" s="89"/>
      <c r="M17" s="89"/>
      <c r="N17" s="89"/>
      <c r="O17" s="89"/>
      <c r="P17" s="89"/>
      <c r="Q17" s="89"/>
      <c r="R17" s="89"/>
      <c r="S17" s="89"/>
      <c r="T17" s="96"/>
      <c r="U17" s="96"/>
    </row>
    <row r="18" spans="1:21">
      <c r="A18" s="76">
        <v>11</v>
      </c>
      <c r="B18" s="77" t="s">
        <v>174</v>
      </c>
      <c r="C18" s="78"/>
      <c r="D18" s="78"/>
      <c r="E18" s="78"/>
    </row>
    <row r="19" spans="1:21" ht="16.8">
      <c r="A19" s="79">
        <v>12</v>
      </c>
      <c r="B19" s="80" t="s">
        <v>175</v>
      </c>
    </row>
    <row r="21" spans="1:21">
      <c r="B21" s="78"/>
      <c r="C21" s="78"/>
      <c r="D21" s="78"/>
      <c r="E21" s="78"/>
    </row>
    <row r="22" spans="1:21">
      <c r="B22" s="78"/>
      <c r="C22" s="78"/>
      <c r="D22" s="78"/>
      <c r="E22" s="78"/>
    </row>
    <row r="23" spans="1:21">
      <c r="B23" s="78"/>
      <c r="C23" s="78"/>
      <c r="D23" s="78"/>
      <c r="E23" s="78"/>
    </row>
    <row r="24" spans="1:21">
      <c r="B24" s="78"/>
      <c r="C24" s="78"/>
      <c r="D24" s="78"/>
      <c r="E24" s="78"/>
    </row>
    <row r="25" spans="1:21">
      <c r="B25" s="78"/>
      <c r="C25" s="78"/>
      <c r="D25" s="78"/>
      <c r="E25" s="78"/>
    </row>
    <row r="26" spans="1:21">
      <c r="B26" s="78"/>
      <c r="C26" s="78"/>
      <c r="D26" s="78"/>
      <c r="E26" s="78"/>
    </row>
    <row r="27" spans="1:21">
      <c r="B27" s="78"/>
      <c r="C27" s="78"/>
      <c r="D27" s="78"/>
      <c r="E27" s="78"/>
    </row>
    <row r="28" spans="1:21">
      <c r="B28" s="78"/>
      <c r="C28" s="78"/>
      <c r="D28" s="78"/>
      <c r="E28" s="78"/>
    </row>
    <row r="29" spans="1:21">
      <c r="B29" s="78"/>
      <c r="C29" s="78"/>
      <c r="D29" s="78"/>
      <c r="E29" s="78"/>
    </row>
    <row r="30" spans="1:21">
      <c r="B30" s="78"/>
      <c r="C30" s="78"/>
      <c r="D30" s="78"/>
      <c r="E30" s="78"/>
    </row>
    <row r="31" spans="1:21">
      <c r="B31" s="78"/>
      <c r="C31" s="78"/>
      <c r="D31" s="78"/>
      <c r="E31" s="78"/>
    </row>
  </sheetData>
  <mergeCells count="1">
    <mergeCell ref="A1:B1"/>
  </mergeCells>
  <phoneticPr fontId="130" type="noConversion"/>
  <pageMargins left="0.70866141732283472" right="0.70866141732283472" top="0.74803149606299213" bottom="0.74803149606299213" header="0.31496062992125984" footer="0.31496062992125984"/>
  <pageSetup paperSize="9" scale="6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130B-A6CA-4600-918A-ADDCFE332D69}">
  <dimension ref="A1:K105"/>
  <sheetViews>
    <sheetView zoomScale="85" workbookViewId="0">
      <selection activeCell="G14" sqref="G14"/>
    </sheetView>
  </sheetViews>
  <sheetFormatPr defaultColWidth="17.88671875" defaultRowHeight="21.15" customHeight="1"/>
  <cols>
    <col min="1" max="1" width="18.33203125" style="4" customWidth="1"/>
    <col min="2" max="2" width="46.109375" style="4" customWidth="1"/>
    <col min="3" max="3" width="55.6640625" style="4" customWidth="1"/>
    <col min="4" max="4" width="6.5546875" style="4" customWidth="1"/>
    <col min="5" max="5" width="3.44140625" style="5" customWidth="1"/>
    <col min="6" max="6" width="12.88671875" style="4" customWidth="1"/>
    <col min="7" max="7" width="44" style="4" customWidth="1"/>
    <col min="8" max="8" width="6.33203125" style="4" customWidth="1"/>
    <col min="9" max="9" width="53.44140625" style="4" customWidth="1"/>
    <col min="10" max="10" width="54" style="4" customWidth="1"/>
    <col min="11" max="16384" width="17.88671875" style="4"/>
  </cols>
  <sheetData>
    <row r="1" spans="1:10" ht="21.15" customHeight="1">
      <c r="B1" s="6" t="s">
        <v>176</v>
      </c>
      <c r="C1" s="6" t="s">
        <v>177</v>
      </c>
      <c r="F1" s="7" t="s">
        <v>178</v>
      </c>
    </row>
    <row r="2" spans="1:10" ht="24.75" customHeight="1">
      <c r="B2" s="8" t="s">
        <v>179</v>
      </c>
      <c r="C2" s="8" t="s">
        <v>180</v>
      </c>
      <c r="E2" s="4"/>
      <c r="F2" s="7" t="s">
        <v>181</v>
      </c>
    </row>
    <row r="3" spans="1:10" ht="24.75" customHeight="1">
      <c r="B3" s="8" t="s">
        <v>182</v>
      </c>
      <c r="C3" s="8" t="s">
        <v>183</v>
      </c>
      <c r="E3" s="4"/>
    </row>
    <row r="4" spans="1:10" ht="24.75" customHeight="1">
      <c r="B4" s="8" t="s">
        <v>184</v>
      </c>
      <c r="C4" s="8" t="s">
        <v>185</v>
      </c>
      <c r="E4" s="4"/>
    </row>
    <row r="5" spans="1:10" ht="24.75" customHeight="1">
      <c r="E5" s="4"/>
    </row>
    <row r="6" spans="1:10" ht="21.15" customHeight="1">
      <c r="A6" s="9"/>
      <c r="E6" s="4"/>
    </row>
    <row r="7" spans="1:10" ht="21.15" customHeight="1">
      <c r="A7" s="10" t="s">
        <v>186</v>
      </c>
      <c r="B7" s="10" t="s">
        <v>187</v>
      </c>
      <c r="E7" s="11"/>
      <c r="F7" s="12" t="s">
        <v>188</v>
      </c>
      <c r="G7" s="13" t="s">
        <v>187</v>
      </c>
      <c r="J7" s="35"/>
    </row>
    <row r="8" spans="1:10" ht="15.75" customHeight="1">
      <c r="A8" s="14"/>
      <c r="B8" s="14"/>
      <c r="C8" s="14"/>
      <c r="D8" s="14"/>
      <c r="E8" s="15"/>
    </row>
    <row r="9" spans="1:10" ht="51.75" customHeight="1">
      <c r="A9" s="14" t="s">
        <v>189</v>
      </c>
      <c r="B9" s="16" t="s">
        <v>190</v>
      </c>
      <c r="C9" s="17" t="s">
        <v>191</v>
      </c>
      <c r="D9" s="17"/>
      <c r="E9" s="15"/>
      <c r="F9" s="4" t="s">
        <v>192</v>
      </c>
      <c r="G9" s="18" t="s">
        <v>193</v>
      </c>
    </row>
    <row r="10" spans="1:10" ht="16.2">
      <c r="A10" s="4" t="s">
        <v>194</v>
      </c>
      <c r="B10" s="19" t="s">
        <v>195</v>
      </c>
      <c r="C10" s="20" t="s">
        <v>196</v>
      </c>
      <c r="D10" s="20"/>
      <c r="E10" s="15"/>
      <c r="F10" s="4" t="s">
        <v>194</v>
      </c>
      <c r="G10" s="19" t="s">
        <v>197</v>
      </c>
    </row>
    <row r="11" spans="1:10" ht="16.2">
      <c r="A11" s="14" t="s">
        <v>198</v>
      </c>
      <c r="B11" s="14" t="s">
        <v>199</v>
      </c>
      <c r="C11" s="7" t="s">
        <v>200</v>
      </c>
      <c r="D11" s="7"/>
      <c r="E11" s="15"/>
      <c r="F11" s="4" t="s">
        <v>201</v>
      </c>
      <c r="G11" s="4" t="s">
        <v>199</v>
      </c>
    </row>
    <row r="12" spans="1:10" ht="15.75" customHeight="1">
      <c r="A12" s="14" t="s">
        <v>202</v>
      </c>
      <c r="B12" s="21" t="s">
        <v>203</v>
      </c>
      <c r="E12" s="22"/>
      <c r="F12" s="4" t="s">
        <v>204</v>
      </c>
      <c r="G12" s="21" t="s">
        <v>203</v>
      </c>
      <c r="I12" s="36"/>
    </row>
    <row r="13" spans="1:10" ht="27" customHeight="1">
      <c r="A13" s="14" t="s">
        <v>205</v>
      </c>
      <c r="B13" s="23" t="s">
        <v>206</v>
      </c>
      <c r="E13" s="22"/>
      <c r="F13" s="4" t="s">
        <v>207</v>
      </c>
      <c r="G13" s="7" t="s">
        <v>208</v>
      </c>
      <c r="I13" s="24"/>
    </row>
    <row r="14" spans="1:10" ht="15.75" customHeight="1">
      <c r="A14" s="14" t="s">
        <v>209</v>
      </c>
      <c r="B14" s="14" t="s">
        <v>210</v>
      </c>
      <c r="C14" s="24"/>
      <c r="D14" s="24"/>
      <c r="E14" s="22"/>
      <c r="F14" s="4" t="s">
        <v>211</v>
      </c>
      <c r="G14" s="4" t="s">
        <v>212</v>
      </c>
      <c r="I14" s="37"/>
    </row>
    <row r="15" spans="1:10" ht="15.75" customHeight="1">
      <c r="A15" s="14" t="s">
        <v>213</v>
      </c>
      <c r="B15" s="14" t="s">
        <v>214</v>
      </c>
      <c r="E15" s="22"/>
      <c r="F15" s="4" t="s">
        <v>215</v>
      </c>
      <c r="G15" s="4" t="s">
        <v>216</v>
      </c>
      <c r="I15" s="404" t="s">
        <v>217</v>
      </c>
    </row>
    <row r="16" spans="1:10" ht="15.75" customHeight="1">
      <c r="A16" s="4" t="s">
        <v>218</v>
      </c>
      <c r="B16" s="4" t="s">
        <v>219</v>
      </c>
      <c r="E16" s="22"/>
      <c r="F16" s="4" t="s">
        <v>220</v>
      </c>
      <c r="G16" s="25" t="s">
        <v>221</v>
      </c>
      <c r="I16" s="405"/>
    </row>
    <row r="17" spans="1:11" ht="15.75" customHeight="1">
      <c r="A17" s="14" t="s">
        <v>222</v>
      </c>
      <c r="B17" s="26">
        <v>201210</v>
      </c>
      <c r="E17" s="15"/>
      <c r="I17" s="405"/>
    </row>
    <row r="18" spans="1:11" ht="15.75" customHeight="1">
      <c r="A18" s="4" t="s">
        <v>220</v>
      </c>
      <c r="B18" s="4" t="s">
        <v>223</v>
      </c>
      <c r="E18" s="15"/>
      <c r="I18" s="405"/>
    </row>
    <row r="19" spans="1:11" ht="42" customHeight="1">
      <c r="E19" s="15"/>
      <c r="F19" s="4" t="s">
        <v>224</v>
      </c>
      <c r="G19" s="19" t="s">
        <v>225</v>
      </c>
      <c r="I19" s="405"/>
    </row>
    <row r="20" spans="1:11" ht="23.25" customHeight="1">
      <c r="B20" s="14"/>
      <c r="E20" s="15"/>
      <c r="F20" s="4" t="s">
        <v>226</v>
      </c>
      <c r="G20" s="19" t="s">
        <v>227</v>
      </c>
      <c r="I20" s="405"/>
    </row>
    <row r="21" spans="1:11" ht="67.650000000000006" customHeight="1">
      <c r="A21" s="401" t="s">
        <v>228</v>
      </c>
      <c r="B21" s="402"/>
      <c r="C21" s="27"/>
      <c r="D21" s="27"/>
      <c r="E21" s="15"/>
      <c r="G21" s="28" t="s">
        <v>229</v>
      </c>
      <c r="I21" s="405"/>
    </row>
    <row r="22" spans="1:11" ht="31.65" customHeight="1">
      <c r="A22" s="29" t="s">
        <v>230</v>
      </c>
      <c r="B22" s="27"/>
      <c r="C22" s="27"/>
      <c r="D22" s="27"/>
      <c r="E22" s="15"/>
      <c r="G22" s="28" t="s">
        <v>231</v>
      </c>
      <c r="I22" s="38" t="s">
        <v>230</v>
      </c>
    </row>
    <row r="23" spans="1:11" ht="67.650000000000006" customHeight="1">
      <c r="A23" s="403" t="s">
        <v>232</v>
      </c>
      <c r="B23" s="403"/>
      <c r="C23" s="27"/>
      <c r="D23" s="27"/>
      <c r="E23" s="15"/>
      <c r="G23" s="30" t="s">
        <v>233</v>
      </c>
      <c r="I23" s="403" t="s">
        <v>234</v>
      </c>
    </row>
    <row r="24" spans="1:11" ht="21.15" customHeight="1">
      <c r="A24" s="14"/>
      <c r="B24" s="14"/>
      <c r="E24" s="15"/>
      <c r="G24" s="31"/>
      <c r="H24" s="31"/>
      <c r="I24" s="403"/>
    </row>
    <row r="25" spans="1:11" ht="21.15" customHeight="1">
      <c r="A25" s="14"/>
      <c r="E25" s="15"/>
      <c r="F25" s="20"/>
      <c r="I25" s="403"/>
    </row>
    <row r="26" spans="1:11" ht="21.75" customHeight="1">
      <c r="A26" s="14"/>
      <c r="B26" s="14"/>
      <c r="E26" s="15"/>
      <c r="F26" s="31"/>
      <c r="G26" s="31"/>
      <c r="I26" s="403"/>
    </row>
    <row r="27" spans="1:11" ht="21.15" customHeight="1">
      <c r="A27" s="14"/>
      <c r="B27" s="14"/>
      <c r="E27" s="15"/>
      <c r="I27" s="403"/>
    </row>
    <row r="28" spans="1:11" ht="21.15" customHeight="1">
      <c r="A28" s="14"/>
      <c r="B28" s="14"/>
      <c r="E28" s="15"/>
      <c r="F28" s="31"/>
      <c r="G28" s="31"/>
      <c r="H28" s="31"/>
      <c r="I28" s="403"/>
    </row>
    <row r="29" spans="1:11" ht="230.25" customHeight="1">
      <c r="A29" s="14"/>
      <c r="B29" s="14"/>
      <c r="E29" s="15"/>
      <c r="F29" s="31"/>
      <c r="G29" s="31"/>
      <c r="H29" s="31"/>
      <c r="I29" s="403"/>
      <c r="J29" s="39"/>
      <c r="K29" s="39"/>
    </row>
    <row r="30" spans="1:11" ht="73.5" customHeight="1">
      <c r="A30" s="14"/>
      <c r="B30" s="14"/>
      <c r="C30" s="32"/>
      <c r="D30" s="32"/>
      <c r="E30" s="15"/>
      <c r="F30" s="31"/>
      <c r="G30" s="31"/>
      <c r="H30" s="31"/>
      <c r="J30" s="39"/>
      <c r="K30" s="39"/>
    </row>
    <row r="31" spans="1:11" ht="21.15" customHeight="1">
      <c r="A31" s="14"/>
      <c r="B31" s="14"/>
      <c r="C31" s="32"/>
      <c r="D31" s="32"/>
      <c r="E31" s="15"/>
      <c r="F31" s="31"/>
      <c r="G31" s="31"/>
      <c r="H31" s="31"/>
      <c r="J31" s="39"/>
      <c r="K31" s="39"/>
    </row>
    <row r="32" spans="1:11" ht="21.15" customHeight="1">
      <c r="A32" s="14"/>
      <c r="B32" s="14"/>
      <c r="C32" s="32"/>
      <c r="D32" s="32"/>
      <c r="E32" s="15"/>
      <c r="F32" s="31"/>
      <c r="G32" s="31"/>
      <c r="H32" s="31"/>
      <c r="I32" s="31"/>
      <c r="J32" s="40"/>
    </row>
    <row r="33" spans="1:10" ht="21.15" customHeight="1">
      <c r="A33" s="14"/>
      <c r="B33" s="14"/>
      <c r="C33" s="32"/>
      <c r="D33" s="32"/>
      <c r="E33" s="15"/>
      <c r="F33" s="31"/>
      <c r="G33" s="31"/>
      <c r="H33" s="31"/>
      <c r="I33" s="31"/>
      <c r="J33" s="40"/>
    </row>
    <row r="34" spans="1:10" ht="21.15" customHeight="1">
      <c r="A34" s="14"/>
      <c r="B34" s="14"/>
      <c r="C34" s="14"/>
      <c r="D34" s="14"/>
      <c r="E34" s="15"/>
      <c r="F34" s="31"/>
      <c r="G34" s="31"/>
      <c r="H34" s="31"/>
      <c r="I34" s="41"/>
      <c r="J34" s="40"/>
    </row>
    <row r="35" spans="1:10" ht="21.15" customHeight="1">
      <c r="A35" s="14"/>
      <c r="B35" s="14"/>
      <c r="C35" s="14"/>
      <c r="D35" s="14"/>
      <c r="E35" s="15"/>
      <c r="F35" s="31"/>
      <c r="G35" s="31"/>
      <c r="H35" s="31"/>
      <c r="I35" s="41"/>
      <c r="J35" s="40"/>
    </row>
    <row r="36" spans="1:10" ht="21.15" customHeight="1">
      <c r="A36" s="14"/>
      <c r="B36" s="14"/>
      <c r="C36" s="14"/>
      <c r="D36" s="14"/>
      <c r="E36" s="15"/>
      <c r="F36" s="31"/>
      <c r="G36" s="31"/>
      <c r="H36" s="31"/>
      <c r="I36" s="41"/>
      <c r="J36" s="40"/>
    </row>
    <row r="37" spans="1:10" ht="16.2">
      <c r="G37" s="33"/>
      <c r="H37" s="33"/>
      <c r="I37" s="41"/>
      <c r="J37" s="33"/>
    </row>
    <row r="38" spans="1:10" ht="18" customHeight="1">
      <c r="F38" s="14"/>
      <c r="I38" s="41"/>
    </row>
    <row r="39" spans="1:10" ht="21.15" customHeight="1">
      <c r="F39" s="14"/>
      <c r="I39" s="41"/>
    </row>
    <row r="40" spans="1:10" ht="21.15" customHeight="1">
      <c r="F40" s="14"/>
      <c r="I40" s="41"/>
    </row>
    <row r="41" spans="1:10" ht="21.15" customHeight="1">
      <c r="F41" s="14"/>
      <c r="I41" s="41"/>
    </row>
    <row r="42" spans="1:10" ht="21.15" customHeight="1">
      <c r="F42" s="14"/>
      <c r="I42" s="41"/>
    </row>
    <row r="43" spans="1:10" ht="21.15" customHeight="1">
      <c r="F43" s="14"/>
      <c r="I43" s="41"/>
    </row>
    <row r="44" spans="1:10" ht="21.15" customHeight="1">
      <c r="A44" s="34"/>
      <c r="F44" s="14"/>
      <c r="I44" s="41"/>
    </row>
    <row r="45" spans="1:10" ht="21.15" customHeight="1">
      <c r="A45" s="14"/>
      <c r="F45" s="14"/>
      <c r="I45" s="41"/>
    </row>
    <row r="46" spans="1:10" ht="21.15" customHeight="1">
      <c r="A46" s="14"/>
      <c r="F46" s="14"/>
      <c r="I46" s="41"/>
    </row>
    <row r="47" spans="1:10" ht="21.15" customHeight="1">
      <c r="A47" s="14"/>
      <c r="F47" s="14"/>
      <c r="I47" s="41"/>
    </row>
    <row r="48" spans="1:10" ht="21.15" customHeight="1">
      <c r="A48" s="14"/>
      <c r="F48" s="14"/>
      <c r="I48" s="41"/>
    </row>
    <row r="49" spans="1:9" ht="21.15" customHeight="1">
      <c r="A49" s="14"/>
      <c r="F49" s="14"/>
      <c r="I49" s="41"/>
    </row>
    <row r="50" spans="1:9" ht="15" customHeight="1">
      <c r="A50" s="14"/>
      <c r="F50" s="14"/>
      <c r="I50" s="41"/>
    </row>
    <row r="51" spans="1:9" ht="15" customHeight="1">
      <c r="A51" s="14"/>
      <c r="F51" s="14"/>
      <c r="I51" s="41"/>
    </row>
    <row r="52" spans="1:9" ht="15" customHeight="1">
      <c r="A52" s="14"/>
      <c r="I52" s="41"/>
    </row>
    <row r="53" spans="1:9" ht="16.5" customHeight="1">
      <c r="A53" s="14"/>
      <c r="I53" s="41"/>
    </row>
    <row r="54" spans="1:9" ht="15" customHeight="1">
      <c r="A54" s="14"/>
      <c r="I54" s="41"/>
    </row>
    <row r="55" spans="1:9" ht="15" customHeight="1">
      <c r="A55" s="14"/>
      <c r="I55" s="41"/>
    </row>
    <row r="56" spans="1:9" ht="15" customHeight="1">
      <c r="A56" s="14"/>
      <c r="I56" s="41"/>
    </row>
    <row r="57" spans="1:9" ht="16.2">
      <c r="A57" s="14"/>
      <c r="I57" s="41"/>
    </row>
    <row r="58" spans="1:9" ht="15" customHeight="1">
      <c r="A58" s="14"/>
      <c r="I58" s="41"/>
    </row>
    <row r="59" spans="1:9" ht="15" customHeight="1">
      <c r="A59" s="14"/>
      <c r="I59" s="41"/>
    </row>
    <row r="60" spans="1:9" ht="16.2">
      <c r="A60" s="14"/>
      <c r="I60" s="41"/>
    </row>
    <row r="61" spans="1:9" ht="15" customHeight="1">
      <c r="A61" s="14"/>
      <c r="I61" s="41"/>
    </row>
    <row r="62" spans="1:9" ht="15" customHeight="1">
      <c r="A62" s="14"/>
      <c r="I62" s="41"/>
    </row>
    <row r="63" spans="1:9" ht="15" customHeight="1">
      <c r="A63" s="14"/>
      <c r="I63" s="41"/>
    </row>
    <row r="64" spans="1:9" ht="16.2">
      <c r="I64" s="41"/>
    </row>
    <row r="65" spans="9:9" ht="16.2">
      <c r="I65" s="41"/>
    </row>
    <row r="66" spans="9:9" ht="15" customHeight="1">
      <c r="I66" s="41"/>
    </row>
    <row r="67" spans="9:9" ht="15" customHeight="1">
      <c r="I67" s="41"/>
    </row>
    <row r="68" spans="9:9" ht="16.5" customHeight="1">
      <c r="I68" s="41"/>
    </row>
    <row r="69" spans="9:9" ht="15" customHeight="1">
      <c r="I69" s="41"/>
    </row>
    <row r="70" spans="9:9" ht="15" customHeight="1">
      <c r="I70" s="41"/>
    </row>
    <row r="71" spans="9:9" ht="15" customHeight="1">
      <c r="I71" s="41"/>
    </row>
    <row r="72" spans="9:9" ht="16.2">
      <c r="I72" s="41"/>
    </row>
    <row r="73" spans="9:9" ht="15" customHeight="1">
      <c r="I73" s="41"/>
    </row>
    <row r="74" spans="9:9" ht="15" customHeight="1">
      <c r="I74" s="41"/>
    </row>
    <row r="75" spans="9:9" ht="15" customHeight="1">
      <c r="I75" s="41"/>
    </row>
    <row r="76" spans="9:9" ht="15" customHeight="1">
      <c r="I76" s="41"/>
    </row>
    <row r="77" spans="9:9" ht="15" customHeight="1">
      <c r="I77" s="41"/>
    </row>
    <row r="78" spans="9:9" ht="15" customHeight="1">
      <c r="I78" s="41"/>
    </row>
    <row r="79" spans="9:9" ht="15" customHeight="1">
      <c r="I79" s="41"/>
    </row>
    <row r="80" spans="9:9" ht="16.2">
      <c r="I80" s="41"/>
    </row>
    <row r="81" spans="9:9" ht="79.5" customHeight="1">
      <c r="I81" s="41"/>
    </row>
    <row r="82" spans="9:9" ht="21.15" customHeight="1">
      <c r="I82" s="41"/>
    </row>
    <row r="83" spans="9:9" ht="21.15" customHeight="1">
      <c r="I83" s="41"/>
    </row>
    <row r="84" spans="9:9" ht="16.2">
      <c r="I84" s="41"/>
    </row>
    <row r="85" spans="9:9" ht="21.15" customHeight="1">
      <c r="I85" s="41"/>
    </row>
    <row r="86" spans="9:9" ht="21.15" customHeight="1">
      <c r="I86" s="41"/>
    </row>
    <row r="87" spans="9:9" ht="21.15" customHeight="1">
      <c r="I87" s="41"/>
    </row>
    <row r="88" spans="9:9" ht="21.15" customHeight="1">
      <c r="I88" s="41"/>
    </row>
    <row r="89" spans="9:9" ht="21.15" customHeight="1">
      <c r="I89" s="41"/>
    </row>
    <row r="90" spans="9:9" ht="21.15" customHeight="1">
      <c r="I90" s="41"/>
    </row>
    <row r="91" spans="9:9" ht="21.15" customHeight="1">
      <c r="I91" s="41"/>
    </row>
    <row r="92" spans="9:9" ht="21.15" customHeight="1">
      <c r="I92" s="41"/>
    </row>
    <row r="93" spans="9:9" ht="21.15" customHeight="1">
      <c r="I93" s="41"/>
    </row>
    <row r="94" spans="9:9" ht="21.15" customHeight="1">
      <c r="I94" s="41"/>
    </row>
    <row r="95" spans="9:9" ht="21.15" customHeight="1">
      <c r="I95" s="41"/>
    </row>
    <row r="96" spans="9:9" ht="21.15" customHeight="1">
      <c r="I96" s="41"/>
    </row>
    <row r="97" spans="9:9" ht="21.15" customHeight="1">
      <c r="I97" s="41"/>
    </row>
    <row r="98" spans="9:9" ht="21.15" customHeight="1">
      <c r="I98" s="41"/>
    </row>
    <row r="99" spans="9:9" ht="21.15" customHeight="1">
      <c r="I99" s="41"/>
    </row>
    <row r="100" spans="9:9" ht="21.15" customHeight="1">
      <c r="I100" s="41"/>
    </row>
    <row r="101" spans="9:9" ht="21.15" customHeight="1">
      <c r="I101" s="41"/>
    </row>
    <row r="102" spans="9:9" ht="21.15" customHeight="1">
      <c r="I102" s="41"/>
    </row>
    <row r="103" spans="9:9" ht="21.15" customHeight="1">
      <c r="I103" s="41"/>
    </row>
    <row r="104" spans="9:9" ht="21.15" customHeight="1">
      <c r="I104" s="41"/>
    </row>
    <row r="105" spans="9:9" ht="21.15" customHeight="1">
      <c r="I105" s="41"/>
    </row>
  </sheetData>
  <mergeCells count="4">
    <mergeCell ref="A21:B21"/>
    <mergeCell ref="A23:B23"/>
    <mergeCell ref="I15:I21"/>
    <mergeCell ref="I23:I29"/>
  </mergeCells>
  <phoneticPr fontId="130" type="noConversion"/>
  <pageMargins left="0.7" right="0.7" top="0.75" bottom="0.75" header="0.3" footer="0.3"/>
  <pageSetup paperSize="9" orientation="portrait" horizontalDpi="1200" verticalDpi="12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C075-DE3C-421C-A941-9D1A02CA329A}">
  <dimension ref="A1:N2083"/>
  <sheetViews>
    <sheetView workbookViewId="0">
      <selection activeCell="H31" sqref="H31"/>
    </sheetView>
  </sheetViews>
  <sheetFormatPr defaultColWidth="10.33203125" defaultRowHeight="15"/>
  <cols>
    <col min="1" max="1" width="19.33203125" bestFit="1" customWidth="1"/>
    <col min="2" max="2" width="18.5546875" bestFit="1" customWidth="1"/>
    <col min="3" max="3" width="8.5546875" bestFit="1" customWidth="1"/>
    <col min="4" max="4" width="15.6640625" bestFit="1" customWidth="1"/>
    <col min="5" max="5" width="10" bestFit="1" customWidth="1"/>
    <col min="6" max="6" width="4.88671875" bestFit="1" customWidth="1"/>
    <col min="7" max="7" width="11" customWidth="1"/>
    <col min="8" max="8" width="8" bestFit="1" customWidth="1"/>
    <col min="9" max="9" width="8.5546875" bestFit="1" customWidth="1"/>
    <col min="10" max="10" width="9.109375" customWidth="1"/>
    <col min="11" max="11" width="16.6640625" bestFit="1" customWidth="1"/>
    <col min="12" max="12" width="16.109375" bestFit="1" customWidth="1"/>
    <col min="13" max="13" width="4.88671875" bestFit="1" customWidth="1"/>
    <col min="14" max="14" width="9.109375" customWidth="1"/>
    <col min="15" max="16384" width="10.33203125" style="2"/>
  </cols>
  <sheetData>
    <row r="1" spans="1:14" s="1" customFormat="1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</row>
    <row r="2" spans="1:14">
      <c r="E2" s="3"/>
    </row>
    <row r="3" spans="1:14">
      <c r="E3" s="3"/>
    </row>
    <row r="4" spans="1:14">
      <c r="E4" s="3"/>
    </row>
    <row r="5" spans="1:14">
      <c r="E5" s="3"/>
    </row>
    <row r="6" spans="1:14">
      <c r="E6" s="3"/>
    </row>
    <row r="7" spans="1:14">
      <c r="E7" s="3"/>
    </row>
    <row r="8" spans="1:14">
      <c r="E8" s="3"/>
    </row>
    <row r="9" spans="1:14">
      <c r="E9" s="3"/>
    </row>
    <row r="10" spans="1:14">
      <c r="E10" s="3"/>
    </row>
    <row r="11" spans="1:14">
      <c r="E11" s="3"/>
    </row>
    <row r="12" spans="1:14">
      <c r="E12" s="3"/>
    </row>
    <row r="13" spans="1:14">
      <c r="E13" s="3"/>
    </row>
    <row r="14" spans="1:14">
      <c r="E14" s="3"/>
    </row>
    <row r="15" spans="1:14">
      <c r="E15" s="3"/>
    </row>
    <row r="16" spans="1:14">
      <c r="E16" s="3"/>
    </row>
    <row r="17" spans="5:5">
      <c r="E17" s="3"/>
    </row>
    <row r="18" spans="5:5">
      <c r="E18" s="3"/>
    </row>
    <row r="19" spans="5:5">
      <c r="E19" s="3"/>
    </row>
    <row r="20" spans="5:5">
      <c r="E20" s="3"/>
    </row>
    <row r="21" spans="5:5">
      <c r="E21" s="3"/>
    </row>
    <row r="22" spans="5:5">
      <c r="E22" s="3"/>
    </row>
    <row r="23" spans="5:5">
      <c r="E23" s="3"/>
    </row>
    <row r="24" spans="5:5">
      <c r="E24" s="3"/>
    </row>
    <row r="25" spans="5:5">
      <c r="E25" s="3"/>
    </row>
    <row r="26" spans="5:5">
      <c r="E26" s="3"/>
    </row>
    <row r="27" spans="5:5">
      <c r="E27" s="3"/>
    </row>
    <row r="28" spans="5:5">
      <c r="E28" s="3"/>
    </row>
    <row r="29" spans="5:5">
      <c r="E29" s="3"/>
    </row>
    <row r="30" spans="5:5">
      <c r="E30" s="3"/>
    </row>
    <row r="31" spans="5:5">
      <c r="E31" s="3"/>
    </row>
    <row r="32" spans="5:5">
      <c r="E32" s="3"/>
    </row>
    <row r="33" spans="5:5">
      <c r="E33" s="3"/>
    </row>
    <row r="34" spans="5:5">
      <c r="E34" s="3"/>
    </row>
    <row r="35" spans="5:5">
      <c r="E35" s="3"/>
    </row>
    <row r="36" spans="5:5">
      <c r="E36" s="3"/>
    </row>
    <row r="37" spans="5:5">
      <c r="E37" s="3"/>
    </row>
    <row r="38" spans="5:5">
      <c r="E38" s="3"/>
    </row>
    <row r="39" spans="5:5">
      <c r="E39" s="3"/>
    </row>
    <row r="40" spans="5:5">
      <c r="E40" s="3"/>
    </row>
    <row r="41" spans="5:5">
      <c r="E41" s="3"/>
    </row>
    <row r="42" spans="5:5">
      <c r="E42" s="3"/>
    </row>
    <row r="43" spans="5:5">
      <c r="E43" s="3"/>
    </row>
    <row r="44" spans="5:5">
      <c r="E44" s="3"/>
    </row>
    <row r="45" spans="5:5">
      <c r="E45" s="3"/>
    </row>
    <row r="46" spans="5:5">
      <c r="E46" s="3"/>
    </row>
    <row r="47" spans="5:5">
      <c r="E47" s="3"/>
    </row>
    <row r="48" spans="5:5">
      <c r="E48" s="3"/>
    </row>
    <row r="49" spans="5:5">
      <c r="E49" s="3"/>
    </row>
    <row r="50" spans="5:5">
      <c r="E50" s="3"/>
    </row>
    <row r="51" spans="5:5">
      <c r="E51" s="3"/>
    </row>
    <row r="52" spans="5:5">
      <c r="E52" s="3"/>
    </row>
    <row r="53" spans="5:5">
      <c r="E53" s="3"/>
    </row>
    <row r="54" spans="5:5">
      <c r="E54" s="3"/>
    </row>
    <row r="55" spans="5:5">
      <c r="E55" s="3"/>
    </row>
    <row r="56" spans="5:5">
      <c r="E56" s="3"/>
    </row>
    <row r="57" spans="5:5">
      <c r="E57" s="3"/>
    </row>
    <row r="58" spans="5:5">
      <c r="E58" s="3"/>
    </row>
    <row r="59" spans="5:5">
      <c r="E59" s="3"/>
    </row>
    <row r="60" spans="5:5">
      <c r="E60" s="3"/>
    </row>
    <row r="61" spans="5:5">
      <c r="E61" s="3"/>
    </row>
    <row r="62" spans="5:5">
      <c r="E62" s="3"/>
    </row>
    <row r="63" spans="5:5">
      <c r="E63" s="3"/>
    </row>
    <row r="64" spans="5:5">
      <c r="E64" s="3"/>
    </row>
    <row r="65" spans="5:5">
      <c r="E65" s="3"/>
    </row>
    <row r="66" spans="5:5">
      <c r="E66" s="3"/>
    </row>
    <row r="67" spans="5:5">
      <c r="E67" s="3"/>
    </row>
    <row r="68" spans="5:5">
      <c r="E68" s="3"/>
    </row>
    <row r="69" spans="5:5">
      <c r="E69" s="3"/>
    </row>
    <row r="70" spans="5:5">
      <c r="E70" s="3"/>
    </row>
    <row r="71" spans="5:5">
      <c r="E71" s="3"/>
    </row>
    <row r="72" spans="5:5">
      <c r="E72" s="3"/>
    </row>
    <row r="73" spans="5:5">
      <c r="E73" s="3"/>
    </row>
    <row r="74" spans="5:5">
      <c r="E74" s="3"/>
    </row>
    <row r="75" spans="5:5">
      <c r="E75" s="3"/>
    </row>
    <row r="76" spans="5:5">
      <c r="E76" s="3"/>
    </row>
    <row r="77" spans="5:5">
      <c r="E77" s="3"/>
    </row>
    <row r="78" spans="5:5">
      <c r="E78" s="3"/>
    </row>
    <row r="79" spans="5:5">
      <c r="E79" s="3"/>
    </row>
    <row r="80" spans="5:5">
      <c r="E80" s="3"/>
    </row>
    <row r="81" spans="5:5">
      <c r="E81" s="3"/>
    </row>
    <row r="82" spans="5:5">
      <c r="E82" s="3"/>
    </row>
    <row r="83" spans="5:5">
      <c r="E83" s="3"/>
    </row>
    <row r="84" spans="5:5">
      <c r="E84" s="3"/>
    </row>
    <row r="85" spans="5:5">
      <c r="E85" s="3"/>
    </row>
    <row r="86" spans="5:5">
      <c r="E86" s="3"/>
    </row>
    <row r="87" spans="5:5">
      <c r="E87" s="3"/>
    </row>
    <row r="88" spans="5:5">
      <c r="E88" s="3"/>
    </row>
    <row r="89" spans="5:5">
      <c r="E89" s="3"/>
    </row>
    <row r="90" spans="5:5">
      <c r="E90" s="3"/>
    </row>
    <row r="91" spans="5:5">
      <c r="E91" s="3"/>
    </row>
    <row r="92" spans="5:5">
      <c r="E92" s="3"/>
    </row>
    <row r="93" spans="5:5">
      <c r="E93" s="3"/>
    </row>
    <row r="94" spans="5:5">
      <c r="E94" s="3"/>
    </row>
    <row r="95" spans="5:5">
      <c r="E95" s="3"/>
    </row>
    <row r="96" spans="5:5">
      <c r="E96" s="3"/>
    </row>
    <row r="97" spans="5:5">
      <c r="E97" s="3"/>
    </row>
    <row r="98" spans="5:5">
      <c r="E98" s="3"/>
    </row>
    <row r="99" spans="5:5">
      <c r="E99" s="3"/>
    </row>
    <row r="100" spans="5:5">
      <c r="E100" s="3"/>
    </row>
    <row r="101" spans="5:5">
      <c r="E101" s="3"/>
    </row>
    <row r="102" spans="5:5">
      <c r="E102" s="3"/>
    </row>
    <row r="103" spans="5:5">
      <c r="E103" s="3"/>
    </row>
    <row r="104" spans="5:5">
      <c r="E104" s="3"/>
    </row>
    <row r="105" spans="5:5">
      <c r="E105" s="3"/>
    </row>
    <row r="106" spans="5:5">
      <c r="E106" s="3"/>
    </row>
    <row r="107" spans="5:5">
      <c r="E107" s="3"/>
    </row>
    <row r="108" spans="5:5">
      <c r="E108" s="3"/>
    </row>
    <row r="109" spans="5:5">
      <c r="E109" s="3"/>
    </row>
    <row r="110" spans="5:5">
      <c r="E110" s="3"/>
    </row>
    <row r="111" spans="5:5">
      <c r="E111" s="3"/>
    </row>
    <row r="112" spans="5:5">
      <c r="E112" s="3"/>
    </row>
    <row r="113" spans="5:5">
      <c r="E113" s="3"/>
    </row>
    <row r="114" spans="5:5">
      <c r="E114" s="3"/>
    </row>
    <row r="115" spans="5:5">
      <c r="E115" s="3"/>
    </row>
    <row r="116" spans="5:5">
      <c r="E116" s="3"/>
    </row>
    <row r="117" spans="5:5">
      <c r="E117" s="3"/>
    </row>
    <row r="118" spans="5:5">
      <c r="E118" s="3"/>
    </row>
    <row r="119" spans="5:5">
      <c r="E119" s="3"/>
    </row>
    <row r="120" spans="5:5">
      <c r="E120" s="3"/>
    </row>
    <row r="121" spans="5:5">
      <c r="E121" s="3"/>
    </row>
    <row r="122" spans="5:5">
      <c r="E122" s="3"/>
    </row>
    <row r="123" spans="5:5">
      <c r="E123" s="3"/>
    </row>
    <row r="124" spans="5:5">
      <c r="E124" s="3"/>
    </row>
    <row r="125" spans="5:5">
      <c r="E125" s="3"/>
    </row>
    <row r="126" spans="5:5">
      <c r="E126" s="3"/>
    </row>
    <row r="127" spans="5:5">
      <c r="E127" s="3"/>
    </row>
    <row r="128" spans="5:5">
      <c r="E128" s="3"/>
    </row>
    <row r="129" spans="5:5">
      <c r="E129" s="3"/>
    </row>
    <row r="130" spans="5:5">
      <c r="E130" s="3"/>
    </row>
    <row r="131" spans="5:5">
      <c r="E131" s="3"/>
    </row>
    <row r="132" spans="5:5">
      <c r="E132" s="3"/>
    </row>
    <row r="133" spans="5:5">
      <c r="E133" s="3"/>
    </row>
    <row r="134" spans="5:5">
      <c r="E134" s="3"/>
    </row>
    <row r="135" spans="5:5">
      <c r="E135" s="3"/>
    </row>
    <row r="136" spans="5:5">
      <c r="E136" s="3"/>
    </row>
    <row r="137" spans="5:5">
      <c r="E137" s="3"/>
    </row>
    <row r="138" spans="5:5">
      <c r="E138" s="3"/>
    </row>
    <row r="139" spans="5:5">
      <c r="E139" s="3"/>
    </row>
    <row r="140" spans="5:5">
      <c r="E140" s="3"/>
    </row>
    <row r="141" spans="5:5">
      <c r="E141" s="3"/>
    </row>
    <row r="142" spans="5:5">
      <c r="E142" s="3"/>
    </row>
    <row r="143" spans="5:5">
      <c r="E143" s="3"/>
    </row>
    <row r="144" spans="5:5">
      <c r="E144" s="3"/>
    </row>
    <row r="145" spans="5:5">
      <c r="E145" s="3"/>
    </row>
    <row r="146" spans="5:5">
      <c r="E146" s="3"/>
    </row>
    <row r="147" spans="5:5">
      <c r="E147" s="3"/>
    </row>
    <row r="148" spans="5:5">
      <c r="E148" s="3"/>
    </row>
    <row r="149" spans="5:5">
      <c r="E149" s="3"/>
    </row>
    <row r="150" spans="5:5">
      <c r="E150" s="3"/>
    </row>
    <row r="151" spans="5:5">
      <c r="E151" s="3"/>
    </row>
    <row r="152" spans="5:5">
      <c r="E152" s="3"/>
    </row>
    <row r="153" spans="5:5">
      <c r="E153" s="3"/>
    </row>
    <row r="154" spans="5:5">
      <c r="E154" s="3"/>
    </row>
    <row r="155" spans="5:5">
      <c r="E155" s="3"/>
    </row>
    <row r="156" spans="5:5">
      <c r="E156" s="3"/>
    </row>
    <row r="157" spans="5:5">
      <c r="E157" s="3"/>
    </row>
    <row r="158" spans="5:5">
      <c r="E158" s="3"/>
    </row>
    <row r="159" spans="5:5">
      <c r="E159" s="3"/>
    </row>
    <row r="160" spans="5:5">
      <c r="E160" s="3"/>
    </row>
    <row r="161" spans="5:5">
      <c r="E161" s="3"/>
    </row>
    <row r="162" spans="5:5">
      <c r="E162" s="3"/>
    </row>
    <row r="163" spans="5:5">
      <c r="E163" s="3"/>
    </row>
    <row r="164" spans="5:5">
      <c r="E164" s="3"/>
    </row>
    <row r="165" spans="5:5">
      <c r="E165" s="3"/>
    </row>
    <row r="166" spans="5:5">
      <c r="E166" s="3"/>
    </row>
    <row r="167" spans="5:5">
      <c r="E167" s="3"/>
    </row>
    <row r="168" spans="5:5">
      <c r="E168" s="3"/>
    </row>
    <row r="169" spans="5:5">
      <c r="E169" s="3"/>
    </row>
    <row r="170" spans="5:5">
      <c r="E170" s="3"/>
    </row>
    <row r="171" spans="5:5">
      <c r="E171" s="3"/>
    </row>
    <row r="172" spans="5:5">
      <c r="E172" s="3"/>
    </row>
    <row r="173" spans="5:5">
      <c r="E173" s="3"/>
    </row>
    <row r="174" spans="5:5">
      <c r="E174" s="3"/>
    </row>
    <row r="175" spans="5:5">
      <c r="E175" s="3"/>
    </row>
    <row r="176" spans="5:5">
      <c r="E176" s="3"/>
    </row>
    <row r="177" spans="5:5">
      <c r="E177" s="3"/>
    </row>
    <row r="178" spans="5:5">
      <c r="E178" s="3"/>
    </row>
    <row r="179" spans="5:5">
      <c r="E179" s="3"/>
    </row>
    <row r="180" spans="5:5">
      <c r="E180" s="3"/>
    </row>
    <row r="181" spans="5:5">
      <c r="E181" s="3"/>
    </row>
    <row r="182" spans="5:5">
      <c r="E182" s="3"/>
    </row>
    <row r="183" spans="5:5">
      <c r="E183" s="3"/>
    </row>
    <row r="184" spans="5:5">
      <c r="E184" s="3"/>
    </row>
    <row r="185" spans="5:5">
      <c r="E185" s="3"/>
    </row>
    <row r="186" spans="5:5">
      <c r="E186" s="3"/>
    </row>
    <row r="187" spans="5:5">
      <c r="E187" s="3"/>
    </row>
    <row r="188" spans="5:5">
      <c r="E188" s="3"/>
    </row>
    <row r="189" spans="5:5">
      <c r="E189" s="3"/>
    </row>
    <row r="190" spans="5:5">
      <c r="E190" s="3"/>
    </row>
    <row r="191" spans="5:5">
      <c r="E191" s="3"/>
    </row>
    <row r="192" spans="5:5">
      <c r="E192" s="3"/>
    </row>
    <row r="193" spans="5:5">
      <c r="E193" s="3"/>
    </row>
    <row r="194" spans="5:5">
      <c r="E194" s="3"/>
    </row>
    <row r="195" spans="5:5">
      <c r="E195" s="3"/>
    </row>
    <row r="196" spans="5:5">
      <c r="E196" s="3"/>
    </row>
    <row r="197" spans="5:5">
      <c r="E197" s="3"/>
    </row>
    <row r="198" spans="5:5">
      <c r="E198" s="3"/>
    </row>
    <row r="199" spans="5:5">
      <c r="E199" s="3"/>
    </row>
    <row r="200" spans="5:5">
      <c r="E200" s="3"/>
    </row>
    <row r="201" spans="5:5">
      <c r="E201" s="3"/>
    </row>
    <row r="202" spans="5:5">
      <c r="E202" s="3"/>
    </row>
    <row r="203" spans="5:5">
      <c r="E203" s="3"/>
    </row>
    <row r="204" spans="5:5">
      <c r="E204" s="3"/>
    </row>
    <row r="427" spans="5:5">
      <c r="E427" s="3"/>
    </row>
    <row r="428" spans="5:5">
      <c r="E428" s="3"/>
    </row>
    <row r="429" spans="5:5">
      <c r="E429" s="3"/>
    </row>
    <row r="430" spans="5:5">
      <c r="E430" s="3"/>
    </row>
    <row r="431" spans="5:5">
      <c r="E431" s="3"/>
    </row>
    <row r="432" spans="5:5">
      <c r="E432" s="3"/>
    </row>
    <row r="433" spans="5:5">
      <c r="E433" s="3"/>
    </row>
    <row r="434" spans="5:5">
      <c r="E434" s="3"/>
    </row>
    <row r="435" spans="5:5">
      <c r="E435" s="3"/>
    </row>
    <row r="436" spans="5:5">
      <c r="E436" s="3"/>
    </row>
    <row r="437" spans="5:5">
      <c r="E437" s="3"/>
    </row>
    <row r="438" spans="5:5">
      <c r="E438" s="3"/>
    </row>
    <row r="439" spans="5:5">
      <c r="E439" s="3"/>
    </row>
    <row r="440" spans="5:5">
      <c r="E440" s="3"/>
    </row>
    <row r="441" spans="5:5">
      <c r="E441" s="3"/>
    </row>
    <row r="442" spans="5:5">
      <c r="E442" s="3"/>
    </row>
    <row r="443" spans="5:5">
      <c r="E443" s="3"/>
    </row>
    <row r="444" spans="5:5">
      <c r="E444" s="3"/>
    </row>
    <row r="445" spans="5:5">
      <c r="E445" s="3"/>
    </row>
    <row r="446" spans="5:5">
      <c r="E446" s="3"/>
    </row>
    <row r="447" spans="5:5">
      <c r="E447" s="3"/>
    </row>
    <row r="448" spans="5:5">
      <c r="E448" s="3"/>
    </row>
    <row r="449" spans="5:5">
      <c r="E449" s="3"/>
    </row>
    <row r="450" spans="5:5">
      <c r="E450" s="3"/>
    </row>
    <row r="451" spans="5:5">
      <c r="E451" s="3"/>
    </row>
    <row r="452" spans="5:5">
      <c r="E452" s="3"/>
    </row>
    <row r="453" spans="5:5">
      <c r="E453" s="3"/>
    </row>
    <row r="454" spans="5:5">
      <c r="E454" s="3"/>
    </row>
    <row r="455" spans="5:5">
      <c r="E455" s="3"/>
    </row>
    <row r="456" spans="5:5">
      <c r="E456" s="3"/>
    </row>
    <row r="457" spans="5:5">
      <c r="E457" s="3"/>
    </row>
    <row r="458" spans="5:5">
      <c r="E458" s="3"/>
    </row>
    <row r="459" spans="5:5">
      <c r="E459" s="3"/>
    </row>
    <row r="460" spans="5:5">
      <c r="E460" s="3"/>
    </row>
    <row r="461" spans="5:5">
      <c r="E461" s="3"/>
    </row>
    <row r="462" spans="5:5">
      <c r="E462" s="3"/>
    </row>
    <row r="463" spans="5:5">
      <c r="E463" s="3"/>
    </row>
    <row r="464" spans="5:5">
      <c r="E464" s="3"/>
    </row>
    <row r="465" spans="5:5">
      <c r="E465" s="3"/>
    </row>
    <row r="466" spans="5:5">
      <c r="E466" s="3"/>
    </row>
    <row r="467" spans="5:5">
      <c r="E467" s="3"/>
    </row>
    <row r="468" spans="5:5">
      <c r="E468" s="3"/>
    </row>
    <row r="469" spans="5:5">
      <c r="E469" s="3"/>
    </row>
    <row r="470" spans="5:5">
      <c r="E470" s="3"/>
    </row>
    <row r="471" spans="5:5">
      <c r="E471" s="3"/>
    </row>
    <row r="472" spans="5:5">
      <c r="E472" s="3"/>
    </row>
    <row r="473" spans="5:5">
      <c r="E473" s="3"/>
    </row>
    <row r="474" spans="5:5">
      <c r="E474" s="3"/>
    </row>
    <row r="475" spans="5:5">
      <c r="E475" s="3"/>
    </row>
    <row r="476" spans="5:5">
      <c r="E476" s="3"/>
    </row>
    <row r="477" spans="5:5">
      <c r="E477" s="3"/>
    </row>
    <row r="478" spans="5:5">
      <c r="E478" s="3"/>
    </row>
    <row r="479" spans="5:5">
      <c r="E479" s="3"/>
    </row>
    <row r="480" spans="5:5">
      <c r="E480" s="3"/>
    </row>
    <row r="481" spans="5:5">
      <c r="E481" s="3"/>
    </row>
    <row r="482" spans="5:5">
      <c r="E482" s="3"/>
    </row>
    <row r="483" spans="5:5">
      <c r="E483" s="3"/>
    </row>
    <row r="484" spans="5:5">
      <c r="E484" s="3"/>
    </row>
    <row r="485" spans="5:5">
      <c r="E485" s="3"/>
    </row>
    <row r="486" spans="5:5">
      <c r="E486" s="3"/>
    </row>
    <row r="487" spans="5:5">
      <c r="E487" s="3"/>
    </row>
    <row r="488" spans="5:5">
      <c r="E488" s="3"/>
    </row>
    <row r="489" spans="5:5">
      <c r="E489" s="3"/>
    </row>
    <row r="490" spans="5:5">
      <c r="E490" s="3"/>
    </row>
    <row r="491" spans="5:5">
      <c r="E491" s="3"/>
    </row>
    <row r="492" spans="5:5">
      <c r="E492" s="3"/>
    </row>
    <row r="493" spans="5:5">
      <c r="E493" s="3"/>
    </row>
    <row r="494" spans="5:5">
      <c r="E494" s="3"/>
    </row>
    <row r="495" spans="5:5">
      <c r="E495" s="3"/>
    </row>
    <row r="496" spans="5:5">
      <c r="E496" s="3"/>
    </row>
    <row r="497" spans="5:5">
      <c r="E497" s="3"/>
    </row>
    <row r="498" spans="5:5">
      <c r="E498" s="3"/>
    </row>
    <row r="499" spans="5:5">
      <c r="E499" s="3"/>
    </row>
    <row r="500" spans="5:5">
      <c r="E500" s="3"/>
    </row>
    <row r="501" spans="5:5">
      <c r="E501" s="3"/>
    </row>
    <row r="502" spans="5:5">
      <c r="E502" s="3"/>
    </row>
    <row r="503" spans="5:5">
      <c r="E503" s="3"/>
    </row>
    <row r="504" spans="5:5">
      <c r="E504" s="3"/>
    </row>
    <row r="505" spans="5:5">
      <c r="E505" s="3"/>
    </row>
    <row r="506" spans="5:5">
      <c r="E506" s="3"/>
    </row>
    <row r="507" spans="5:5">
      <c r="E507" s="3"/>
    </row>
    <row r="508" spans="5:5">
      <c r="E508" s="3"/>
    </row>
    <row r="509" spans="5:5">
      <c r="E509" s="3"/>
    </row>
    <row r="510" spans="5:5">
      <c r="E510" s="3"/>
    </row>
    <row r="511" spans="5:5">
      <c r="E511" s="3"/>
    </row>
    <row r="512" spans="5:5">
      <c r="E512" s="3"/>
    </row>
    <row r="513" spans="5:5">
      <c r="E513" s="3"/>
    </row>
    <row r="514" spans="5:5">
      <c r="E514" s="3"/>
    </row>
    <row r="515" spans="5:5">
      <c r="E515" s="3"/>
    </row>
    <row r="516" spans="5:5">
      <c r="E516" s="3"/>
    </row>
    <row r="517" spans="5:5">
      <c r="E517" s="3"/>
    </row>
    <row r="518" spans="5:5">
      <c r="E518" s="3"/>
    </row>
    <row r="519" spans="5:5">
      <c r="E519" s="3"/>
    </row>
    <row r="520" spans="5:5">
      <c r="E520" s="3"/>
    </row>
    <row r="521" spans="5:5">
      <c r="E521" s="3"/>
    </row>
    <row r="522" spans="5:5">
      <c r="E522" s="3"/>
    </row>
    <row r="523" spans="5:5">
      <c r="E523" s="3"/>
    </row>
    <row r="524" spans="5:5">
      <c r="E524" s="3"/>
    </row>
    <row r="525" spans="5:5">
      <c r="E525" s="3"/>
    </row>
    <row r="526" spans="5:5">
      <c r="E526" s="3"/>
    </row>
    <row r="527" spans="5:5">
      <c r="E527" s="3"/>
    </row>
    <row r="528" spans="5:5">
      <c r="E528" s="3"/>
    </row>
    <row r="529" spans="5:5">
      <c r="E529" s="3"/>
    </row>
    <row r="530" spans="5:5">
      <c r="E530" s="3"/>
    </row>
    <row r="531" spans="5:5">
      <c r="E531" s="3"/>
    </row>
    <row r="532" spans="5:5">
      <c r="E532" s="3"/>
    </row>
    <row r="533" spans="5:5">
      <c r="E533" s="3"/>
    </row>
    <row r="534" spans="5:5">
      <c r="E534" s="3"/>
    </row>
    <row r="535" spans="5:5">
      <c r="E535" s="3"/>
    </row>
    <row r="536" spans="5:5">
      <c r="E536" s="3"/>
    </row>
    <row r="537" spans="5:5">
      <c r="E537" s="3"/>
    </row>
    <row r="538" spans="5:5">
      <c r="E538" s="3"/>
    </row>
    <row r="539" spans="5:5">
      <c r="E539" s="3"/>
    </row>
    <row r="540" spans="5:5">
      <c r="E540" s="3"/>
    </row>
    <row r="541" spans="5:5">
      <c r="E541" s="3"/>
    </row>
    <row r="542" spans="5:5">
      <c r="E542" s="3"/>
    </row>
    <row r="543" spans="5:5">
      <c r="E543" s="3"/>
    </row>
    <row r="544" spans="5:5">
      <c r="E544" s="3"/>
    </row>
    <row r="545" spans="5:5">
      <c r="E545" s="3"/>
    </row>
    <row r="546" spans="5:5">
      <c r="E546" s="3"/>
    </row>
    <row r="547" spans="5:5">
      <c r="E547" s="3"/>
    </row>
    <row r="548" spans="5:5">
      <c r="E548" s="3"/>
    </row>
    <row r="549" spans="5:5">
      <c r="E549" s="3"/>
    </row>
    <row r="550" spans="5:5">
      <c r="E550" s="3"/>
    </row>
    <row r="551" spans="5:5">
      <c r="E551" s="3"/>
    </row>
    <row r="552" spans="5:5">
      <c r="E552" s="3"/>
    </row>
    <row r="553" spans="5:5">
      <c r="E553" s="3"/>
    </row>
    <row r="554" spans="5:5">
      <c r="E554" s="3"/>
    </row>
    <row r="555" spans="5:5">
      <c r="E555" s="3"/>
    </row>
    <row r="556" spans="5:5">
      <c r="E556" s="3"/>
    </row>
    <row r="557" spans="5:5">
      <c r="E557" s="3"/>
    </row>
    <row r="558" spans="5:5">
      <c r="E558" s="3"/>
    </row>
    <row r="559" spans="5:5">
      <c r="E559" s="3"/>
    </row>
    <row r="560" spans="5:5">
      <c r="E560" s="3"/>
    </row>
    <row r="561" spans="5:5">
      <c r="E561" s="3"/>
    </row>
    <row r="562" spans="5:5">
      <c r="E562" s="3"/>
    </row>
    <row r="563" spans="5:5">
      <c r="E563" s="3"/>
    </row>
    <row r="564" spans="5:5">
      <c r="E564" s="3"/>
    </row>
    <row r="565" spans="5:5">
      <c r="E565" s="3"/>
    </row>
    <row r="566" spans="5:5">
      <c r="E566" s="3"/>
    </row>
    <row r="567" spans="5:5">
      <c r="E567" s="3"/>
    </row>
    <row r="568" spans="5:5">
      <c r="E568" s="3"/>
    </row>
    <row r="569" spans="5:5">
      <c r="E569" s="3"/>
    </row>
    <row r="570" spans="5:5">
      <c r="E570" s="3"/>
    </row>
    <row r="571" spans="5:5">
      <c r="E571" s="3"/>
    </row>
    <row r="572" spans="5:5">
      <c r="E572" s="3"/>
    </row>
    <row r="573" spans="5:5">
      <c r="E573" s="3"/>
    </row>
    <row r="574" spans="5:5">
      <c r="E574" s="3"/>
    </row>
    <row r="575" spans="5:5">
      <c r="E575" s="3"/>
    </row>
    <row r="576" spans="5:5">
      <c r="E576" s="3"/>
    </row>
    <row r="577" spans="5:5">
      <c r="E577" s="3"/>
    </row>
    <row r="578" spans="5:5">
      <c r="E578" s="3"/>
    </row>
    <row r="579" spans="5:5">
      <c r="E579" s="3"/>
    </row>
    <row r="580" spans="5:5">
      <c r="E580" s="3"/>
    </row>
    <row r="581" spans="5:5">
      <c r="E581" s="3"/>
    </row>
    <row r="582" spans="5:5">
      <c r="E582" s="3"/>
    </row>
    <row r="583" spans="5:5">
      <c r="E583" s="3"/>
    </row>
    <row r="584" spans="5:5">
      <c r="E584" s="3"/>
    </row>
    <row r="585" spans="5:5">
      <c r="E585" s="3"/>
    </row>
    <row r="586" spans="5:5">
      <c r="E586" s="3"/>
    </row>
    <row r="587" spans="5:5">
      <c r="E587" s="3"/>
    </row>
    <row r="588" spans="5:5">
      <c r="E588" s="3"/>
    </row>
    <row r="589" spans="5:5">
      <c r="E589" s="3"/>
    </row>
    <row r="590" spans="5:5">
      <c r="E590" s="3"/>
    </row>
    <row r="591" spans="5:5">
      <c r="E591" s="3"/>
    </row>
    <row r="592" spans="5:5">
      <c r="E592" s="3"/>
    </row>
    <row r="593" spans="5:5">
      <c r="E593" s="3"/>
    </row>
    <row r="594" spans="5:5">
      <c r="E594" s="3"/>
    </row>
    <row r="595" spans="5:5">
      <c r="E595" s="3"/>
    </row>
    <row r="596" spans="5:5">
      <c r="E596" s="3"/>
    </row>
    <row r="597" spans="5:5">
      <c r="E597" s="3"/>
    </row>
    <row r="598" spans="5:5">
      <c r="E598" s="3"/>
    </row>
    <row r="599" spans="5:5">
      <c r="E599" s="3"/>
    </row>
    <row r="600" spans="5:5">
      <c r="E600" s="3"/>
    </row>
    <row r="601" spans="5:5">
      <c r="E601" s="3"/>
    </row>
    <row r="602" spans="5:5">
      <c r="E602" s="3"/>
    </row>
    <row r="603" spans="5:5">
      <c r="E603" s="3"/>
    </row>
    <row r="604" spans="5:5">
      <c r="E604" s="3"/>
    </row>
    <row r="605" spans="5:5">
      <c r="E605" s="3"/>
    </row>
    <row r="606" spans="5:5">
      <c r="E606" s="3"/>
    </row>
    <row r="607" spans="5:5">
      <c r="E607" s="3"/>
    </row>
    <row r="608" spans="5:5">
      <c r="E608" s="3"/>
    </row>
    <row r="609" spans="5:5">
      <c r="E609" s="3"/>
    </row>
    <row r="610" spans="5:5">
      <c r="E610" s="3"/>
    </row>
    <row r="611" spans="5:5">
      <c r="E611" s="3"/>
    </row>
    <row r="612" spans="5:5">
      <c r="E612" s="3"/>
    </row>
    <row r="613" spans="5:5">
      <c r="E613" s="3"/>
    </row>
    <row r="614" spans="5:5">
      <c r="E614" s="3"/>
    </row>
    <row r="615" spans="5:5">
      <c r="E615" s="3"/>
    </row>
    <row r="616" spans="5:5">
      <c r="E616" s="3"/>
    </row>
    <row r="617" spans="5:5">
      <c r="E617" s="3"/>
    </row>
    <row r="618" spans="5:5">
      <c r="E618" s="3"/>
    </row>
    <row r="619" spans="5:5">
      <c r="E619" s="3"/>
    </row>
    <row r="620" spans="5:5">
      <c r="E620" s="3"/>
    </row>
    <row r="621" spans="5:5">
      <c r="E621" s="3"/>
    </row>
    <row r="622" spans="5:5">
      <c r="E622" s="3"/>
    </row>
    <row r="623" spans="5:5">
      <c r="E623" s="3"/>
    </row>
    <row r="624" spans="5:5">
      <c r="E624" s="3"/>
    </row>
    <row r="625" spans="5:5">
      <c r="E625" s="3"/>
    </row>
    <row r="626" spans="5:5">
      <c r="E626" s="3"/>
    </row>
    <row r="627" spans="5:5">
      <c r="E627" s="3"/>
    </row>
    <row r="628" spans="5:5">
      <c r="E628" s="3"/>
    </row>
    <row r="629" spans="5:5">
      <c r="E629" s="3"/>
    </row>
    <row r="630" spans="5:5">
      <c r="E630" s="3"/>
    </row>
    <row r="631" spans="5:5">
      <c r="E631" s="3"/>
    </row>
    <row r="632" spans="5:5">
      <c r="E632" s="3"/>
    </row>
    <row r="633" spans="5:5">
      <c r="E633" s="3"/>
    </row>
    <row r="634" spans="5:5">
      <c r="E634" s="3"/>
    </row>
    <row r="635" spans="5:5">
      <c r="E635" s="3"/>
    </row>
    <row r="636" spans="5:5">
      <c r="E636" s="3"/>
    </row>
    <row r="637" spans="5:5">
      <c r="E637" s="3"/>
    </row>
    <row r="638" spans="5:5">
      <c r="E638" s="3"/>
    </row>
    <row r="639" spans="5:5">
      <c r="E639" s="3"/>
    </row>
    <row r="640" spans="5:5">
      <c r="E640" s="3"/>
    </row>
    <row r="641" spans="5:5">
      <c r="E641" s="3"/>
    </row>
    <row r="642" spans="5:5">
      <c r="E642" s="3"/>
    </row>
    <row r="643" spans="5:5">
      <c r="E643" s="3"/>
    </row>
    <row r="644" spans="5:5">
      <c r="E644" s="3"/>
    </row>
    <row r="645" spans="5:5">
      <c r="E645" s="3"/>
    </row>
    <row r="646" spans="5:5">
      <c r="E646" s="3"/>
    </row>
    <row r="647" spans="5:5">
      <c r="E647" s="3"/>
    </row>
    <row r="648" spans="5:5">
      <c r="E648" s="3"/>
    </row>
    <row r="649" spans="5:5">
      <c r="E649" s="3"/>
    </row>
    <row r="650" spans="5:5">
      <c r="E650" s="3"/>
    </row>
    <row r="651" spans="5:5">
      <c r="E651" s="3"/>
    </row>
    <row r="652" spans="5:5">
      <c r="E652" s="3"/>
    </row>
    <row r="653" spans="5:5">
      <c r="E653" s="3"/>
    </row>
    <row r="654" spans="5:5">
      <c r="E654" s="3"/>
    </row>
    <row r="655" spans="5:5">
      <c r="E655" s="3"/>
    </row>
    <row r="656" spans="5:5">
      <c r="E656" s="3"/>
    </row>
    <row r="657" spans="5:5">
      <c r="E657" s="3"/>
    </row>
    <row r="658" spans="5:5">
      <c r="E658" s="3"/>
    </row>
    <row r="659" spans="5:5">
      <c r="E659" s="3"/>
    </row>
    <row r="660" spans="5:5">
      <c r="E660" s="3"/>
    </row>
    <row r="661" spans="5:5">
      <c r="E661" s="3"/>
    </row>
    <row r="662" spans="5:5">
      <c r="E662" s="3"/>
    </row>
    <row r="663" spans="5:5">
      <c r="E663" s="3"/>
    </row>
    <row r="664" spans="5:5">
      <c r="E664" s="3"/>
    </row>
    <row r="665" spans="5:5">
      <c r="E665" s="3"/>
    </row>
    <row r="666" spans="5:5">
      <c r="E666" s="3"/>
    </row>
    <row r="667" spans="5:5">
      <c r="E667" s="3"/>
    </row>
    <row r="668" spans="5:5">
      <c r="E668" s="3"/>
    </row>
    <row r="669" spans="5:5">
      <c r="E669" s="3"/>
    </row>
    <row r="670" spans="5:5">
      <c r="E670" s="3"/>
    </row>
    <row r="671" spans="5:5">
      <c r="E671" s="3"/>
    </row>
    <row r="672" spans="5:5">
      <c r="E672" s="3"/>
    </row>
    <row r="673" spans="5:5">
      <c r="E673" s="3"/>
    </row>
    <row r="674" spans="5:5">
      <c r="E674" s="3"/>
    </row>
    <row r="675" spans="5:5">
      <c r="E675" s="3"/>
    </row>
    <row r="676" spans="5:5">
      <c r="E676" s="3"/>
    </row>
    <row r="677" spans="5:5">
      <c r="E677" s="3"/>
    </row>
    <row r="678" spans="5:5">
      <c r="E678" s="3"/>
    </row>
    <row r="679" spans="5:5">
      <c r="E679" s="3"/>
    </row>
    <row r="680" spans="5:5">
      <c r="E680" s="3"/>
    </row>
    <row r="681" spans="5:5">
      <c r="E681" s="3"/>
    </row>
    <row r="682" spans="5:5">
      <c r="E682" s="3"/>
    </row>
    <row r="683" spans="5:5">
      <c r="E683" s="3"/>
    </row>
    <row r="684" spans="5:5">
      <c r="E684" s="3"/>
    </row>
    <row r="685" spans="5:5">
      <c r="E685" s="3"/>
    </row>
    <row r="686" spans="5:5">
      <c r="E686" s="3"/>
    </row>
    <row r="687" spans="5:5">
      <c r="E687" s="3"/>
    </row>
    <row r="688" spans="5:5">
      <c r="E688" s="3"/>
    </row>
    <row r="689" spans="5:5">
      <c r="E689" s="3"/>
    </row>
    <row r="690" spans="5:5">
      <c r="E690" s="3"/>
    </row>
    <row r="691" spans="5:5">
      <c r="E691" s="3"/>
    </row>
    <row r="692" spans="5:5">
      <c r="E692" s="3"/>
    </row>
    <row r="693" spans="5:5">
      <c r="E693" s="3"/>
    </row>
    <row r="694" spans="5:5">
      <c r="E694" s="3"/>
    </row>
    <row r="695" spans="5:5">
      <c r="E695" s="3"/>
    </row>
    <row r="696" spans="5:5">
      <c r="E696" s="3"/>
    </row>
    <row r="697" spans="5:5">
      <c r="E697" s="3"/>
    </row>
    <row r="698" spans="5:5">
      <c r="E698" s="3"/>
    </row>
    <row r="699" spans="5:5">
      <c r="E699" s="3"/>
    </row>
    <row r="700" spans="5:5">
      <c r="E700" s="3"/>
    </row>
    <row r="701" spans="5:5">
      <c r="E701" s="3"/>
    </row>
    <row r="702" spans="5:5">
      <c r="E702" s="3"/>
    </row>
    <row r="703" spans="5:5">
      <c r="E703" s="3"/>
    </row>
    <row r="704" spans="5:5">
      <c r="E704" s="3"/>
    </row>
    <row r="705" spans="5:5">
      <c r="E705" s="3"/>
    </row>
    <row r="706" spans="5:5">
      <c r="E706" s="3"/>
    </row>
    <row r="707" spans="5:5">
      <c r="E707" s="3"/>
    </row>
    <row r="708" spans="5:5">
      <c r="E708" s="3"/>
    </row>
    <row r="709" spans="5:5">
      <c r="E709" s="3"/>
    </row>
    <row r="710" spans="5:5">
      <c r="E710" s="3"/>
    </row>
    <row r="711" spans="5:5">
      <c r="E711" s="3"/>
    </row>
    <row r="712" spans="5:5">
      <c r="E712" s="3"/>
    </row>
    <row r="713" spans="5:5">
      <c r="E713" s="3"/>
    </row>
    <row r="714" spans="5:5">
      <c r="E714" s="3"/>
    </row>
    <row r="715" spans="5:5">
      <c r="E715" s="3"/>
    </row>
    <row r="716" spans="5:5">
      <c r="E716" s="3"/>
    </row>
    <row r="717" spans="5:5">
      <c r="E717" s="3"/>
    </row>
    <row r="718" spans="5:5">
      <c r="E718" s="3"/>
    </row>
    <row r="719" spans="5:5">
      <c r="E719" s="3"/>
    </row>
    <row r="720" spans="5:5">
      <c r="E720" s="3"/>
    </row>
    <row r="721" spans="5:5">
      <c r="E721" s="3"/>
    </row>
    <row r="722" spans="5:5">
      <c r="E722" s="3"/>
    </row>
    <row r="723" spans="5:5">
      <c r="E723" s="3"/>
    </row>
    <row r="724" spans="5:5">
      <c r="E724" s="3"/>
    </row>
    <row r="725" spans="5:5">
      <c r="E725" s="3"/>
    </row>
    <row r="726" spans="5:5">
      <c r="E726" s="3"/>
    </row>
    <row r="727" spans="5:5">
      <c r="E727" s="3"/>
    </row>
    <row r="728" spans="5:5">
      <c r="E728" s="3"/>
    </row>
    <row r="729" spans="5:5">
      <c r="E729" s="3"/>
    </row>
    <row r="730" spans="5:5">
      <c r="E730" s="3"/>
    </row>
    <row r="731" spans="5:5">
      <c r="E731" s="3"/>
    </row>
    <row r="732" spans="5:5">
      <c r="E732" s="3"/>
    </row>
    <row r="733" spans="5:5">
      <c r="E733" s="3"/>
    </row>
    <row r="734" spans="5:5">
      <c r="E734" s="3"/>
    </row>
    <row r="735" spans="5:5">
      <c r="E735" s="3"/>
    </row>
    <row r="736" spans="5:5">
      <c r="E736" s="3"/>
    </row>
    <row r="737" spans="5:5">
      <c r="E737" s="3"/>
    </row>
    <row r="738" spans="5:5">
      <c r="E738" s="3"/>
    </row>
    <row r="739" spans="5:5">
      <c r="E739" s="3"/>
    </row>
    <row r="740" spans="5:5">
      <c r="E740" s="3"/>
    </row>
    <row r="741" spans="5:5">
      <c r="E741" s="3"/>
    </row>
    <row r="742" spans="5:5">
      <c r="E742" s="3"/>
    </row>
    <row r="743" spans="5:5">
      <c r="E743" s="3"/>
    </row>
    <row r="744" spans="5:5">
      <c r="E744" s="3"/>
    </row>
    <row r="745" spans="5:5">
      <c r="E745" s="3"/>
    </row>
    <row r="746" spans="5:5">
      <c r="E746" s="3"/>
    </row>
    <row r="747" spans="5:5">
      <c r="E747" s="3"/>
    </row>
    <row r="748" spans="5:5">
      <c r="E748" s="3"/>
    </row>
    <row r="749" spans="5:5">
      <c r="E749" s="3"/>
    </row>
    <row r="750" spans="5:5">
      <c r="E750" s="3"/>
    </row>
    <row r="751" spans="5:5">
      <c r="E751" s="3"/>
    </row>
    <row r="752" spans="5:5">
      <c r="E752" s="3"/>
    </row>
    <row r="753" spans="5:5">
      <c r="E753" s="3"/>
    </row>
    <row r="754" spans="5:5">
      <c r="E754" s="3"/>
    </row>
    <row r="755" spans="5:5">
      <c r="E755" s="3"/>
    </row>
    <row r="756" spans="5:5">
      <c r="E756" s="3"/>
    </row>
    <row r="757" spans="5:5">
      <c r="E757" s="3"/>
    </row>
    <row r="758" spans="5:5">
      <c r="E758" s="3"/>
    </row>
    <row r="759" spans="5:5">
      <c r="E759" s="3"/>
    </row>
    <row r="760" spans="5:5">
      <c r="E760" s="3"/>
    </row>
    <row r="761" spans="5:5">
      <c r="E761" s="3"/>
    </row>
    <row r="762" spans="5:5">
      <c r="E762" s="3"/>
    </row>
    <row r="763" spans="5:5">
      <c r="E763" s="3"/>
    </row>
    <row r="764" spans="5:5">
      <c r="E764" s="3"/>
    </row>
    <row r="765" spans="5:5">
      <c r="E765" s="3"/>
    </row>
    <row r="766" spans="5:5">
      <c r="E766" s="3"/>
    </row>
    <row r="767" spans="5:5">
      <c r="E767" s="3"/>
    </row>
    <row r="768" spans="5:5">
      <c r="E768" s="3"/>
    </row>
    <row r="769" spans="5:5">
      <c r="E769" s="3"/>
    </row>
    <row r="770" spans="5:5">
      <c r="E770" s="3"/>
    </row>
    <row r="771" spans="5:5">
      <c r="E771" s="3"/>
    </row>
    <row r="772" spans="5:5">
      <c r="E772" s="3"/>
    </row>
    <row r="773" spans="5:5">
      <c r="E773" s="3"/>
    </row>
    <row r="774" spans="5:5">
      <c r="E774" s="3"/>
    </row>
    <row r="794" spans="5:5">
      <c r="E794" s="3"/>
    </row>
    <row r="795" spans="5:5">
      <c r="E795" s="3"/>
    </row>
    <row r="796" spans="5:5">
      <c r="E796" s="3"/>
    </row>
    <row r="797" spans="5:5">
      <c r="E797" s="3"/>
    </row>
    <row r="798" spans="5:5">
      <c r="E798" s="3"/>
    </row>
    <row r="801" spans="5:5">
      <c r="E801" s="3"/>
    </row>
    <row r="802" spans="5:5">
      <c r="E802" s="3"/>
    </row>
    <row r="803" spans="5:5">
      <c r="E803" s="3"/>
    </row>
    <row r="804" spans="5:5">
      <c r="E804" s="3"/>
    </row>
    <row r="805" spans="5:5">
      <c r="E805" s="3"/>
    </row>
    <row r="806" spans="5:5">
      <c r="E806" s="3"/>
    </row>
    <row r="807" spans="5:5">
      <c r="E807" s="3"/>
    </row>
    <row r="808" spans="5:5">
      <c r="E808" s="3"/>
    </row>
    <row r="809" spans="5:5">
      <c r="E809" s="3"/>
    </row>
    <row r="810" spans="5:5">
      <c r="E810" s="3"/>
    </row>
    <row r="811" spans="5:5">
      <c r="E811" s="3"/>
    </row>
    <row r="815" spans="5:5">
      <c r="E815" s="3"/>
    </row>
    <row r="819" spans="5:5">
      <c r="E819" s="3"/>
    </row>
    <row r="820" spans="5:5">
      <c r="E820" s="3"/>
    </row>
    <row r="821" spans="5:5">
      <c r="E821" s="3"/>
    </row>
    <row r="822" spans="5:5">
      <c r="E822" s="3"/>
    </row>
    <row r="823" spans="5:5">
      <c r="E823" s="3"/>
    </row>
    <row r="896" spans="5:5">
      <c r="E896" s="3"/>
    </row>
    <row r="897" spans="5:5">
      <c r="E897" s="3"/>
    </row>
    <row r="898" spans="5:5">
      <c r="E898" s="3"/>
    </row>
    <row r="899" spans="5:5">
      <c r="E899" s="3"/>
    </row>
    <row r="900" spans="5:5">
      <c r="E900" s="3"/>
    </row>
    <row r="901" spans="5:5">
      <c r="E901" s="3"/>
    </row>
    <row r="902" spans="5:5">
      <c r="E902" s="3"/>
    </row>
    <row r="903" spans="5:5">
      <c r="E903" s="3"/>
    </row>
    <row r="904" spans="5:5">
      <c r="E904" s="3"/>
    </row>
    <row r="905" spans="5:5">
      <c r="E905" s="3"/>
    </row>
    <row r="906" spans="5:5">
      <c r="E906" s="3"/>
    </row>
    <row r="907" spans="5:5">
      <c r="E907" s="3"/>
    </row>
    <row r="908" spans="5:5">
      <c r="E908" s="3"/>
    </row>
    <row r="909" spans="5:5">
      <c r="E909" s="3"/>
    </row>
    <row r="910" spans="5:5">
      <c r="E910" s="3"/>
    </row>
    <row r="911" spans="5:5">
      <c r="E911" s="3"/>
    </row>
    <row r="912" spans="5:5">
      <c r="E912" s="3"/>
    </row>
    <row r="913" spans="5:5">
      <c r="E913" s="3"/>
    </row>
    <row r="914" spans="5:5">
      <c r="E914" s="3"/>
    </row>
    <row r="915" spans="5:5">
      <c r="E915" s="3"/>
    </row>
    <row r="928" spans="5:5">
      <c r="E928" s="3"/>
    </row>
    <row r="929" spans="5:5">
      <c r="E929" s="3"/>
    </row>
    <row r="930" spans="5:5">
      <c r="E930" s="3"/>
    </row>
    <row r="931" spans="5:5">
      <c r="E931" s="3"/>
    </row>
    <row r="932" spans="5:5">
      <c r="E932" s="3"/>
    </row>
    <row r="933" spans="5:5">
      <c r="E933" s="3"/>
    </row>
    <row r="934" spans="5:5">
      <c r="E934" s="3"/>
    </row>
    <row r="935" spans="5:5">
      <c r="E935" s="3"/>
    </row>
    <row r="936" spans="5:5">
      <c r="E936" s="3"/>
    </row>
    <row r="937" spans="5:5">
      <c r="E937" s="3"/>
    </row>
    <row r="938" spans="5:5">
      <c r="E938" s="3"/>
    </row>
    <row r="939" spans="5:5">
      <c r="E939" s="3"/>
    </row>
    <row r="940" spans="5:5">
      <c r="E940" s="3"/>
    </row>
    <row r="941" spans="5:5">
      <c r="E941" s="3"/>
    </row>
    <row r="942" spans="5:5">
      <c r="E942" s="3"/>
    </row>
    <row r="992" spans="5:5">
      <c r="E992" s="3"/>
    </row>
    <row r="993" spans="5:5">
      <c r="E993" s="3"/>
    </row>
    <row r="994" spans="5:5">
      <c r="E994" s="3"/>
    </row>
    <row r="995" spans="5:5">
      <c r="E995" s="3"/>
    </row>
    <row r="996" spans="5:5">
      <c r="E996" s="3"/>
    </row>
    <row r="997" spans="5:5">
      <c r="E997" s="3"/>
    </row>
    <row r="998" spans="5:5">
      <c r="E998" s="3"/>
    </row>
    <row r="999" spans="5:5">
      <c r="E999" s="3"/>
    </row>
    <row r="1000" spans="5:5">
      <c r="E1000" s="3"/>
    </row>
    <row r="1001" spans="5:5">
      <c r="E1001" s="3"/>
    </row>
    <row r="1024" spans="5:5">
      <c r="E1024" s="3"/>
    </row>
    <row r="1025" spans="5:5">
      <c r="E1025" s="3"/>
    </row>
    <row r="1032" spans="5:5">
      <c r="E1032" s="3"/>
    </row>
    <row r="1033" spans="5:5">
      <c r="E1033" s="3"/>
    </row>
    <row r="1034" spans="5:5">
      <c r="E1034" s="3"/>
    </row>
    <row r="1035" spans="5:5">
      <c r="E1035" s="3"/>
    </row>
    <row r="1036" spans="5:5">
      <c r="E1036" s="3"/>
    </row>
    <row r="1037" spans="5:5">
      <c r="E1037" s="3"/>
    </row>
    <row r="1038" spans="5:5">
      <c r="E1038" s="3"/>
    </row>
    <row r="1039" spans="5:5">
      <c r="E1039" s="3"/>
    </row>
    <row r="1040" spans="5:5">
      <c r="E1040" s="3"/>
    </row>
    <row r="1041" spans="5:5">
      <c r="E1041" s="3"/>
    </row>
    <row r="1042" spans="5:5">
      <c r="E1042" s="3"/>
    </row>
    <row r="1043" spans="5:5">
      <c r="E1043" s="3"/>
    </row>
    <row r="1044" spans="5:5">
      <c r="E1044" s="3"/>
    </row>
    <row r="1045" spans="5:5">
      <c r="E1045" s="3"/>
    </row>
    <row r="1046" spans="5:5">
      <c r="E1046" s="3"/>
    </row>
    <row r="1047" spans="5:5">
      <c r="E1047" s="3"/>
    </row>
    <row r="1048" spans="5:5">
      <c r="E1048" s="3"/>
    </row>
    <row r="1049" spans="5:5">
      <c r="E1049" s="3"/>
    </row>
    <row r="1050" spans="5:5">
      <c r="E1050" s="3"/>
    </row>
    <row r="1051" spans="5:5">
      <c r="E1051" s="3"/>
    </row>
    <row r="1052" spans="5:5">
      <c r="E1052" s="3"/>
    </row>
    <row r="1053" spans="5:5">
      <c r="E1053" s="3"/>
    </row>
    <row r="1054" spans="5:5">
      <c r="E1054" s="3"/>
    </row>
    <row r="1055" spans="5:5">
      <c r="E1055" s="3"/>
    </row>
    <row r="1056" spans="5:5">
      <c r="E1056" s="3"/>
    </row>
    <row r="1057" spans="5:5">
      <c r="E1057" s="3"/>
    </row>
    <row r="1058" spans="5:5">
      <c r="E1058" s="3"/>
    </row>
    <row r="1059" spans="5:5">
      <c r="E1059" s="3"/>
    </row>
    <row r="1060" spans="5:5">
      <c r="E1060" s="3"/>
    </row>
    <row r="1061" spans="5:5">
      <c r="E1061" s="3"/>
    </row>
    <row r="1062" spans="5:5">
      <c r="E1062" s="3"/>
    </row>
    <row r="1063" spans="5:5">
      <c r="E1063" s="3"/>
    </row>
    <row r="1064" spans="5:5">
      <c r="E1064" s="3"/>
    </row>
    <row r="1065" spans="5:5">
      <c r="E1065" s="3"/>
    </row>
    <row r="1066" spans="5:5">
      <c r="E1066" s="3"/>
    </row>
    <row r="1067" spans="5:5">
      <c r="E1067" s="3"/>
    </row>
    <row r="1068" spans="5:5">
      <c r="E1068" s="3"/>
    </row>
    <row r="1069" spans="5:5">
      <c r="E1069" s="3"/>
    </row>
    <row r="1070" spans="5:5">
      <c r="E1070" s="3"/>
    </row>
    <row r="1071" spans="5:5">
      <c r="E1071" s="3"/>
    </row>
    <row r="1072" spans="5:5">
      <c r="E1072" s="3"/>
    </row>
    <row r="1073" spans="5:5">
      <c r="E1073" s="3"/>
    </row>
    <row r="1074" spans="5:5">
      <c r="E1074" s="3"/>
    </row>
    <row r="1075" spans="5:5">
      <c r="E1075" s="3"/>
    </row>
    <row r="1076" spans="5:5">
      <c r="E1076" s="3"/>
    </row>
    <row r="1077" spans="5:5">
      <c r="E1077" s="3"/>
    </row>
    <row r="1078" spans="5:5">
      <c r="E1078" s="3"/>
    </row>
    <row r="1079" spans="5:5">
      <c r="E1079" s="3"/>
    </row>
    <row r="1080" spans="5:5">
      <c r="E1080" s="3"/>
    </row>
    <row r="1081" spans="5:5">
      <c r="E1081" s="3"/>
    </row>
    <row r="1082" spans="5:5">
      <c r="E1082" s="3"/>
    </row>
    <row r="1083" spans="5:5">
      <c r="E1083" s="3"/>
    </row>
    <row r="1084" spans="5:5">
      <c r="E1084" s="3"/>
    </row>
    <row r="1085" spans="5:5">
      <c r="E1085" s="3"/>
    </row>
    <row r="1086" spans="5:5">
      <c r="E1086" s="3"/>
    </row>
    <row r="1087" spans="5:5">
      <c r="E1087" s="3"/>
    </row>
    <row r="1088" spans="5:5">
      <c r="E1088" s="3"/>
    </row>
    <row r="1089" spans="5:5">
      <c r="E1089" s="3"/>
    </row>
    <row r="1090" spans="5:5">
      <c r="E1090" s="3"/>
    </row>
    <row r="1091" spans="5:5">
      <c r="E1091" s="3"/>
    </row>
    <row r="1092" spans="5:5">
      <c r="E1092" s="3"/>
    </row>
    <row r="1093" spans="5:5">
      <c r="E1093" s="3"/>
    </row>
    <row r="1094" spans="5:5">
      <c r="E1094" s="3"/>
    </row>
    <row r="1095" spans="5:5">
      <c r="E1095" s="3"/>
    </row>
    <row r="1096" spans="5:5">
      <c r="E1096" s="3"/>
    </row>
    <row r="1097" spans="5:5">
      <c r="E1097" s="3"/>
    </row>
    <row r="1098" spans="5:5">
      <c r="E1098" s="3"/>
    </row>
    <row r="1099" spans="5:5">
      <c r="E1099" s="3"/>
    </row>
    <row r="1100" spans="5:5">
      <c r="E1100" s="3"/>
    </row>
    <row r="1101" spans="5:5">
      <c r="E1101" s="3"/>
    </row>
    <row r="1102" spans="5:5">
      <c r="E1102" s="3"/>
    </row>
    <row r="1103" spans="5:5">
      <c r="E1103" s="3"/>
    </row>
    <row r="1104" spans="5:5">
      <c r="E1104" s="3"/>
    </row>
    <row r="1105" spans="5:5">
      <c r="E1105" s="3"/>
    </row>
    <row r="1106" spans="5:5">
      <c r="E1106" s="3"/>
    </row>
    <row r="1107" spans="5:5">
      <c r="E1107" s="3"/>
    </row>
    <row r="1108" spans="5:5">
      <c r="E1108" s="3"/>
    </row>
    <row r="1109" spans="5:5">
      <c r="E1109" s="3"/>
    </row>
    <row r="1110" spans="5:5">
      <c r="E1110" s="3"/>
    </row>
    <row r="1111" spans="5:5">
      <c r="E1111" s="3"/>
    </row>
    <row r="1112" spans="5:5">
      <c r="E1112" s="3"/>
    </row>
    <row r="1113" spans="5:5">
      <c r="E1113" s="3"/>
    </row>
    <row r="1114" spans="5:5">
      <c r="E1114" s="3"/>
    </row>
    <row r="1115" spans="5:5">
      <c r="E1115" s="3"/>
    </row>
    <row r="1116" spans="5:5">
      <c r="E1116" s="3"/>
    </row>
    <row r="1117" spans="5:5">
      <c r="E1117" s="3"/>
    </row>
    <row r="1118" spans="5:5">
      <c r="E1118" s="3"/>
    </row>
    <row r="1119" spans="5:5">
      <c r="E1119" s="3"/>
    </row>
    <row r="1120" spans="5:5">
      <c r="E1120" s="3"/>
    </row>
    <row r="1121" spans="5:5">
      <c r="E1121" s="3"/>
    </row>
    <row r="1122" spans="5:5">
      <c r="E1122" s="3"/>
    </row>
    <row r="1123" spans="5:5">
      <c r="E1123" s="3"/>
    </row>
    <row r="1124" spans="5:5">
      <c r="E1124" s="3"/>
    </row>
    <row r="1125" spans="5:5">
      <c r="E1125" s="3"/>
    </row>
    <row r="1126" spans="5:5">
      <c r="E1126" s="3"/>
    </row>
    <row r="1127" spans="5:5">
      <c r="E1127" s="3"/>
    </row>
    <row r="1128" spans="5:5">
      <c r="E1128" s="3"/>
    </row>
    <row r="1129" spans="5:5">
      <c r="E1129" s="3"/>
    </row>
    <row r="1130" spans="5:5">
      <c r="E1130" s="3"/>
    </row>
    <row r="1131" spans="5:5">
      <c r="E1131" s="3"/>
    </row>
    <row r="1132" spans="5:5">
      <c r="E1132" s="3"/>
    </row>
    <row r="1133" spans="5:5">
      <c r="E1133" s="3"/>
    </row>
    <row r="1134" spans="5:5">
      <c r="E1134" s="3"/>
    </row>
    <row r="1135" spans="5:5">
      <c r="E1135" s="3"/>
    </row>
    <row r="1136" spans="5:5">
      <c r="E1136" s="3"/>
    </row>
    <row r="1137" spans="5:5">
      <c r="E1137" s="3"/>
    </row>
    <row r="1138" spans="5:5">
      <c r="E1138" s="3"/>
    </row>
    <row r="1139" spans="5:5">
      <c r="E1139" s="3"/>
    </row>
    <row r="1140" spans="5:5">
      <c r="E1140" s="3"/>
    </row>
    <row r="1141" spans="5:5">
      <c r="E1141" s="3"/>
    </row>
    <row r="1142" spans="5:5">
      <c r="E1142" s="3"/>
    </row>
    <row r="1143" spans="5:5">
      <c r="E1143" s="3"/>
    </row>
    <row r="1144" spans="5:5">
      <c r="E1144" s="3"/>
    </row>
    <row r="1145" spans="5:5">
      <c r="E1145" s="3"/>
    </row>
    <row r="1146" spans="5:5">
      <c r="E1146" s="3"/>
    </row>
    <row r="1147" spans="5:5">
      <c r="E1147" s="3"/>
    </row>
    <row r="1148" spans="5:5">
      <c r="E1148" s="3"/>
    </row>
    <row r="1149" spans="5:5">
      <c r="E1149" s="3"/>
    </row>
    <row r="1150" spans="5:5">
      <c r="E1150" s="3"/>
    </row>
    <row r="1151" spans="5:5">
      <c r="E1151" s="3"/>
    </row>
    <row r="1152" spans="5:5">
      <c r="E1152" s="3"/>
    </row>
    <row r="1153" spans="5:5">
      <c r="E1153" s="3"/>
    </row>
    <row r="1154" spans="5:5">
      <c r="E1154" s="3"/>
    </row>
    <row r="1155" spans="5:5">
      <c r="E1155" s="3"/>
    </row>
    <row r="1156" spans="5:5">
      <c r="E1156" s="3"/>
    </row>
    <row r="1157" spans="5:5">
      <c r="E1157" s="3"/>
    </row>
    <row r="1158" spans="5:5">
      <c r="E1158" s="3"/>
    </row>
    <row r="1159" spans="5:5">
      <c r="E1159" s="3"/>
    </row>
    <row r="1160" spans="5:5">
      <c r="E1160" s="3"/>
    </row>
    <row r="1173" spans="5:5">
      <c r="E1173" s="3"/>
    </row>
    <row r="1174" spans="5:5">
      <c r="E1174" s="3"/>
    </row>
    <row r="1175" spans="5:5">
      <c r="E1175" s="3"/>
    </row>
    <row r="1176" spans="5:5">
      <c r="E1176" s="3"/>
    </row>
    <row r="1177" spans="5:5">
      <c r="E1177" s="3"/>
    </row>
    <row r="1178" spans="5:5">
      <c r="E1178" s="3"/>
    </row>
    <row r="1179" spans="5:5">
      <c r="E1179" s="3"/>
    </row>
    <row r="1180" spans="5:5">
      <c r="E1180" s="3"/>
    </row>
    <row r="1181" spans="5:5">
      <c r="E1181" s="3"/>
    </row>
    <row r="1182" spans="5:5">
      <c r="E1182" s="3"/>
    </row>
    <row r="1183" spans="5:5">
      <c r="E1183" s="3"/>
    </row>
    <row r="1184" spans="5:5">
      <c r="E1184" s="3"/>
    </row>
    <row r="1185" spans="5:5">
      <c r="E1185" s="3"/>
    </row>
    <row r="1186" spans="5:5">
      <c r="E1186" s="3"/>
    </row>
    <row r="1187" spans="5:5">
      <c r="E1187" s="3"/>
    </row>
    <row r="1188" spans="5:5">
      <c r="E1188" s="3"/>
    </row>
    <row r="1189" spans="5:5">
      <c r="E1189" s="3"/>
    </row>
    <row r="1190" spans="5:5">
      <c r="E1190" s="3"/>
    </row>
    <row r="1191" spans="5:5">
      <c r="E1191" s="3"/>
    </row>
    <row r="1192" spans="5:5">
      <c r="E1192" s="3"/>
    </row>
    <row r="1193" spans="5:5">
      <c r="E1193" s="3"/>
    </row>
    <row r="1194" spans="5:5">
      <c r="E1194" s="3"/>
    </row>
    <row r="1195" spans="5:5">
      <c r="E1195" s="3"/>
    </row>
    <row r="1196" spans="5:5">
      <c r="E1196" s="3"/>
    </row>
    <row r="1197" spans="5:5">
      <c r="E1197" s="3"/>
    </row>
    <row r="1198" spans="5:5">
      <c r="E1198" s="3"/>
    </row>
    <row r="1199" spans="5:5">
      <c r="E1199" s="3"/>
    </row>
    <row r="1200" spans="5:5">
      <c r="E1200" s="3"/>
    </row>
    <row r="1201" spans="5:5">
      <c r="E1201" s="3"/>
    </row>
    <row r="1202" spans="5:5">
      <c r="E1202" s="3"/>
    </row>
    <row r="1203" spans="5:5">
      <c r="E1203" s="3"/>
    </row>
    <row r="1204" spans="5:5">
      <c r="E1204" s="3"/>
    </row>
    <row r="1205" spans="5:5">
      <c r="E1205" s="3"/>
    </row>
    <row r="1206" spans="5:5">
      <c r="E1206" s="3"/>
    </row>
    <row r="1207" spans="5:5">
      <c r="E1207" s="3"/>
    </row>
    <row r="1208" spans="5:5">
      <c r="E1208" s="3"/>
    </row>
    <row r="1367" spans="5:5">
      <c r="E1367" s="3"/>
    </row>
    <row r="1368" spans="5:5">
      <c r="E1368" s="3"/>
    </row>
    <row r="1382" spans="5:5">
      <c r="E1382" s="3"/>
    </row>
    <row r="1383" spans="5:5">
      <c r="E1383" s="3"/>
    </row>
    <row r="1384" spans="5:5">
      <c r="E1384" s="3"/>
    </row>
    <row r="1385" spans="5:5">
      <c r="E1385" s="3"/>
    </row>
    <row r="1386" spans="5:5">
      <c r="E1386" s="3"/>
    </row>
    <row r="1387" spans="5:5">
      <c r="E1387" s="3"/>
    </row>
    <row r="1388" spans="5:5">
      <c r="E1388" s="3"/>
    </row>
    <row r="1389" spans="5:5">
      <c r="E1389" s="3"/>
    </row>
    <row r="1390" spans="5:5">
      <c r="E1390" s="3"/>
    </row>
    <row r="1391" spans="5:5">
      <c r="E1391" s="3"/>
    </row>
    <row r="1392" spans="5:5">
      <c r="E1392" s="3"/>
    </row>
    <row r="1393" spans="5:5">
      <c r="E1393" s="3"/>
    </row>
    <row r="1394" spans="5:5">
      <c r="E1394" s="3"/>
    </row>
    <row r="1395" spans="5:5">
      <c r="E1395" s="3"/>
    </row>
    <row r="1396" spans="5:5">
      <c r="E1396" s="3"/>
    </row>
    <row r="1397" spans="5:5">
      <c r="E1397" s="3"/>
    </row>
    <row r="1398" spans="5:5">
      <c r="E1398" s="3"/>
    </row>
    <row r="1399" spans="5:5">
      <c r="E1399" s="3"/>
    </row>
    <row r="1400" spans="5:5">
      <c r="E1400" s="3"/>
    </row>
    <row r="1401" spans="5:5">
      <c r="E1401" s="3"/>
    </row>
    <row r="1402" spans="5:5">
      <c r="E1402" s="3"/>
    </row>
    <row r="1403" spans="5:5">
      <c r="E1403" s="3"/>
    </row>
    <row r="1404" spans="5:5">
      <c r="E1404" s="3"/>
    </row>
    <row r="1405" spans="5:5">
      <c r="E1405" s="3"/>
    </row>
    <row r="1406" spans="5:5">
      <c r="E1406" s="3"/>
    </row>
    <row r="1407" spans="5:5">
      <c r="E1407" s="3"/>
    </row>
    <row r="1408" spans="5:5">
      <c r="E1408" s="3"/>
    </row>
    <row r="1409" spans="5:5">
      <c r="E1409" s="3"/>
    </row>
    <row r="1410" spans="5:5">
      <c r="E1410" s="3"/>
    </row>
    <row r="1411" spans="5:5">
      <c r="E1411" s="3"/>
    </row>
    <row r="1412" spans="5:5">
      <c r="E1412" s="3"/>
    </row>
    <row r="1413" spans="5:5">
      <c r="E1413" s="3"/>
    </row>
    <row r="1518" spans="5:5">
      <c r="E1518" s="3"/>
    </row>
    <row r="1519" spans="5:5">
      <c r="E1519" s="3"/>
    </row>
    <row r="1530" spans="5:5">
      <c r="E1530" s="3"/>
    </row>
    <row r="1531" spans="5:5">
      <c r="E1531" s="3"/>
    </row>
    <row r="1772" spans="5:5">
      <c r="E1772" s="3"/>
    </row>
    <row r="1773" spans="5:5">
      <c r="E1773" s="3"/>
    </row>
    <row r="1774" spans="5:5">
      <c r="E1774" s="3"/>
    </row>
    <row r="1775" spans="5:5">
      <c r="E1775" s="3"/>
    </row>
    <row r="1776" spans="5:5">
      <c r="E1776" s="3"/>
    </row>
    <row r="1777" spans="5:5">
      <c r="E1777" s="3"/>
    </row>
    <row r="1778" spans="5:5">
      <c r="E1778" s="3"/>
    </row>
    <row r="1779" spans="5:5">
      <c r="E1779" s="3"/>
    </row>
    <row r="1793" spans="5:5">
      <c r="E1793" s="3"/>
    </row>
    <row r="1794" spans="5:5">
      <c r="E1794" s="3"/>
    </row>
    <row r="1795" spans="5:5">
      <c r="E1795" s="3"/>
    </row>
    <row r="1796" spans="5:5">
      <c r="E1796" s="3"/>
    </row>
    <row r="1797" spans="5:5">
      <c r="E1797" s="3"/>
    </row>
    <row r="1798" spans="5:5">
      <c r="E1798" s="3"/>
    </row>
    <row r="1799" spans="5:5">
      <c r="E1799" s="3"/>
    </row>
    <row r="1800" spans="5:5">
      <c r="E1800" s="3"/>
    </row>
    <row r="1801" spans="5:5">
      <c r="E1801" s="3"/>
    </row>
    <row r="1802" spans="5:5">
      <c r="E1802" s="3"/>
    </row>
    <row r="1803" spans="5:5">
      <c r="E1803" s="3"/>
    </row>
    <row r="1804" spans="5:5">
      <c r="E1804" s="3"/>
    </row>
    <row r="1805" spans="5:5">
      <c r="E1805" s="3"/>
    </row>
    <row r="1806" spans="5:5">
      <c r="E1806" s="3"/>
    </row>
    <row r="1807" spans="5:5">
      <c r="E1807" s="3"/>
    </row>
    <row r="1808" spans="5:5">
      <c r="E1808" s="3"/>
    </row>
    <row r="1809" spans="5:5">
      <c r="E1809" s="3"/>
    </row>
    <row r="1810" spans="5:5">
      <c r="E1810" s="3"/>
    </row>
    <row r="1811" spans="5:5">
      <c r="E1811" s="3"/>
    </row>
    <row r="1812" spans="5:5">
      <c r="E1812" s="3"/>
    </row>
    <row r="1813" spans="5:5">
      <c r="E1813" s="3"/>
    </row>
    <row r="1814" spans="5:5">
      <c r="E1814" s="3"/>
    </row>
    <row r="1815" spans="5:5">
      <c r="E1815" s="3"/>
    </row>
    <row r="1816" spans="5:5">
      <c r="E1816" s="3"/>
    </row>
    <row r="1817" spans="5:5">
      <c r="E1817" s="3"/>
    </row>
    <row r="1850" spans="5:5">
      <c r="E1850" s="3"/>
    </row>
    <row r="1888" spans="5:5">
      <c r="E1888" s="3"/>
    </row>
    <row r="1889" spans="5:5">
      <c r="E1889" s="3"/>
    </row>
    <row r="1890" spans="5:5">
      <c r="E1890" s="3"/>
    </row>
    <row r="1891" spans="5:5">
      <c r="E1891" s="3"/>
    </row>
    <row r="1892" spans="5:5">
      <c r="E1892" s="3"/>
    </row>
    <row r="1893" spans="5:5">
      <c r="E1893" s="3"/>
    </row>
    <row r="1894" spans="5:5">
      <c r="E1894" s="3"/>
    </row>
    <row r="1895" spans="5:5">
      <c r="E1895" s="3"/>
    </row>
    <row r="1927" spans="5:5">
      <c r="E1927" s="3"/>
    </row>
    <row r="1928" spans="5:5">
      <c r="E1928" s="3"/>
    </row>
    <row r="1930" spans="5:5">
      <c r="E1930" s="3"/>
    </row>
    <row r="1931" spans="5:5">
      <c r="E1931" s="3"/>
    </row>
    <row r="1932" spans="5:5">
      <c r="E1932" s="3"/>
    </row>
    <row r="1933" spans="5:5">
      <c r="E1933" s="3"/>
    </row>
    <row r="1934" spans="5:5">
      <c r="E1934" s="3"/>
    </row>
    <row r="1935" spans="5:5">
      <c r="E1935" s="3"/>
    </row>
    <row r="1936" spans="5:5">
      <c r="E1936" s="3"/>
    </row>
    <row r="1937" spans="5:5">
      <c r="E1937" s="3"/>
    </row>
    <row r="1938" spans="5:5">
      <c r="E1938" s="3"/>
    </row>
    <row r="1939" spans="5:5">
      <c r="E1939" s="3"/>
    </row>
    <row r="1940" spans="5:5">
      <c r="E1940" s="3"/>
    </row>
    <row r="1941" spans="5:5">
      <c r="E1941" s="3"/>
    </row>
    <row r="1942" spans="5:5">
      <c r="E1942" s="3"/>
    </row>
    <row r="1943" spans="5:5">
      <c r="E1943" s="3"/>
    </row>
    <row r="1944" spans="5:5">
      <c r="E1944" s="3"/>
    </row>
    <row r="1945" spans="5:5">
      <c r="E1945" s="3"/>
    </row>
    <row r="1946" spans="5:5">
      <c r="E1946" s="3"/>
    </row>
    <row r="1947" spans="5:5">
      <c r="E1947" s="3"/>
    </row>
    <row r="1948" spans="5:5">
      <c r="E1948" s="3"/>
    </row>
    <row r="1949" spans="5:5">
      <c r="E1949" s="3"/>
    </row>
    <row r="1950" spans="5:5">
      <c r="E1950" s="3"/>
    </row>
    <row r="1951" spans="5:5">
      <c r="E1951" s="3"/>
    </row>
    <row r="1952" spans="5:5">
      <c r="E1952" s="3"/>
    </row>
    <row r="1959" spans="5:5">
      <c r="E1959" s="3"/>
    </row>
    <row r="1960" spans="5:5">
      <c r="E1960" s="3"/>
    </row>
    <row r="1961" spans="5:5">
      <c r="E1961" s="3"/>
    </row>
    <row r="1962" spans="5:5">
      <c r="E1962" s="3"/>
    </row>
    <row r="1973" spans="5:5">
      <c r="E1973" s="3"/>
    </row>
    <row r="1974" spans="5:5">
      <c r="E1974" s="3"/>
    </row>
    <row r="1975" spans="5:5">
      <c r="E1975" s="3"/>
    </row>
    <row r="1976" spans="5:5">
      <c r="E1976" s="3"/>
    </row>
    <row r="1977" spans="5:5">
      <c r="E1977" s="3"/>
    </row>
    <row r="1978" spans="5:5">
      <c r="E1978" s="3"/>
    </row>
    <row r="1979" spans="5:5">
      <c r="E1979" s="3"/>
    </row>
    <row r="1980" spans="5:5">
      <c r="E1980" s="3"/>
    </row>
    <row r="1981" spans="5:5">
      <c r="E1981" s="3"/>
    </row>
    <row r="1982" spans="5:5">
      <c r="E1982" s="3"/>
    </row>
    <row r="1983" spans="5:5">
      <c r="E1983" s="3"/>
    </row>
    <row r="1984" spans="5:5">
      <c r="E1984" s="3"/>
    </row>
    <row r="1985" spans="5:5">
      <c r="E1985" s="3"/>
    </row>
    <row r="1986" spans="5:5">
      <c r="E1986" s="3"/>
    </row>
    <row r="1987" spans="5:5">
      <c r="E1987" s="3"/>
    </row>
    <row r="1988" spans="5:5">
      <c r="E1988" s="3"/>
    </row>
    <row r="1989" spans="5:5">
      <c r="E1989" s="3"/>
    </row>
    <row r="1990" spans="5:5">
      <c r="E1990" s="3"/>
    </row>
    <row r="1991" spans="5:5">
      <c r="E1991" s="3"/>
    </row>
    <row r="1992" spans="5:5">
      <c r="E1992" s="3"/>
    </row>
    <row r="1993" spans="5:5">
      <c r="E1993" s="3"/>
    </row>
    <row r="1994" spans="5:5">
      <c r="E1994" s="3"/>
    </row>
    <row r="1995" spans="5:5">
      <c r="E1995" s="3"/>
    </row>
    <row r="1996" spans="5:5">
      <c r="E1996" s="3"/>
    </row>
    <row r="1997" spans="5:5">
      <c r="E1997" s="3"/>
    </row>
    <row r="1998" spans="5:5">
      <c r="E1998" s="3"/>
    </row>
    <row r="1999" spans="5:5">
      <c r="E1999" s="3"/>
    </row>
    <row r="2000" spans="5:5">
      <c r="E2000" s="3"/>
    </row>
    <row r="2001" spans="5:5">
      <c r="E2001" s="3"/>
    </row>
    <row r="2002" spans="5:5">
      <c r="E2002" s="3"/>
    </row>
    <row r="2037" spans="5:5">
      <c r="E2037" s="3"/>
    </row>
    <row r="2038" spans="5:5">
      <c r="E2038" s="3"/>
    </row>
    <row r="2039" spans="5:5">
      <c r="E2039" s="3"/>
    </row>
    <row r="2040" spans="5:5">
      <c r="E2040" s="3"/>
    </row>
    <row r="2041" spans="5:5">
      <c r="E2041" s="3"/>
    </row>
    <row r="2042" spans="5:5">
      <c r="E2042" s="3"/>
    </row>
    <row r="2043" spans="5:5">
      <c r="E2043" s="3"/>
    </row>
    <row r="2044" spans="5:5">
      <c r="E2044" s="3"/>
    </row>
    <row r="2045" spans="5:5">
      <c r="E2045" s="3"/>
    </row>
    <row r="2081" spans="5:5">
      <c r="E2081" s="3"/>
    </row>
    <row r="2082" spans="5:5">
      <c r="E2082" s="3"/>
    </row>
    <row r="2083" spans="5:5">
      <c r="E2083" s="3"/>
    </row>
  </sheetData>
  <phoneticPr fontId="130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3</vt:i4>
      </vt:variant>
    </vt:vector>
  </HeadingPairs>
  <TitlesOfParts>
    <vt:vector size="11" baseType="lpstr">
      <vt:lpstr>shipping mark</vt:lpstr>
      <vt:lpstr>Invoice</vt:lpstr>
      <vt:lpstr>PACKING </vt:lpstr>
      <vt:lpstr>CONTRACT </vt:lpstr>
      <vt:lpstr>送貨單</vt:lpstr>
      <vt:lpstr>注意事項</vt:lpstr>
      <vt:lpstr>新標籤</vt:lpstr>
      <vt:lpstr>DC</vt:lpstr>
      <vt:lpstr>'CONTRACT '!Print_Area</vt:lpstr>
      <vt:lpstr>Invoice!Print_Area</vt:lpstr>
      <vt:lpstr>注意事項!Print_Area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Nickie Fung</dc:creator>
  <cp:lastModifiedBy>Alex Liou</cp:lastModifiedBy>
  <cp:lastPrinted>2025-07-30T02:35:01Z</cp:lastPrinted>
  <dcterms:created xsi:type="dcterms:W3CDTF">2015-10-30T07:18:08Z</dcterms:created>
  <dcterms:modified xsi:type="dcterms:W3CDTF">2025-08-20T22:11:53Z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2052-11.8.2.12118</vt:lpwstr>
  </property>
  <property fmtid="{D5CDD505-2E9C-101B-9397-08002B2CF9AE}" pid="3" name="ICV">
    <vt:lpwstr>E93475B6E6DC42E4A8640E8DB4B54937_13</vt:lpwstr>
  </property>
  <property fmtid="{D5CDD505-2E9C-101B-9397-08002B2CF9AE}" pid="4" name="KSOReadingLayout">
    <vt:bool>true</vt:bool>
  </property>
</Properties>
</file>