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385" windowHeight="8265"/>
  </bookViews>
  <sheets>
    <sheet name="INVOICE" sheetId="1" r:id="rId1"/>
    <sheet name="PACKING" sheetId="2" r:id="rId2"/>
  </sheets>
  <definedNames>
    <definedName name="_xlnm.Print_Area" localSheetId="0">INVOICE!$A$1:$O$39</definedName>
    <definedName name="_xlnm.Print_Area" localSheetId="1">PACKING!$A$1:$K$53</definedName>
  </definedNames>
  <calcPr calcId="144525"/>
</workbook>
</file>

<file path=xl/sharedStrings.xml><?xml version="1.0" encoding="utf-8"?>
<sst xmlns="http://schemas.openxmlformats.org/spreadsheetml/2006/main" count="209" uniqueCount="92">
  <si>
    <t>COMMERCIAL INVOICE</t>
  </si>
  <si>
    <t>Shipper/Exporter</t>
  </si>
  <si>
    <t>No. &amp; Date of Invoice</t>
  </si>
  <si>
    <t>TAIKE (HK) TECHNOLOGY LIMITED</t>
  </si>
  <si>
    <t>TK2025080901</t>
  </si>
  <si>
    <t>August.09.2025</t>
  </si>
  <si>
    <t>Bill To:</t>
  </si>
  <si>
    <t xml:space="preserve"> Payment Term</t>
  </si>
  <si>
    <t>Sernet (Suzhou)Technologies Corporation No.8,Tangzhuang Road,Suzhou Industrial Park Jiangsu China</t>
  </si>
  <si>
    <t>NET 120 DAYS AFTER INVOICE DATE</t>
  </si>
  <si>
    <t>Ship To:</t>
  </si>
  <si>
    <t xml:space="preserve"> Trade Term</t>
  </si>
  <si>
    <r>
      <rPr>
        <sz val="10"/>
        <rFont val="Arial"/>
        <charset val="134"/>
      </rPr>
      <t>CIF-</t>
    </r>
    <r>
      <rPr>
        <sz val="10"/>
        <rFont val="宋体"/>
        <charset val="134"/>
      </rPr>
      <t>物流园</t>
    </r>
  </si>
  <si>
    <t>Port of Loading</t>
  </si>
  <si>
    <t>Port of Discharge</t>
  </si>
  <si>
    <t xml:space="preserve"> Remarks:</t>
  </si>
  <si>
    <t>Shenzhen, China</t>
  </si>
  <si>
    <t>Bonded port area</t>
  </si>
  <si>
    <t>Carrier</t>
  </si>
  <si>
    <t>Sailing on/or About</t>
  </si>
  <si>
    <t>ZHANG FENG BI</t>
  </si>
  <si>
    <t>New account number: T2358W000197 (Starting from 25.2.24)</t>
  </si>
  <si>
    <t>贸易国：</t>
  </si>
  <si>
    <t xml:space="preserve">Hong Kong, China 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</si>
  <si>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</si>
  <si>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</si>
  <si>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</si>
  <si>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</si>
  <si>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</si>
  <si>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</si>
  <si>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</si>
  <si>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</si>
  <si>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</si>
  <si>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</si>
  <si>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</si>
  <si>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</si>
  <si>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</si>
  <si>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</si>
  <si>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Net WT(KGS)</t>
  </si>
  <si>
    <t>1</t>
  </si>
  <si>
    <t xml:space="preserve">455015BLTK  </t>
  </si>
  <si>
    <t>CABLE LAN K150-025,1.5M/8P8C#26x4P CCA BK (HF) TKE</t>
  </si>
  <si>
    <t>PCS</t>
  </si>
  <si>
    <t>USD</t>
  </si>
  <si>
    <t xml:space="preserve"> China</t>
  </si>
  <si>
    <t>无</t>
  </si>
  <si>
    <t>RJ45</t>
  </si>
  <si>
    <t>455015ENTKX</t>
  </si>
  <si>
    <t>CABLE LAN K150-242,(UA),1.5M 8P8C #30x4P CAT.6A GY TKE</t>
  </si>
  <si>
    <t>4550067HTK</t>
  </si>
  <si>
    <t>CABLE TEL K150-051,(UA),2.0M/8P2C#26x2C CCA WH TKE</t>
  </si>
  <si>
    <t>电话线</t>
  </si>
  <si>
    <t>45500686TKX</t>
  </si>
  <si>
    <t>CABLE TEL K150-205,(UA),3M 6P4C #28x4C GY TKE</t>
  </si>
  <si>
    <t>RJ11</t>
  </si>
  <si>
    <t>45500687TKX</t>
  </si>
  <si>
    <t>455015DXTKX</t>
  </si>
  <si>
    <t>CABLE LAN K150-206,(UA),4.5M 8P8C #30x4P CAT.6a GY TKE</t>
  </si>
  <si>
    <t>455015DYTKX</t>
  </si>
  <si>
    <t>CABLE LAN K150-207,(UA),3M 8P8C #30x4P CAT.6a GY TKE</t>
  </si>
  <si>
    <t xml:space="preserve">                  TOTAL</t>
  </si>
  <si>
    <t>报关行</t>
  </si>
  <si>
    <t>江苏众诚报关代理有限公司</t>
  </si>
  <si>
    <t>申报地海关</t>
  </si>
  <si>
    <t>关联备案号</t>
  </si>
  <si>
    <t>新帐册号T2358W000197（25.2.24开始）</t>
  </si>
  <si>
    <t>运输方式</t>
  </si>
  <si>
    <t>保税港区</t>
  </si>
  <si>
    <t>PACKING LIST</t>
  </si>
  <si>
    <t>No &amp; Date of Invoice</t>
  </si>
  <si>
    <t>Remarks:</t>
  </si>
  <si>
    <t>Port of Departure</t>
  </si>
  <si>
    <t>Port of Arrival</t>
  </si>
  <si>
    <t xml:space="preserve">New account number: T2358W000197 (Starting from </t>
  </si>
  <si>
    <t>CTNS</t>
  </si>
  <si>
    <t>Net WT</t>
  </si>
  <si>
    <t>Gross WT</t>
  </si>
  <si>
    <t>MEASUREMENT  L*W*H(CM)</t>
  </si>
  <si>
    <t>线材总长</t>
  </si>
  <si>
    <t>KGS</t>
  </si>
  <si>
    <t>1270*1000*1200</t>
  </si>
  <si>
    <t>1060*1100*1100</t>
  </si>
  <si>
    <t>1100*1200*950</t>
  </si>
  <si>
    <t>850*1100*1100</t>
  </si>
  <si>
    <t>750*1100*1100</t>
  </si>
  <si>
    <t>TOTAL</t>
  </si>
  <si>
    <t>10.3m³</t>
  </si>
  <si>
    <t>件数</t>
  </si>
  <si>
    <t>包装种类</t>
  </si>
  <si>
    <t>托盘</t>
  </si>
  <si>
    <t>托盘材质</t>
  </si>
  <si>
    <t>天然木托</t>
  </si>
</sst>
</file>

<file path=xl/styles.xml><?xml version="1.0" encoding="utf-8"?>
<styleSheet xmlns="http://schemas.openxmlformats.org/spreadsheetml/2006/main">
  <numFmts count="11">
    <numFmt numFmtId="176" formatCode="0.00_);[Red]\(0.00\)"/>
    <numFmt numFmtId="42" formatCode="_(&quot;$&quot;* #,##0_);_(&quot;$&quot;* \(#,##0\);_(&quot;$&quot;* &quot;-&quot;_);_(@_)"/>
    <numFmt numFmtId="177" formatCode="0.000_ "/>
    <numFmt numFmtId="178" formatCode="0.00_ "/>
    <numFmt numFmtId="179" formatCode="#,##0.00_ "/>
    <numFmt numFmtId="180" formatCode="yyyy/m/d;@"/>
    <numFmt numFmtId="181" formatCode="0_ "/>
    <numFmt numFmtId="44" formatCode="_(&quot;$&quot;* #,##0.00_);_(&quot;$&quot;* \(#,##0.00\);_(&quot;$&quot;* &quot;-&quot;??_);_(@_)"/>
    <numFmt numFmtId="182" formatCode="_ * #,##0_ ;_ * \-#,##0_ ;_ * &quot;-&quot;_ ;_ @_ "/>
    <numFmt numFmtId="183" formatCode="_ * #,##0.00_ ;_ * \-#,##0.00_ ;_ * &quot;-&quot;??_ ;_ @_ "/>
    <numFmt numFmtId="184" formatCode="0.0000_);[Red]\(0.0000\)"/>
  </numFmts>
  <fonts count="57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color theme="1"/>
      <name val="宋体"/>
      <charset val="134"/>
      <scheme val="minor"/>
    </font>
    <font>
      <sz val="10"/>
      <name val="Arial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9"/>
      <name val="Arial"/>
      <charset val="134"/>
    </font>
    <font>
      <b/>
      <sz val="9"/>
      <name val="Arial"/>
      <charset val="134"/>
    </font>
    <font>
      <sz val="10"/>
      <color rgb="FFFF0000"/>
      <name val="Arial"/>
      <charset val="134"/>
    </font>
    <font>
      <sz val="8"/>
      <name val="Arial"/>
      <charset val="134"/>
    </font>
    <font>
      <sz val="9"/>
      <color rgb="FF000000"/>
      <name val="Tahoma"/>
      <charset val="134"/>
    </font>
    <font>
      <sz val="10"/>
      <name val="Arial"/>
      <charset val="0"/>
    </font>
    <font>
      <sz val="7"/>
      <color rgb="FF000000"/>
      <name val="Times New Roman"/>
      <charset val="0"/>
    </font>
    <font>
      <sz val="9"/>
      <color rgb="FF000000"/>
      <name val="Tahoma"/>
      <charset val="134"/>
    </font>
    <font>
      <sz val="7"/>
      <name val="Times New Roman"/>
      <charset val="0"/>
    </font>
    <font>
      <sz val="8"/>
      <color theme="1"/>
      <name val="Arial"/>
      <charset val="0"/>
    </font>
    <font>
      <sz val="7"/>
      <color theme="1"/>
      <name val="微軟正黑體"/>
      <charset val="134"/>
    </font>
    <font>
      <sz val="9"/>
      <name val="Arial"/>
      <charset val="0"/>
    </font>
    <font>
      <sz val="7"/>
      <color rgb="FF000000"/>
      <name val="Times New Roman"/>
      <charset val="0"/>
    </font>
    <font>
      <sz val="10"/>
      <color theme="1"/>
      <name val="微軟正黑體"/>
      <charset val="134"/>
    </font>
    <font>
      <sz val="9"/>
      <color theme="1"/>
      <name val="微軟正黑體"/>
      <charset val="134"/>
    </font>
    <font>
      <sz val="9"/>
      <color rgb="FF000000"/>
      <name val="Times New Roman"/>
      <charset val="0"/>
    </font>
    <font>
      <sz val="12"/>
      <name val="Times New Roman"/>
      <charset val="0"/>
    </font>
    <font>
      <sz val="10"/>
      <name val="新細明體"/>
      <charset val="136"/>
    </font>
    <font>
      <b/>
      <sz val="10"/>
      <name val="宋体"/>
      <charset val="136"/>
    </font>
    <font>
      <b/>
      <sz val="10"/>
      <name val="新細明體"/>
      <charset val="136"/>
    </font>
    <font>
      <sz val="18"/>
      <color theme="1"/>
      <name val="宋体"/>
      <charset val="134"/>
      <scheme val="minor"/>
    </font>
    <font>
      <b/>
      <sz val="18"/>
      <name val="Arial"/>
      <charset val="134"/>
    </font>
    <font>
      <sz val="9"/>
      <color rgb="FF000000"/>
      <name val="Times New Roman"/>
      <charset val="0"/>
    </font>
    <font>
      <sz val="10"/>
      <color rgb="FF000000"/>
      <name val="Times New Roman"/>
      <charset val="0"/>
    </font>
    <font>
      <sz val="10"/>
      <name val="Times New Roman"/>
      <charset val="0"/>
    </font>
    <font>
      <sz val="10"/>
      <color rgb="FF000000"/>
      <name val="Times New Roman"/>
      <charset val="0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0"/>
      <color indexed="12"/>
      <name val="新細明體"/>
      <charset val="136"/>
    </font>
    <font>
      <sz val="12"/>
      <color rgb="FFFF00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sz val="11"/>
      <color rgb="FF006100"/>
      <name val="宋体"/>
      <charset val="0"/>
      <scheme val="minor"/>
    </font>
    <font>
      <sz val="12"/>
      <name val="新細明體"/>
      <charset val="136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39" fillId="5" borderId="2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0" fillId="4" borderId="21" applyNumberFormat="0" applyFont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51" fillId="0" borderId="24" applyNumberFormat="0" applyFill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8" fillId="11" borderId="28" applyNumberFormat="0" applyAlignment="0" applyProtection="0">
      <alignment vertical="center"/>
    </xf>
    <xf numFmtId="0" fontId="46" fillId="11" borderId="23" applyNumberFormat="0" applyAlignment="0" applyProtection="0">
      <alignment vertical="center"/>
    </xf>
    <xf numFmtId="0" fontId="43" fillId="8" borderId="26" applyNumberFormat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54" fillId="0" borderId="0"/>
    <xf numFmtId="0" fontId="55" fillId="24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54" fillId="0" borderId="0"/>
    <xf numFmtId="0" fontId="54" fillId="0" borderId="0"/>
    <xf numFmtId="0" fontId="56" fillId="0" borderId="0"/>
  </cellStyleXfs>
  <cellXfs count="221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31" applyFont="1" applyBorder="1" applyAlignment="1">
      <alignment horizontal="center" vertical="center"/>
    </xf>
    <xf numFmtId="0" fontId="1" fillId="0" borderId="2" xfId="31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0" xfId="0" applyFont="1">
      <alignment vertical="center"/>
    </xf>
    <xf numFmtId="0" fontId="1" fillId="2" borderId="1" xfId="31" applyFont="1" applyFill="1" applyBorder="1"/>
    <xf numFmtId="0" fontId="1" fillId="2" borderId="2" xfId="31" applyFont="1" applyFill="1" applyBorder="1"/>
    <xf numFmtId="0" fontId="3" fillId="0" borderId="2" xfId="31" applyFont="1" applyBorder="1"/>
    <xf numFmtId="0" fontId="4" fillId="0" borderId="2" xfId="31" applyFont="1" applyBorder="1"/>
    <xf numFmtId="0" fontId="5" fillId="0" borderId="3" xfId="0" applyFont="1" applyFill="1" applyBorder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0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31" applyFont="1" applyBorder="1"/>
    <xf numFmtId="0" fontId="3" fillId="0" borderId="3" xfId="50" applyFont="1" applyBorder="1" applyAlignment="1">
      <alignment horizontal="left" vertical="top" wrapText="1"/>
    </xf>
    <xf numFmtId="0" fontId="3" fillId="0" borderId="0" xfId="50" applyFont="1" applyBorder="1" applyAlignment="1">
      <alignment horizontal="left" vertical="top" wrapText="1"/>
    </xf>
    <xf numFmtId="180" fontId="3" fillId="0" borderId="3" xfId="0" applyNumberFormat="1" applyFont="1" applyFill="1" applyBorder="1" applyAlignment="1">
      <alignment horizontal="left"/>
    </xf>
    <xf numFmtId="180" fontId="3" fillId="0" borderId="0" xfId="0" applyNumberFormat="1" applyFont="1" applyFill="1" applyAlignment="1">
      <alignment horizontal="left"/>
    </xf>
    <xf numFmtId="0" fontId="3" fillId="0" borderId="3" xfId="31" applyFont="1" applyBorder="1"/>
    <xf numFmtId="0" fontId="3" fillId="0" borderId="4" xfId="50" applyFont="1" applyBorder="1" applyAlignment="1">
      <alignment horizontal="left"/>
    </xf>
    <xf numFmtId="0" fontId="3" fillId="0" borderId="5" xfId="50" applyFont="1" applyBorder="1"/>
    <xf numFmtId="0" fontId="3" fillId="0" borderId="5" xfId="52" applyFont="1" applyBorder="1"/>
    <xf numFmtId="0" fontId="1" fillId="0" borderId="1" xfId="31" applyFont="1" applyBorder="1"/>
    <xf numFmtId="0" fontId="1" fillId="2" borderId="1" xfId="50" applyFont="1" applyFill="1" applyBorder="1"/>
    <xf numFmtId="0" fontId="3" fillId="2" borderId="2" xfId="31" applyFont="1" applyFill="1" applyBorder="1"/>
    <xf numFmtId="0" fontId="0" fillId="0" borderId="3" xfId="0" applyBorder="1">
      <alignment vertical="center"/>
    </xf>
    <xf numFmtId="0" fontId="3" fillId="0" borderId="3" xfId="31" applyFont="1" applyFill="1" applyBorder="1" applyAlignment="1">
      <alignment horizontal="center" vertical="center" wrapText="1"/>
    </xf>
    <xf numFmtId="0" fontId="3" fillId="0" borderId="0" xfId="31" applyFont="1" applyFill="1" applyAlignment="1">
      <alignment horizontal="center" vertical="center" wrapText="1"/>
    </xf>
    <xf numFmtId="0" fontId="3" fillId="0" borderId="0" xfId="31" applyFont="1" applyFill="1" applyBorder="1" applyAlignment="1">
      <alignment horizontal="center" vertical="center" wrapText="1"/>
    </xf>
    <xf numFmtId="0" fontId="1" fillId="0" borderId="3" xfId="31" applyFont="1" applyBorder="1" applyAlignment="1">
      <alignment horizontal="center"/>
    </xf>
    <xf numFmtId="0" fontId="1" fillId="0" borderId="0" xfId="31" applyFont="1" applyBorder="1" applyAlignment="1">
      <alignment horizontal="center"/>
    </xf>
    <xf numFmtId="0" fontId="3" fillId="0" borderId="4" xfId="31" applyFont="1" applyFill="1" applyBorder="1" applyAlignment="1">
      <alignment horizontal="center" vertical="center" wrapText="1"/>
    </xf>
    <xf numFmtId="0" fontId="3" fillId="0" borderId="5" xfId="31" applyFont="1" applyFill="1" applyBorder="1" applyAlignment="1">
      <alignment horizontal="center" vertical="center" wrapText="1"/>
    </xf>
    <xf numFmtId="0" fontId="1" fillId="0" borderId="0" xfId="31" applyFont="1"/>
    <xf numFmtId="0" fontId="3" fillId="0" borderId="0" xfId="31" applyFont="1"/>
    <xf numFmtId="0" fontId="1" fillId="0" borderId="2" xfId="31" applyFont="1" applyBorder="1"/>
    <xf numFmtId="0" fontId="4" fillId="0" borderId="6" xfId="31" applyFont="1" applyBorder="1"/>
    <xf numFmtId="0" fontId="4" fillId="0" borderId="2" xfId="50" applyFont="1" applyBorder="1" applyAlignment="1"/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1" fillId="0" borderId="0" xfId="31" applyFont="1" applyBorder="1"/>
    <xf numFmtId="0" fontId="4" fillId="0" borderId="8" xfId="31" applyFont="1" applyBorder="1"/>
    <xf numFmtId="0" fontId="7" fillId="0" borderId="2" xfId="31" applyFont="1" applyBorder="1"/>
    <xf numFmtId="0" fontId="8" fillId="0" borderId="0" xfId="31" applyFont="1" applyBorder="1" applyAlignment="1">
      <alignment horizontal="right"/>
    </xf>
    <xf numFmtId="0" fontId="3" fillId="0" borderId="7" xfId="0" applyFont="1" applyFill="1" applyBorder="1" applyAlignment="1">
      <alignment horizontal="left"/>
    </xf>
    <xf numFmtId="180" fontId="9" fillId="0" borderId="4" xfId="0" applyNumberFormat="1" applyFont="1" applyFill="1" applyBorder="1" applyAlignment="1">
      <alignment horizontal="center" vertical="center" wrapText="1"/>
    </xf>
    <xf numFmtId="180" fontId="9" fillId="0" borderId="5" xfId="0" applyNumberFormat="1" applyFont="1" applyFill="1" applyBorder="1" applyAlignment="1">
      <alignment horizontal="center" vertical="center" wrapText="1"/>
    </xf>
    <xf numFmtId="0" fontId="1" fillId="0" borderId="4" xfId="31" applyFont="1" applyBorder="1" applyAlignment="1">
      <alignment horizontal="center"/>
    </xf>
    <xf numFmtId="0" fontId="1" fillId="0" borderId="5" xfId="31" applyFont="1" applyBorder="1" applyAlignment="1">
      <alignment horizontal="center"/>
    </xf>
    <xf numFmtId="0" fontId="1" fillId="2" borderId="9" xfId="50" applyFont="1" applyFill="1" applyBorder="1" applyAlignment="1">
      <alignment horizontal="center" vertical="center"/>
    </xf>
    <xf numFmtId="0" fontId="1" fillId="2" borderId="9" xfId="31" applyFont="1" applyFill="1" applyBorder="1" applyAlignment="1">
      <alignment horizontal="center" vertical="center"/>
    </xf>
    <xf numFmtId="0" fontId="1" fillId="2" borderId="9" xfId="31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 vertical="center" wrapText="1" shrinkToFit="1"/>
    </xf>
    <xf numFmtId="0" fontId="10" fillId="0" borderId="11" xfId="0" applyNumberFormat="1" applyFont="1" applyFill="1" applyBorder="1" applyAlignment="1">
      <alignment horizontal="center" vertical="center"/>
    </xf>
    <xf numFmtId="0" fontId="11" fillId="0" borderId="9" xfId="0" applyNumberFormat="1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 shrinkToFit="1"/>
    </xf>
    <xf numFmtId="177" fontId="3" fillId="0" borderId="9" xfId="0" applyNumberFormat="1" applyFont="1" applyFill="1" applyBorder="1" applyAlignment="1">
      <alignment horizontal="center" vertical="center" wrapText="1" shrinkToFit="1"/>
    </xf>
    <xf numFmtId="176" fontId="3" fillId="0" borderId="10" xfId="0" applyNumberFormat="1" applyFont="1" applyFill="1" applyBorder="1" applyAlignment="1">
      <alignment horizontal="center" vertical="center" wrapText="1" shrinkToFit="1"/>
    </xf>
    <xf numFmtId="0" fontId="3" fillId="0" borderId="14" xfId="0" applyFont="1" applyFill="1" applyBorder="1" applyAlignment="1">
      <alignment horizontal="center" vertical="center" wrapText="1" shrinkToFit="1"/>
    </xf>
    <xf numFmtId="176" fontId="3" fillId="0" borderId="14" xfId="0" applyNumberFormat="1" applyFont="1" applyFill="1" applyBorder="1" applyAlignment="1">
      <alignment horizontal="center" vertical="center" wrapText="1" shrinkToFit="1"/>
    </xf>
    <xf numFmtId="0" fontId="13" fillId="0" borderId="15" xfId="0" applyNumberFormat="1" applyFont="1" applyFill="1" applyBorder="1" applyAlignment="1">
      <alignment horizontal="center" vertical="center"/>
    </xf>
    <xf numFmtId="176" fontId="3" fillId="0" borderId="9" xfId="0" applyNumberFormat="1" applyFont="1" applyFill="1" applyBorder="1" applyAlignment="1">
      <alignment horizontal="center" vertical="center" wrapText="1" shrinkToFit="1"/>
    </xf>
    <xf numFmtId="0" fontId="14" fillId="0" borderId="12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/>
    </xf>
    <xf numFmtId="0" fontId="10" fillId="0" borderId="9" xfId="0" applyNumberFormat="1" applyFont="1" applyFill="1" applyBorder="1" applyAlignment="1">
      <alignment horizontal="center" vertical="center"/>
    </xf>
    <xf numFmtId="49" fontId="15" fillId="0" borderId="9" xfId="0" applyNumberFormat="1" applyFont="1" applyFill="1" applyBorder="1" applyAlignment="1">
      <alignment vertical="center"/>
    </xf>
    <xf numFmtId="0" fontId="16" fillId="0" borderId="12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81" fontId="3" fillId="0" borderId="9" xfId="0" applyNumberFormat="1" applyFont="1" applyFill="1" applyBorder="1" applyAlignment="1">
      <alignment horizontal="center" vertical="center" shrinkToFit="1"/>
    </xf>
    <xf numFmtId="0" fontId="17" fillId="0" borderId="9" xfId="0" applyNumberFormat="1" applyFont="1" applyFill="1" applyBorder="1" applyAlignment="1">
      <alignment horizontal="center" vertical="center" wrapText="1"/>
    </xf>
    <xf numFmtId="0" fontId="18" fillId="0" borderId="12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center" vertical="center" wrapText="1"/>
    </xf>
    <xf numFmtId="49" fontId="19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0" fontId="21" fillId="0" borderId="12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 shrinkToFit="1"/>
    </xf>
    <xf numFmtId="0" fontId="3" fillId="0" borderId="0" xfId="0" applyFont="1" applyFill="1" applyBorder="1" applyAlignment="1">
      <alignment horizontal="center" vertical="center" wrapText="1" shrinkToFit="1"/>
    </xf>
    <xf numFmtId="0" fontId="3" fillId="0" borderId="0" xfId="0" applyFont="1" applyFill="1" applyAlignment="1">
      <alignment horizontal="left" vertical="center" shrinkToFit="1"/>
    </xf>
    <xf numFmtId="181" fontId="3" fillId="0" borderId="0" xfId="0" applyNumberFormat="1" applyFont="1" applyFill="1" applyBorder="1" applyAlignment="1">
      <alignment horizontal="center" vertical="center" shrinkToFit="1"/>
    </xf>
    <xf numFmtId="177" fontId="3" fillId="0" borderId="0" xfId="0" applyNumberFormat="1" applyFont="1" applyFill="1" applyBorder="1" applyAlignment="1">
      <alignment horizontal="center" vertical="center" wrapText="1" shrinkToFit="1"/>
    </xf>
    <xf numFmtId="176" fontId="3" fillId="0" borderId="0" xfId="0" applyNumberFormat="1" applyFont="1" applyFill="1" applyBorder="1" applyAlignment="1">
      <alignment horizontal="center" vertical="center" wrapText="1" shrinkToFit="1"/>
    </xf>
    <xf numFmtId="0" fontId="3" fillId="0" borderId="16" xfId="51" applyFont="1" applyFill="1" applyBorder="1" applyAlignment="1">
      <alignment horizontal="center" vertical="center" wrapText="1" shrinkToFit="1"/>
    </xf>
    <xf numFmtId="0" fontId="3" fillId="0" borderId="17" xfId="51" applyFont="1" applyFill="1" applyBorder="1" applyAlignment="1">
      <alignment horizontal="center" vertical="center" wrapText="1" shrinkToFit="1"/>
    </xf>
    <xf numFmtId="0" fontId="3" fillId="0" borderId="17" xfId="31" applyFont="1" applyBorder="1" applyAlignment="1">
      <alignment horizontal="center" vertical="center" wrapText="1" shrinkToFit="1"/>
    </xf>
    <xf numFmtId="177" fontId="4" fillId="0" borderId="17" xfId="31" applyNumberFormat="1" applyFont="1" applyBorder="1" applyAlignment="1">
      <alignment horizontal="center" vertical="center" wrapText="1" shrinkToFit="1"/>
    </xf>
    <xf numFmtId="176" fontId="3" fillId="0" borderId="17" xfId="31" applyNumberFormat="1" applyFont="1" applyBorder="1" applyAlignment="1">
      <alignment horizontal="center" vertical="center" wrapText="1" shrinkToFit="1"/>
    </xf>
    <xf numFmtId="181" fontId="1" fillId="0" borderId="3" xfId="31" applyNumberFormat="1" applyFont="1" applyFill="1" applyBorder="1" applyAlignment="1">
      <alignment horizontal="center"/>
    </xf>
    <xf numFmtId="0" fontId="1" fillId="0" borderId="0" xfId="31" applyFont="1" applyFill="1" applyBorder="1" applyAlignment="1">
      <alignment horizontal="left"/>
    </xf>
    <xf numFmtId="0" fontId="1" fillId="0" borderId="0" xfId="31" applyFont="1" applyFill="1" applyBorder="1" applyAlignment="1">
      <alignment horizontal="center"/>
    </xf>
    <xf numFmtId="177" fontId="1" fillId="0" borderId="0" xfId="31" applyNumberFormat="1" applyFont="1" applyFill="1" applyBorder="1" applyAlignment="1">
      <alignment horizontal="center"/>
    </xf>
    <xf numFmtId="176" fontId="1" fillId="0" borderId="0" xfId="31" applyNumberFormat="1" applyFont="1" applyFill="1" applyBorder="1" applyAlignment="1">
      <alignment horizontal="center"/>
    </xf>
    <xf numFmtId="0" fontId="5" fillId="0" borderId="0" xfId="31" applyFont="1" applyFill="1" applyAlignment="1">
      <alignment horizontal="center" vertical="center"/>
    </xf>
    <xf numFmtId="0" fontId="3" fillId="0" borderId="0" xfId="31" applyFont="1" applyFill="1" applyAlignment="1">
      <alignment horizontal="center"/>
    </xf>
    <xf numFmtId="0" fontId="5" fillId="0" borderId="0" xfId="31" applyFont="1" applyFill="1" applyAlignment="1">
      <alignment horizont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22" fillId="0" borderId="0" xfId="0" applyFont="1" applyFill="1" applyBorder="1" applyAlignment="1">
      <alignment horizontal="left"/>
    </xf>
    <xf numFmtId="0" fontId="22" fillId="0" borderId="0" xfId="0" applyFont="1" applyFill="1" applyBorder="1" applyAlignment="1">
      <alignment horizontal="center"/>
    </xf>
    <xf numFmtId="0" fontId="1" fillId="0" borderId="6" xfId="31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23" fillId="0" borderId="6" xfId="0" applyFont="1" applyFill="1" applyBorder="1" applyAlignment="1"/>
    <xf numFmtId="0" fontId="23" fillId="0" borderId="8" xfId="0" applyFont="1" applyFill="1" applyBorder="1" applyAlignment="1"/>
    <xf numFmtId="0" fontId="3" fillId="0" borderId="6" xfId="31" applyFont="1" applyBorder="1"/>
    <xf numFmtId="0" fontId="1" fillId="0" borderId="8" xfId="31" applyFont="1" applyBorder="1" applyAlignment="1">
      <alignment horizontal="center"/>
    </xf>
    <xf numFmtId="0" fontId="1" fillId="0" borderId="7" xfId="31" applyFont="1" applyBorder="1" applyAlignment="1">
      <alignment horizontal="center"/>
    </xf>
    <xf numFmtId="0" fontId="24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5" fillId="2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vertical="center" wrapText="1"/>
    </xf>
    <xf numFmtId="0" fontId="3" fillId="0" borderId="8" xfId="0" applyFont="1" applyFill="1" applyBorder="1" applyAlignment="1">
      <alignment horizontal="center" vertical="center" wrapText="1"/>
    </xf>
    <xf numFmtId="176" fontId="1" fillId="0" borderId="17" xfId="31" applyNumberFormat="1" applyFont="1" applyBorder="1" applyAlignment="1">
      <alignment horizontal="center" vertical="center" wrapText="1" shrinkToFit="1"/>
    </xf>
    <xf numFmtId="176" fontId="1" fillId="0" borderId="19" xfId="31" applyNumberFormat="1" applyFont="1" applyBorder="1" applyAlignment="1">
      <alignment horizontal="center" vertical="center" wrapText="1" shrinkToFit="1"/>
    </xf>
    <xf numFmtId="176" fontId="1" fillId="0" borderId="8" xfId="31" applyNumberFormat="1" applyFont="1" applyFill="1" applyBorder="1" applyAlignment="1">
      <alignment horizontal="center"/>
    </xf>
    <xf numFmtId="0" fontId="0" fillId="0" borderId="8" xfId="0" applyFill="1" applyBorder="1">
      <alignment vertical="center"/>
    </xf>
    <xf numFmtId="0" fontId="0" fillId="0" borderId="7" xfId="0" applyBorder="1">
      <alignment vertical="center"/>
    </xf>
    <xf numFmtId="0" fontId="22" fillId="0" borderId="0" xfId="0" applyFont="1" applyFill="1" applyBorder="1" applyAlignment="1"/>
    <xf numFmtId="0" fontId="26" fillId="0" borderId="0" xfId="0" applyFont="1">
      <alignment vertical="center"/>
    </xf>
    <xf numFmtId="0" fontId="27" fillId="0" borderId="1" xfId="50" applyFont="1" applyBorder="1" applyAlignment="1">
      <alignment horizontal="center"/>
    </xf>
    <xf numFmtId="0" fontId="27" fillId="0" borderId="2" xfId="50" applyFont="1" applyBorder="1" applyAlignment="1">
      <alignment horizontal="center"/>
    </xf>
    <xf numFmtId="0" fontId="1" fillId="2" borderId="2" xfId="50" applyFont="1" applyFill="1" applyBorder="1"/>
    <xf numFmtId="0" fontId="3" fillId="0" borderId="2" xfId="50" applyFont="1" applyBorder="1"/>
    <xf numFmtId="0" fontId="3" fillId="2" borderId="2" xfId="50" applyFont="1" applyFill="1" applyBorder="1"/>
    <xf numFmtId="0" fontId="5" fillId="0" borderId="3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49" fontId="3" fillId="2" borderId="0" xfId="50" applyNumberFormat="1" applyFont="1" applyFill="1" applyBorder="1" applyAlignment="1">
      <alignment horizontal="center"/>
    </xf>
    <xf numFmtId="49" fontId="3" fillId="0" borderId="0" xfId="50" applyNumberFormat="1" applyFont="1" applyBorder="1" applyAlignment="1">
      <alignment horizontal="center"/>
    </xf>
    <xf numFmtId="0" fontId="3" fillId="0" borderId="3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3" fillId="0" borderId="8" xfId="0" applyFont="1" applyFill="1" applyBorder="1" applyAlignment="1">
      <alignment vertical="top" wrapText="1"/>
    </xf>
    <xf numFmtId="180" fontId="3" fillId="2" borderId="0" xfId="0" applyNumberFormat="1" applyFont="1" applyFill="1" applyBorder="1" applyAlignment="1"/>
    <xf numFmtId="180" fontId="3" fillId="0" borderId="0" xfId="0" applyNumberFormat="1" applyFont="1" applyFill="1" applyBorder="1" applyAlignment="1">
      <alignment horizontal="left"/>
    </xf>
    <xf numFmtId="0" fontId="3" fillId="2" borderId="6" xfId="50" applyFont="1" applyFill="1" applyBorder="1"/>
    <xf numFmtId="0" fontId="1" fillId="0" borderId="1" xfId="50" applyFont="1" applyBorder="1"/>
    <xf numFmtId="0" fontId="3" fillId="0" borderId="8" xfId="3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3" xfId="50" applyFont="1" applyBorder="1" applyAlignment="1">
      <alignment horizontal="center"/>
    </xf>
    <xf numFmtId="0" fontId="3" fillId="0" borderId="0" xfId="50" applyFont="1" applyBorder="1" applyAlignment="1">
      <alignment horizontal="center"/>
    </xf>
    <xf numFmtId="0" fontId="3" fillId="0" borderId="3" xfId="50" applyFont="1" applyBorder="1"/>
    <xf numFmtId="0" fontId="3" fillId="0" borderId="0" xfId="50" applyFont="1" applyBorder="1"/>
    <xf numFmtId="0" fontId="3" fillId="0" borderId="6" xfId="50" applyFont="1" applyBorder="1"/>
    <xf numFmtId="0" fontId="3" fillId="0" borderId="7" xfId="31" applyFont="1" applyFill="1" applyBorder="1" applyAlignment="1">
      <alignment horizontal="center" vertical="center" wrapText="1"/>
    </xf>
    <xf numFmtId="0" fontId="1" fillId="0" borderId="2" xfId="50" applyFont="1" applyBorder="1"/>
    <xf numFmtId="0" fontId="6" fillId="0" borderId="3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5" fillId="0" borderId="3" xfId="50" applyFont="1" applyBorder="1" applyAlignment="1">
      <alignment horizontal="left"/>
    </xf>
    <xf numFmtId="0" fontId="5" fillId="0" borderId="0" xfId="50" applyFont="1" applyBorder="1" applyAlignment="1">
      <alignment horizontal="left"/>
    </xf>
    <xf numFmtId="0" fontId="3" fillId="0" borderId="5" xfId="0" applyFont="1" applyFill="1" applyBorder="1" applyAlignment="1">
      <alignment horizontal="center" vertical="center"/>
    </xf>
    <xf numFmtId="0" fontId="5" fillId="0" borderId="4" xfId="50" applyFont="1" applyBorder="1"/>
    <xf numFmtId="0" fontId="3" fillId="0" borderId="5" xfId="0" applyFont="1" applyFill="1" applyBorder="1" applyAlignment="1"/>
    <xf numFmtId="0" fontId="1" fillId="0" borderId="3" xfId="50" applyFont="1" applyBorder="1"/>
    <xf numFmtId="0" fontId="8" fillId="0" borderId="8" xfId="31" applyFont="1" applyBorder="1" applyAlignment="1">
      <alignment horizontal="right"/>
    </xf>
    <xf numFmtId="0" fontId="5" fillId="0" borderId="0" xfId="50" applyFont="1" applyBorder="1"/>
    <xf numFmtId="0" fontId="3" fillId="0" borderId="0" xfId="0" applyFont="1" applyFill="1" applyBorder="1" applyAlignment="1"/>
    <xf numFmtId="0" fontId="3" fillId="0" borderId="0" xfId="50" applyFont="1"/>
    <xf numFmtId="0" fontId="3" fillId="0" borderId="4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180" fontId="3" fillId="0" borderId="4" xfId="0" applyNumberFormat="1" applyFont="1" applyFill="1" applyBorder="1" applyAlignment="1">
      <alignment horizontal="left" wrapText="1"/>
    </xf>
    <xf numFmtId="180" fontId="3" fillId="0" borderId="7" xfId="0" applyNumberFormat="1" applyFont="1" applyFill="1" applyBorder="1" applyAlignment="1">
      <alignment horizontal="left" wrapText="1"/>
    </xf>
    <xf numFmtId="0" fontId="5" fillId="0" borderId="4" xfId="50" applyFont="1" applyFill="1" applyBorder="1"/>
    <xf numFmtId="0" fontId="3" fillId="0" borderId="5" xfId="50" applyFont="1" applyFill="1" applyBorder="1" applyAlignment="1">
      <alignment horizontal="center" vertical="center"/>
    </xf>
    <xf numFmtId="0" fontId="1" fillId="0" borderId="9" xfId="50" applyFont="1" applyBorder="1" applyAlignment="1">
      <alignment horizontal="center" vertical="center"/>
    </xf>
    <xf numFmtId="0" fontId="1" fillId="0" borderId="9" xfId="50" applyFont="1" applyBorder="1" applyAlignment="1">
      <alignment horizontal="center" vertical="center" wrapText="1"/>
    </xf>
    <xf numFmtId="0" fontId="28" fillId="0" borderId="9" xfId="0" applyFont="1" applyFill="1" applyBorder="1" applyAlignment="1">
      <alignment horizontal="center" vertical="center" wrapText="1"/>
    </xf>
    <xf numFmtId="179" fontId="3" fillId="0" borderId="9" xfId="0" applyNumberFormat="1" applyFont="1" applyFill="1" applyBorder="1" applyAlignment="1">
      <alignment horizontal="center" vertical="center" wrapText="1" shrinkToFit="1"/>
    </xf>
    <xf numFmtId="184" fontId="3" fillId="0" borderId="9" xfId="0" applyNumberFormat="1" applyFont="1" applyFill="1" applyBorder="1" applyAlignment="1">
      <alignment horizontal="center" vertical="center" wrapText="1" shrinkToFit="1"/>
    </xf>
    <xf numFmtId="0" fontId="3" fillId="0" borderId="9" xfId="0" applyNumberFormat="1" applyFont="1" applyFill="1" applyBorder="1" applyAlignment="1">
      <alignment horizontal="center" vertical="center" wrapText="1" shrinkToFit="1"/>
    </xf>
    <xf numFmtId="0" fontId="29" fillId="0" borderId="9" xfId="0" applyFont="1" applyFill="1" applyBorder="1" applyAlignment="1">
      <alignment horizontal="center" vertical="center" wrapText="1"/>
    </xf>
    <xf numFmtId="0" fontId="30" fillId="0" borderId="9" xfId="0" applyFont="1" applyFill="1" applyBorder="1" applyAlignment="1">
      <alignment horizontal="center" vertical="center" wrapText="1"/>
    </xf>
    <xf numFmtId="0" fontId="30" fillId="0" borderId="9" xfId="0" applyFont="1" applyFill="1" applyBorder="1" applyAlignment="1">
      <alignment horizontal="center" vertical="center"/>
    </xf>
    <xf numFmtId="0" fontId="19" fillId="0" borderId="9" xfId="0" applyFont="1" applyFill="1" applyBorder="1" applyAlignment="1">
      <alignment horizontal="center" vertical="center" wrapText="1"/>
    </xf>
    <xf numFmtId="0" fontId="31" fillId="0" borderId="9" xfId="0" applyFont="1" applyFill="1" applyBorder="1" applyAlignment="1">
      <alignment horizontal="center" vertical="center" wrapText="1"/>
    </xf>
    <xf numFmtId="0" fontId="21" fillId="0" borderId="9" xfId="0" applyFont="1" applyFill="1" applyBorder="1" applyAlignment="1">
      <alignment horizontal="center" vertical="center" wrapText="1"/>
    </xf>
    <xf numFmtId="0" fontId="26" fillId="0" borderId="3" xfId="0" applyFont="1" applyBorder="1">
      <alignment vertical="center"/>
    </xf>
    <xf numFmtId="0" fontId="3" fillId="0" borderId="12" xfId="50" applyFont="1" applyBorder="1"/>
    <xf numFmtId="0" fontId="3" fillId="0" borderId="20" xfId="50" applyFont="1" applyBorder="1"/>
    <xf numFmtId="0" fontId="3" fillId="0" borderId="20" xfId="50" applyFont="1" applyBorder="1" applyAlignment="1">
      <alignment horizontal="left"/>
    </xf>
    <xf numFmtId="177" fontId="1" fillId="3" borderId="20" xfId="50" applyNumberFormat="1" applyFont="1" applyFill="1" applyBorder="1" applyAlignment="1">
      <alignment horizontal="center"/>
    </xf>
    <xf numFmtId="0" fontId="1" fillId="0" borderId="20" xfId="50" applyFont="1" applyFill="1" applyBorder="1"/>
    <xf numFmtId="184" fontId="1" fillId="0" borderId="20" xfId="50" applyNumberFormat="1" applyFont="1" applyBorder="1" applyAlignment="1">
      <alignment horizontal="center"/>
    </xf>
    <xf numFmtId="0" fontId="32" fillId="0" borderId="0" xfId="0" applyFont="1" applyFill="1" applyBorder="1" applyAlignment="1">
      <alignment horizontal="left" vertical="center"/>
    </xf>
    <xf numFmtId="178" fontId="32" fillId="0" borderId="0" xfId="0" applyNumberFormat="1" applyFont="1" applyFill="1" applyBorder="1" applyAlignment="1">
      <alignment horizontal="left" vertical="center"/>
    </xf>
    <xf numFmtId="178" fontId="33" fillId="3" borderId="0" xfId="0" applyNumberFormat="1" applyFont="1" applyFill="1" applyBorder="1" applyAlignment="1">
      <alignment horizontal="left" vertical="center"/>
    </xf>
    <xf numFmtId="178" fontId="33" fillId="0" borderId="0" xfId="0" applyNumberFormat="1" applyFont="1" applyFill="1" applyBorder="1" applyAlignment="1">
      <alignment horizontal="left" vertical="center"/>
    </xf>
    <xf numFmtId="0" fontId="27" fillId="0" borderId="6" xfId="50" applyFont="1" applyBorder="1" applyAlignment="1">
      <alignment horizontal="center"/>
    </xf>
    <xf numFmtId="0" fontId="23" fillId="0" borderId="2" xfId="0" applyFont="1" applyFill="1" applyBorder="1" applyAlignment="1"/>
    <xf numFmtId="0" fontId="23" fillId="0" borderId="0" xfId="0" applyFont="1" applyFill="1" applyAlignment="1"/>
    <xf numFmtId="0" fontId="23" fillId="0" borderId="2" xfId="0" applyFont="1" applyFill="1" applyBorder="1" applyAlignment="1">
      <alignment vertical="center"/>
    </xf>
    <xf numFmtId="0" fontId="23" fillId="0" borderId="0" xfId="0" applyFont="1" applyFill="1" applyAlignment="1">
      <alignment vertical="center"/>
    </xf>
    <xf numFmtId="0" fontId="23" fillId="0" borderId="8" xfId="0" applyFont="1" applyFill="1" applyBorder="1" applyAlignment="1">
      <alignment vertical="center"/>
    </xf>
    <xf numFmtId="0" fontId="34" fillId="0" borderId="0" xfId="0" applyFont="1" applyFill="1" applyAlignment="1">
      <alignment vertical="center"/>
    </xf>
    <xf numFmtId="0" fontId="34" fillId="0" borderId="8" xfId="0" applyFont="1" applyFill="1" applyBorder="1" applyAlignment="1">
      <alignment vertical="center"/>
    </xf>
    <xf numFmtId="0" fontId="3" fillId="2" borderId="0" xfId="0" applyFont="1" applyFill="1" applyBorder="1" applyAlignment="1"/>
    <xf numFmtId="0" fontId="23" fillId="0" borderId="0" xfId="0" applyFont="1" applyFill="1" applyBorder="1" applyAlignment="1"/>
    <xf numFmtId="0" fontId="4" fillId="0" borderId="0" xfId="31" applyFont="1" applyBorder="1"/>
    <xf numFmtId="0" fontId="23" fillId="0" borderId="5" xfId="0" applyFont="1" applyFill="1" applyBorder="1" applyAlignment="1"/>
    <xf numFmtId="0" fontId="23" fillId="0" borderId="7" xfId="0" applyFont="1" applyFill="1" applyBorder="1" applyAlignment="1"/>
    <xf numFmtId="0" fontId="25" fillId="2" borderId="9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24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 shrinkToFit="1"/>
    </xf>
    <xf numFmtId="0" fontId="35" fillId="0" borderId="0" xfId="0" applyFont="1" applyFill="1">
      <alignment vertical="center"/>
    </xf>
    <xf numFmtId="0" fontId="26" fillId="0" borderId="0" xfId="0" applyFont="1" applyFill="1">
      <alignment vertical="center"/>
    </xf>
    <xf numFmtId="0" fontId="26" fillId="0" borderId="5" xfId="0" applyFont="1" applyBorder="1">
      <alignment vertical="center"/>
    </xf>
    <xf numFmtId="0" fontId="26" fillId="0" borderId="7" xfId="0" applyFont="1" applyBorder="1">
      <alignment vertical="center"/>
    </xf>
    <xf numFmtId="176" fontId="1" fillId="3" borderId="20" xfId="50" applyNumberFormat="1" applyFont="1" applyFill="1" applyBorder="1" applyAlignment="1">
      <alignment horizontal="center"/>
    </xf>
    <xf numFmtId="0" fontId="25" fillId="0" borderId="5" xfId="0" applyFont="1" applyFill="1" applyBorder="1" applyAlignment="1"/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一般_OMRON海運出口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一般_OMRON" xfId="50"/>
    <cellStyle name="常规_Sheet1_1" xfId="51"/>
    <cellStyle name="常规_啟德一般貿易" xf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29</xdr:row>
          <xdr:rowOff>95250</xdr:rowOff>
        </xdr:from>
        <xdr:to>
          <xdr:col>12</xdr:col>
          <xdr:colOff>562610</xdr:colOff>
          <xdr:row>33</xdr:row>
          <xdr:rowOff>28575</xdr:rowOff>
        </xdr:to>
        <xdr:sp>
          <xdr:nvSpPr>
            <xdr:cNvPr id="1025" name="Object 1025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8001000" y="11229975"/>
              <a:ext cx="1047750" cy="10763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552450</xdr:colOff>
          <xdr:row>42</xdr:row>
          <xdr:rowOff>152400</xdr:rowOff>
        </xdr:from>
        <xdr:to>
          <xdr:col>7</xdr:col>
          <xdr:colOff>229235</xdr:colOff>
          <xdr:row>48</xdr:row>
          <xdr:rowOff>142875</xdr:rowOff>
        </xdr:to>
        <xdr:sp>
          <xdr:nvSpPr>
            <xdr:cNvPr id="2049" name="Object 1025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4467225" y="9594850"/>
              <a:ext cx="1134110" cy="10763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w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w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"/>
  <sheetViews>
    <sheetView tabSelected="1" view="pageBreakPreview" zoomScaleNormal="100" zoomScaleSheetLayoutView="100" workbookViewId="0">
      <selection activeCell="Q25" sqref="Q25"/>
    </sheetView>
  </sheetViews>
  <sheetFormatPr defaultColWidth="9" defaultRowHeight="22.5"/>
  <cols>
    <col min="1" max="1" width="6.125" style="128" customWidth="1"/>
    <col min="2" max="2" width="12" style="128" customWidth="1"/>
    <col min="3" max="3" width="10.125" style="128"/>
    <col min="4" max="4" width="16.625" style="128" customWidth="1"/>
    <col min="5" max="5" width="9.375" style="128"/>
    <col min="6" max="9" width="9" style="128"/>
    <col min="10" max="10" width="8.125" style="128" customWidth="1"/>
    <col min="11" max="11" width="6.625" style="128" customWidth="1"/>
    <col min="12" max="14" width="6.875" style="128" customWidth="1"/>
    <col min="15" max="16384" width="9" style="128"/>
  </cols>
  <sheetData>
    <row r="1" ht="23.25" spans="1:15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98"/>
    </row>
    <row r="2" ht="14.25" spans="1:15">
      <c r="A2" s="25" t="s">
        <v>1</v>
      </c>
      <c r="B2" s="131"/>
      <c r="C2" s="132"/>
      <c r="D2" s="38"/>
      <c r="E2" s="25" t="s">
        <v>2</v>
      </c>
      <c r="F2" s="133"/>
      <c r="G2" s="133"/>
      <c r="H2" s="132"/>
      <c r="I2" s="132"/>
      <c r="J2" s="199"/>
      <c r="K2" s="199"/>
      <c r="L2" s="199"/>
      <c r="M2" s="199"/>
      <c r="N2" s="199"/>
      <c r="O2" s="109"/>
    </row>
    <row r="3" ht="14.25" spans="1:15">
      <c r="A3" s="134" t="s">
        <v>3</v>
      </c>
      <c r="B3" s="135"/>
      <c r="C3" s="135"/>
      <c r="D3" s="136"/>
      <c r="E3" s="13" t="s">
        <v>4</v>
      </c>
      <c r="F3" s="14"/>
      <c r="G3" s="137"/>
      <c r="H3" s="138"/>
      <c r="I3" s="152"/>
      <c r="J3" s="200"/>
      <c r="K3" s="200"/>
      <c r="L3" s="200"/>
      <c r="M3" s="200"/>
      <c r="N3" s="200"/>
      <c r="O3" s="109"/>
    </row>
    <row r="4" ht="14.25" spans="1:15">
      <c r="A4" s="139"/>
      <c r="B4" s="140"/>
      <c r="C4" s="140"/>
      <c r="D4" s="141"/>
      <c r="E4" s="18" t="s">
        <v>5</v>
      </c>
      <c r="F4" s="19"/>
      <c r="G4" s="142"/>
      <c r="H4" s="143"/>
      <c r="I4" s="152"/>
      <c r="J4" s="200"/>
      <c r="K4" s="200"/>
      <c r="L4" s="200"/>
      <c r="M4" s="200"/>
      <c r="N4" s="200"/>
      <c r="O4" s="109"/>
    </row>
    <row r="5" ht="14.25" spans="1:15">
      <c r="A5" s="25" t="s">
        <v>6</v>
      </c>
      <c r="B5" s="131"/>
      <c r="C5" s="133"/>
      <c r="D5" s="144"/>
      <c r="E5" s="145" t="s">
        <v>7</v>
      </c>
      <c r="F5" s="132"/>
      <c r="G5" s="132"/>
      <c r="H5" s="132"/>
      <c r="I5" s="132"/>
      <c r="J5" s="201"/>
      <c r="K5" s="202"/>
      <c r="L5" s="202"/>
      <c r="M5" s="202"/>
      <c r="N5" s="202"/>
      <c r="O5" s="203"/>
    </row>
    <row r="6" ht="14.25" spans="1:15">
      <c r="A6" s="28" t="s">
        <v>8</v>
      </c>
      <c r="B6" s="29"/>
      <c r="C6" s="29"/>
      <c r="D6" s="146"/>
      <c r="E6" s="147" t="s">
        <v>9</v>
      </c>
      <c r="F6" s="148"/>
      <c r="G6" s="148"/>
      <c r="H6" s="148"/>
      <c r="I6" s="152"/>
      <c r="J6" s="202"/>
      <c r="K6" s="202"/>
      <c r="L6" s="202"/>
      <c r="M6" s="202"/>
      <c r="N6" s="202"/>
      <c r="O6" s="203"/>
    </row>
    <row r="7" ht="14.25" spans="1:15">
      <c r="A7" s="28"/>
      <c r="B7" s="29"/>
      <c r="C7" s="29"/>
      <c r="D7" s="146"/>
      <c r="E7" s="149"/>
      <c r="F7" s="150"/>
      <c r="G7" s="150"/>
      <c r="H7" s="150"/>
      <c r="I7" s="150"/>
      <c r="J7" s="204"/>
      <c r="K7" s="204"/>
      <c r="L7" s="204"/>
      <c r="M7" s="204"/>
      <c r="N7" s="204"/>
      <c r="O7" s="205"/>
    </row>
    <row r="8" ht="14.25" spans="1:15">
      <c r="A8" s="28"/>
      <c r="B8" s="29"/>
      <c r="C8" s="29"/>
      <c r="D8" s="146"/>
      <c r="E8" s="151"/>
      <c r="F8" s="152"/>
      <c r="G8" s="152"/>
      <c r="H8" s="152"/>
      <c r="I8" s="152"/>
      <c r="J8" s="204"/>
      <c r="K8" s="204"/>
      <c r="L8" s="204"/>
      <c r="M8" s="204"/>
      <c r="N8" s="204"/>
      <c r="O8" s="205"/>
    </row>
    <row r="9" ht="17" customHeight="1" spans="1:15">
      <c r="A9" s="25" t="s">
        <v>10</v>
      </c>
      <c r="B9" s="132"/>
      <c r="C9" s="132"/>
      <c r="D9" s="153"/>
      <c r="E9" s="25" t="s">
        <v>11</v>
      </c>
      <c r="F9" s="133"/>
      <c r="G9" s="133"/>
      <c r="H9" s="133"/>
      <c r="I9" s="133"/>
      <c r="J9" s="132"/>
      <c r="K9" s="132"/>
      <c r="L9" s="132"/>
      <c r="M9" s="132"/>
      <c r="N9" s="132"/>
      <c r="O9" s="153"/>
    </row>
    <row r="10" ht="17" customHeight="1" spans="1:15">
      <c r="A10" s="28" t="s">
        <v>8</v>
      </c>
      <c r="B10" s="29"/>
      <c r="C10" s="29"/>
      <c r="D10" s="146"/>
      <c r="E10" s="147" t="s">
        <v>12</v>
      </c>
      <c r="F10" s="148"/>
      <c r="G10" s="148"/>
      <c r="H10" s="148"/>
      <c r="I10" s="206"/>
      <c r="J10" s="207"/>
      <c r="K10" s="207"/>
      <c r="L10" s="207"/>
      <c r="M10" s="207"/>
      <c r="N10" s="207"/>
      <c r="O10" s="109"/>
    </row>
    <row r="11" ht="22" customHeight="1" spans="1:15">
      <c r="A11" s="33"/>
      <c r="B11" s="34"/>
      <c r="C11" s="34"/>
      <c r="D11" s="154"/>
      <c r="E11" s="151"/>
      <c r="F11" s="152"/>
      <c r="G11" s="152"/>
      <c r="H11" s="152"/>
      <c r="I11" s="208"/>
      <c r="J11" s="207"/>
      <c r="K11" s="207"/>
      <c r="L11" s="207"/>
      <c r="M11" s="207"/>
      <c r="N11" s="207"/>
      <c r="O11" s="205"/>
    </row>
    <row r="12" ht="15" customHeight="1" spans="1:15">
      <c r="A12" s="145" t="s">
        <v>13</v>
      </c>
      <c r="B12" s="153"/>
      <c r="C12" s="155" t="s">
        <v>14</v>
      </c>
      <c r="D12" s="132"/>
      <c r="E12" s="145" t="s">
        <v>15</v>
      </c>
      <c r="F12" s="8"/>
      <c r="G12" s="8"/>
      <c r="H12" s="8"/>
      <c r="I12" s="132"/>
      <c r="J12" s="199"/>
      <c r="K12" s="199"/>
      <c r="L12" s="199"/>
      <c r="M12" s="199"/>
      <c r="N12" s="199"/>
      <c r="O12" s="108"/>
    </row>
    <row r="13" ht="15" customHeight="1" spans="1:15">
      <c r="A13" s="156" t="s">
        <v>16</v>
      </c>
      <c r="B13" s="157"/>
      <c r="C13" s="158" t="s">
        <v>17</v>
      </c>
      <c r="D13" s="158"/>
      <c r="E13" s="159"/>
      <c r="F13" s="160"/>
      <c r="G13" s="160"/>
      <c r="H13" s="152"/>
      <c r="I13" s="152"/>
      <c r="J13" s="207"/>
      <c r="K13" s="207"/>
      <c r="L13" s="207"/>
      <c r="M13" s="207"/>
      <c r="N13" s="207"/>
      <c r="O13" s="109"/>
    </row>
    <row r="14" ht="25" customHeight="1" spans="1:15">
      <c r="A14" s="40"/>
      <c r="B14" s="42"/>
      <c r="C14" s="161"/>
      <c r="D14" s="161"/>
      <c r="E14" s="162"/>
      <c r="F14" s="163"/>
      <c r="G14" s="22"/>
      <c r="H14" s="22"/>
      <c r="I14" s="22"/>
      <c r="J14" s="209"/>
      <c r="K14" s="209"/>
      <c r="L14" s="209"/>
      <c r="M14" s="209"/>
      <c r="N14" s="209"/>
      <c r="O14" s="210"/>
    </row>
    <row r="15" ht="20" customHeight="1" spans="1:15">
      <c r="A15" s="145" t="s">
        <v>18</v>
      </c>
      <c r="B15" s="153"/>
      <c r="C15" s="164" t="s">
        <v>19</v>
      </c>
      <c r="D15" s="165"/>
      <c r="E15" s="166"/>
      <c r="F15" s="167"/>
      <c r="G15" s="168"/>
      <c r="H15" s="168"/>
      <c r="I15" s="168"/>
      <c r="J15" s="207"/>
      <c r="K15" s="207"/>
      <c r="L15" s="207"/>
      <c r="M15" s="207"/>
      <c r="N15" s="207"/>
      <c r="O15" s="109"/>
    </row>
    <row r="16" ht="25" customHeight="1" spans="1:15">
      <c r="A16" s="169" t="s">
        <v>20</v>
      </c>
      <c r="B16" s="170"/>
      <c r="C16" s="171" t="s">
        <v>21</v>
      </c>
      <c r="D16" s="172"/>
      <c r="E16" s="173" t="s">
        <v>22</v>
      </c>
      <c r="F16" s="174" t="s">
        <v>23</v>
      </c>
      <c r="G16" s="174"/>
      <c r="H16" s="174"/>
      <c r="I16" s="22"/>
      <c r="J16" s="209"/>
      <c r="K16" s="207"/>
      <c r="L16" s="207"/>
      <c r="M16" s="207"/>
      <c r="N16" s="207"/>
      <c r="O16" s="109"/>
    </row>
    <row r="17" ht="25.5" spans="1:15">
      <c r="A17" s="175" t="s">
        <v>24</v>
      </c>
      <c r="B17" s="54" t="s">
        <v>25</v>
      </c>
      <c r="C17" s="54" t="s">
        <v>26</v>
      </c>
      <c r="D17" s="176" t="s">
        <v>27</v>
      </c>
      <c r="E17" s="54" t="s">
        <v>28</v>
      </c>
      <c r="F17" s="54" t="s">
        <v>29</v>
      </c>
      <c r="G17" s="54" t="s">
        <v>30</v>
      </c>
      <c r="H17" s="54" t="s">
        <v>31</v>
      </c>
      <c r="I17" s="54" t="s">
        <v>32</v>
      </c>
      <c r="J17" s="211" t="s">
        <v>33</v>
      </c>
      <c r="K17" s="211" t="s">
        <v>34</v>
      </c>
      <c r="L17" s="212" t="s">
        <v>35</v>
      </c>
      <c r="M17" s="212" t="s">
        <v>36</v>
      </c>
      <c r="N17" s="212" t="s">
        <v>37</v>
      </c>
      <c r="O17" s="213" t="s">
        <v>38</v>
      </c>
    </row>
    <row r="18" ht="57" customHeight="1" spans="1:16">
      <c r="A18" s="62" t="s">
        <v>39</v>
      </c>
      <c r="B18" s="59" t="s">
        <v>40</v>
      </c>
      <c r="C18" s="58">
        <v>2250403279</v>
      </c>
      <c r="D18" s="177" t="s">
        <v>41</v>
      </c>
      <c r="E18" s="62">
        <v>2200</v>
      </c>
      <c r="F18" s="178" t="s">
        <v>42</v>
      </c>
      <c r="G18" s="179">
        <v>0.23</v>
      </c>
      <c r="H18" s="180" t="s">
        <v>43</v>
      </c>
      <c r="I18" s="68">
        <f t="shared" ref="I18:I22" si="0">ROUND(E18*G18,2)</f>
        <v>506</v>
      </c>
      <c r="J18" s="62" t="s">
        <v>44</v>
      </c>
      <c r="K18" s="62"/>
      <c r="L18" s="214" t="s">
        <v>45</v>
      </c>
      <c r="M18" s="214" t="s">
        <v>45</v>
      </c>
      <c r="N18" s="62" t="s">
        <v>46</v>
      </c>
      <c r="O18" s="62">
        <f>11.7*7</f>
        <v>81.9</v>
      </c>
      <c r="P18" s="215"/>
    </row>
    <row r="19" ht="57" customHeight="1" spans="1:16">
      <c r="A19" s="62">
        <v>2</v>
      </c>
      <c r="B19" s="59" t="s">
        <v>40</v>
      </c>
      <c r="C19" s="58">
        <v>2250503406</v>
      </c>
      <c r="D19" s="177" t="s">
        <v>41</v>
      </c>
      <c r="E19" s="62">
        <v>6800</v>
      </c>
      <c r="F19" s="178" t="s">
        <v>42</v>
      </c>
      <c r="G19" s="179">
        <v>0.23</v>
      </c>
      <c r="H19" s="180" t="s">
        <v>43</v>
      </c>
      <c r="I19" s="68">
        <f t="shared" si="0"/>
        <v>1564</v>
      </c>
      <c r="J19" s="62" t="s">
        <v>44</v>
      </c>
      <c r="K19" s="62"/>
      <c r="L19" s="214" t="s">
        <v>45</v>
      </c>
      <c r="M19" s="214" t="s">
        <v>45</v>
      </c>
      <c r="N19" s="62" t="s">
        <v>46</v>
      </c>
      <c r="O19" s="62">
        <f>11.7*23</f>
        <v>269.1</v>
      </c>
      <c r="P19" s="215"/>
    </row>
    <row r="20" ht="57" customHeight="1" spans="1:16">
      <c r="A20" s="62">
        <v>3</v>
      </c>
      <c r="B20" s="67" t="s">
        <v>47</v>
      </c>
      <c r="C20" s="58">
        <v>2250700885</v>
      </c>
      <c r="D20" s="181" t="s">
        <v>48</v>
      </c>
      <c r="E20" s="62">
        <v>200</v>
      </c>
      <c r="F20" s="178" t="s">
        <v>42</v>
      </c>
      <c r="G20" s="179">
        <v>0.37</v>
      </c>
      <c r="H20" s="180" t="s">
        <v>43</v>
      </c>
      <c r="I20" s="68">
        <f t="shared" si="0"/>
        <v>74</v>
      </c>
      <c r="J20" s="62" t="s">
        <v>44</v>
      </c>
      <c r="K20" s="62"/>
      <c r="L20" s="214" t="s">
        <v>45</v>
      </c>
      <c r="M20" s="214" t="s">
        <v>45</v>
      </c>
      <c r="N20" s="62" t="s">
        <v>46</v>
      </c>
      <c r="O20" s="62">
        <f>5.06*1+3.2*1</f>
        <v>8.26</v>
      </c>
      <c r="P20" s="216"/>
    </row>
    <row r="21" ht="57" customHeight="1" spans="1:16">
      <c r="A21" s="62">
        <v>4</v>
      </c>
      <c r="B21" s="59" t="s">
        <v>49</v>
      </c>
      <c r="C21" s="58">
        <v>2250302805</v>
      </c>
      <c r="D21" s="182" t="s">
        <v>50</v>
      </c>
      <c r="E21" s="62">
        <v>1500</v>
      </c>
      <c r="F21" s="178" t="s">
        <v>42</v>
      </c>
      <c r="G21" s="183">
        <v>0.678</v>
      </c>
      <c r="H21" s="180" t="s">
        <v>43</v>
      </c>
      <c r="I21" s="68">
        <f t="shared" si="0"/>
        <v>1017</v>
      </c>
      <c r="J21" s="62" t="s">
        <v>44</v>
      </c>
      <c r="K21" s="62"/>
      <c r="L21" s="214" t="s">
        <v>45</v>
      </c>
      <c r="M21" s="214" t="s">
        <v>45</v>
      </c>
      <c r="N21" s="62" t="s">
        <v>46</v>
      </c>
      <c r="O21" s="62">
        <f>14.5*4</f>
        <v>58</v>
      </c>
      <c r="P21" s="215" t="s">
        <v>51</v>
      </c>
    </row>
    <row r="22" ht="57" customHeight="1" spans="1:16">
      <c r="A22" s="62">
        <v>5</v>
      </c>
      <c r="B22" s="59" t="s">
        <v>49</v>
      </c>
      <c r="C22" s="58">
        <v>2250402758</v>
      </c>
      <c r="D22" s="182" t="s">
        <v>50</v>
      </c>
      <c r="E22" s="62">
        <v>7700</v>
      </c>
      <c r="F22" s="178" t="s">
        <v>42</v>
      </c>
      <c r="G22" s="183">
        <v>0.678</v>
      </c>
      <c r="H22" s="180" t="s">
        <v>43</v>
      </c>
      <c r="I22" s="68">
        <f t="shared" si="0"/>
        <v>5220.6</v>
      </c>
      <c r="J22" s="62" t="s">
        <v>44</v>
      </c>
      <c r="K22" s="62"/>
      <c r="L22" s="214" t="s">
        <v>45</v>
      </c>
      <c r="M22" s="214" t="s">
        <v>45</v>
      </c>
      <c r="N22" s="62" t="s">
        <v>46</v>
      </c>
      <c r="O22" s="62">
        <f>14.5*19</f>
        <v>275.5</v>
      </c>
      <c r="P22" s="215" t="s">
        <v>51</v>
      </c>
    </row>
    <row r="23" ht="57" customHeight="1" spans="1:16">
      <c r="A23" s="62">
        <v>6</v>
      </c>
      <c r="B23" s="72" t="s">
        <v>52</v>
      </c>
      <c r="C23" s="71">
        <v>2250500768</v>
      </c>
      <c r="D23" s="184" t="s">
        <v>53</v>
      </c>
      <c r="E23" s="62">
        <v>9000</v>
      </c>
      <c r="F23" s="178" t="s">
        <v>42</v>
      </c>
      <c r="G23" s="179">
        <v>0.265</v>
      </c>
      <c r="H23" s="180" t="s">
        <v>43</v>
      </c>
      <c r="I23" s="68">
        <f t="shared" ref="I23:I26" si="1">ROUND(E23*G23,2)</f>
        <v>2385</v>
      </c>
      <c r="J23" s="62" t="s">
        <v>44</v>
      </c>
      <c r="K23" s="62"/>
      <c r="L23" s="214" t="s">
        <v>45</v>
      </c>
      <c r="M23" s="214" t="s">
        <v>45</v>
      </c>
      <c r="N23" s="62" t="s">
        <v>54</v>
      </c>
      <c r="O23" s="62">
        <f>15.56*30</f>
        <v>466.8</v>
      </c>
      <c r="P23" s="215" t="s">
        <v>51</v>
      </c>
    </row>
    <row r="24" ht="57" customHeight="1" spans="1:16">
      <c r="A24" s="62">
        <v>7</v>
      </c>
      <c r="B24" s="72" t="s">
        <v>55</v>
      </c>
      <c r="C24" s="71">
        <v>2250500768</v>
      </c>
      <c r="D24" s="184" t="s">
        <v>53</v>
      </c>
      <c r="E24" s="62">
        <v>9000</v>
      </c>
      <c r="F24" s="178" t="s">
        <v>42</v>
      </c>
      <c r="G24" s="179">
        <v>0.265</v>
      </c>
      <c r="H24" s="180" t="s">
        <v>43</v>
      </c>
      <c r="I24" s="68">
        <f t="shared" si="1"/>
        <v>2385</v>
      </c>
      <c r="J24" s="62" t="s">
        <v>44</v>
      </c>
      <c r="K24" s="62"/>
      <c r="L24" s="214" t="s">
        <v>45</v>
      </c>
      <c r="M24" s="214" t="s">
        <v>45</v>
      </c>
      <c r="N24" s="62" t="s">
        <v>54</v>
      </c>
      <c r="O24" s="62">
        <f>15.22*30</f>
        <v>456.6</v>
      </c>
      <c r="P24" s="215" t="s">
        <v>51</v>
      </c>
    </row>
    <row r="25" ht="57" customHeight="1" spans="1:16">
      <c r="A25" s="62">
        <v>8</v>
      </c>
      <c r="B25" s="76" t="s">
        <v>56</v>
      </c>
      <c r="C25" s="71">
        <v>2250500768</v>
      </c>
      <c r="D25" s="185" t="s">
        <v>57</v>
      </c>
      <c r="E25" s="62">
        <v>9000</v>
      </c>
      <c r="F25" s="178" t="s">
        <v>42</v>
      </c>
      <c r="G25" s="179">
        <v>0.63</v>
      </c>
      <c r="H25" s="180" t="s">
        <v>43</v>
      </c>
      <c r="I25" s="68">
        <f t="shared" si="1"/>
        <v>5670</v>
      </c>
      <c r="J25" s="62" t="s">
        <v>44</v>
      </c>
      <c r="K25" s="62"/>
      <c r="L25" s="214" t="s">
        <v>45</v>
      </c>
      <c r="M25" s="214" t="s">
        <v>45</v>
      </c>
      <c r="N25" s="62" t="s">
        <v>46</v>
      </c>
      <c r="O25" s="62">
        <f>11.06*90</f>
        <v>995.4</v>
      </c>
      <c r="P25" s="216"/>
    </row>
    <row r="26" ht="57" customHeight="1" spans="1:16">
      <c r="A26" s="62">
        <v>9</v>
      </c>
      <c r="B26" s="79" t="s">
        <v>58</v>
      </c>
      <c r="C26" s="71">
        <v>2250500768</v>
      </c>
      <c r="D26" s="186" t="s">
        <v>59</v>
      </c>
      <c r="E26" s="62">
        <v>9000</v>
      </c>
      <c r="F26" s="178" t="s">
        <v>42</v>
      </c>
      <c r="G26" s="179">
        <v>0.55</v>
      </c>
      <c r="H26" s="180" t="s">
        <v>43</v>
      </c>
      <c r="I26" s="68">
        <f t="shared" si="1"/>
        <v>4950</v>
      </c>
      <c r="J26" s="62" t="s">
        <v>44</v>
      </c>
      <c r="K26" s="62"/>
      <c r="L26" s="214" t="s">
        <v>45</v>
      </c>
      <c r="M26" s="214" t="s">
        <v>45</v>
      </c>
      <c r="N26" s="62" t="s">
        <v>46</v>
      </c>
      <c r="O26" s="62">
        <f>8.92*75</f>
        <v>669</v>
      </c>
      <c r="P26" s="216"/>
    </row>
    <row r="27" spans="1:15">
      <c r="A27" s="187"/>
      <c r="J27" s="217"/>
      <c r="K27" s="217"/>
      <c r="L27" s="217"/>
      <c r="M27" s="217"/>
      <c r="N27" s="217"/>
      <c r="O27" s="218"/>
    </row>
    <row r="28" ht="14.25" spans="1:15">
      <c r="A28" s="188"/>
      <c r="B28" s="189"/>
      <c r="C28" s="190" t="s">
        <v>60</v>
      </c>
      <c r="D28" s="190"/>
      <c r="E28" s="191">
        <f>SUM(E18:E27)</f>
        <v>54400</v>
      </c>
      <c r="F28" s="192"/>
      <c r="G28" s="193"/>
      <c r="H28" s="193"/>
      <c r="I28" s="219">
        <f>SUM(I18:I27)</f>
        <v>23771.6</v>
      </c>
      <c r="J28" s="220"/>
      <c r="K28" s="220"/>
      <c r="L28" s="220"/>
      <c r="M28" s="220"/>
      <c r="N28" s="220"/>
      <c r="O28" s="219">
        <f>SUM(O18:O27)</f>
        <v>3280.56</v>
      </c>
    </row>
    <row r="30" spans="5:6">
      <c r="E30" s="194" t="s">
        <v>61</v>
      </c>
      <c r="F30" s="195" t="s">
        <v>62</v>
      </c>
    </row>
    <row r="31" spans="5:15">
      <c r="E31" s="194" t="s">
        <v>63</v>
      </c>
      <c r="F31" s="194">
        <v>2358</v>
      </c>
      <c r="K31" s="104" t="s">
        <v>3</v>
      </c>
      <c r="L31" s="104"/>
      <c r="M31" s="104"/>
      <c r="N31" s="104"/>
      <c r="O31" s="104"/>
    </row>
    <row r="32" spans="5:15">
      <c r="E32" s="194" t="s">
        <v>64</v>
      </c>
      <c r="F32" s="196" t="s">
        <v>65</v>
      </c>
      <c r="K32" s="105" t="s">
        <v>20</v>
      </c>
      <c r="L32" s="105"/>
      <c r="M32" s="105"/>
      <c r="N32" s="105"/>
      <c r="O32" s="127"/>
    </row>
    <row r="33" spans="5:6">
      <c r="E33" s="194" t="s">
        <v>66</v>
      </c>
      <c r="F33" s="197" t="s">
        <v>67</v>
      </c>
    </row>
  </sheetData>
  <mergeCells count="19">
    <mergeCell ref="A1:O1"/>
    <mergeCell ref="A3:D3"/>
    <mergeCell ref="E3:F3"/>
    <mergeCell ref="A4:D4"/>
    <mergeCell ref="E4:F4"/>
    <mergeCell ref="E6:H6"/>
    <mergeCell ref="E7:I7"/>
    <mergeCell ref="E10:H10"/>
    <mergeCell ref="E13:G13"/>
    <mergeCell ref="A16:B16"/>
    <mergeCell ref="C16:D16"/>
    <mergeCell ref="F16:H16"/>
    <mergeCell ref="C28:D28"/>
    <mergeCell ref="K31:O31"/>
    <mergeCell ref="K32:N32"/>
    <mergeCell ref="A6:D8"/>
    <mergeCell ref="A10:D11"/>
    <mergeCell ref="A13:B14"/>
    <mergeCell ref="C13:D14"/>
  </mergeCells>
  <pageMargins left="0.75" right="0.75" top="1" bottom="1" header="0.5" footer="0.5"/>
  <pageSetup paperSize="9" scale="61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AutoCAD.Drawing.17" r:id="rId3">
          <objectPr defaultSize="0" r:id="rId4">
            <anchor moveWithCells="1" sizeWithCells="1">
              <from>
                <xdr:col>11</xdr:col>
                <xdr:colOff>0</xdr:colOff>
                <xdr:row>29</xdr:row>
                <xdr:rowOff>95250</xdr:rowOff>
              </from>
              <to>
                <xdr:col>12</xdr:col>
                <xdr:colOff>562610</xdr:colOff>
                <xdr:row>33</xdr:row>
                <xdr:rowOff>28575</xdr:rowOff>
              </to>
            </anchor>
          </objectPr>
        </oleObject>
      </mc:Choice>
      <mc:Fallback>
        <oleObject shapeId="1025" progId="AutoCAD.Drawing.17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view="pageBreakPreview" zoomScaleNormal="100" zoomScaleSheetLayoutView="100" topLeftCell="A26" workbookViewId="0">
      <selection activeCell="I38" sqref="I38"/>
    </sheetView>
  </sheetViews>
  <sheetFormatPr defaultColWidth="9" defaultRowHeight="13.5"/>
  <cols>
    <col min="1" max="1" width="7.875" customWidth="1"/>
    <col min="2" max="2" width="12.375" customWidth="1"/>
    <col min="3" max="3" width="11.25" customWidth="1"/>
    <col min="5" max="5" width="10.875" customWidth="1"/>
    <col min="6" max="6" width="10.125"/>
    <col min="10" max="10" width="11.25" customWidth="1"/>
  </cols>
  <sheetData>
    <row r="1" spans="1:10">
      <c r="A1" s="2" t="s">
        <v>68</v>
      </c>
      <c r="B1" s="3"/>
      <c r="C1" s="3"/>
      <c r="D1" s="3"/>
      <c r="E1" s="3"/>
      <c r="F1" s="3"/>
      <c r="G1" s="3"/>
      <c r="H1" s="3"/>
      <c r="I1" s="3"/>
      <c r="J1" s="106"/>
    </row>
    <row r="2" spans="1:10">
      <c r="A2" s="4"/>
      <c r="B2" s="5"/>
      <c r="C2" s="5"/>
      <c r="D2" s="5"/>
      <c r="E2" s="5"/>
      <c r="F2" s="5"/>
      <c r="G2" s="5"/>
      <c r="H2" s="5"/>
      <c r="I2" s="5"/>
      <c r="J2" s="107"/>
    </row>
    <row r="3" ht="14.25" spans="1:10">
      <c r="A3" s="6" t="s">
        <v>1</v>
      </c>
      <c r="B3" s="7"/>
      <c r="C3" s="8"/>
      <c r="D3" s="8"/>
      <c r="E3" s="9"/>
      <c r="F3" s="6" t="s">
        <v>69</v>
      </c>
      <c r="G3" s="8"/>
      <c r="H3" s="8"/>
      <c r="I3" s="8"/>
      <c r="J3" s="108"/>
    </row>
    <row r="4" ht="14.25" spans="1:10">
      <c r="A4" s="10" t="s">
        <v>3</v>
      </c>
      <c r="B4" s="11"/>
      <c r="C4" s="11"/>
      <c r="D4" s="11"/>
      <c r="E4" s="12"/>
      <c r="F4" s="13" t="str">
        <f>+INVOICE!E3</f>
        <v>TK2025080901</v>
      </c>
      <c r="G4" s="14"/>
      <c r="H4" s="15"/>
      <c r="I4" s="15"/>
      <c r="J4" s="109"/>
    </row>
    <row r="5" ht="14.25" spans="1:10">
      <c r="A5" s="16"/>
      <c r="B5" s="17"/>
      <c r="C5" s="17"/>
      <c r="D5" s="17"/>
      <c r="E5" s="17"/>
      <c r="F5" s="18" t="str">
        <f>+INVOICE!E4</f>
        <v>August.09.2025</v>
      </c>
      <c r="G5" s="19"/>
      <c r="H5" s="15"/>
      <c r="I5" s="15"/>
      <c r="J5" s="109"/>
    </row>
    <row r="6" ht="14.25" spans="1:10">
      <c r="A6" s="16"/>
      <c r="B6" s="17"/>
      <c r="C6" s="17"/>
      <c r="D6" s="17"/>
      <c r="E6" s="17"/>
      <c r="F6" s="20"/>
      <c r="G6" s="15"/>
      <c r="H6" s="15"/>
      <c r="I6" s="15"/>
      <c r="J6" s="109"/>
    </row>
    <row r="7" spans="1:10">
      <c r="A7" s="21"/>
      <c r="B7" s="22"/>
      <c r="C7" s="23"/>
      <c r="D7" s="23"/>
      <c r="E7" s="23"/>
      <c r="F7" s="24" t="s">
        <v>70</v>
      </c>
      <c r="G7" s="8"/>
      <c r="H7" s="8"/>
      <c r="I7" s="8"/>
      <c r="J7" s="110"/>
    </row>
    <row r="8" ht="14.25" spans="1:10">
      <c r="A8" s="25" t="s">
        <v>6</v>
      </c>
      <c r="B8" s="7"/>
      <c r="C8" s="26"/>
      <c r="D8" s="26"/>
      <c r="E8" s="26"/>
      <c r="F8" s="27"/>
      <c r="G8" s="15"/>
      <c r="H8" s="15"/>
      <c r="I8" s="15"/>
      <c r="J8" s="109"/>
    </row>
    <row r="9" ht="10" customHeight="1" spans="1:10">
      <c r="A9" s="28" t="s">
        <v>8</v>
      </c>
      <c r="B9" s="29"/>
      <c r="C9" s="29"/>
      <c r="D9" s="29"/>
      <c r="E9" s="30"/>
      <c r="F9" s="31"/>
      <c r="G9" s="32"/>
      <c r="H9" s="32"/>
      <c r="I9" s="32"/>
      <c r="J9" s="111"/>
    </row>
    <row r="10" ht="10" customHeight="1" spans="1:10">
      <c r="A10" s="28"/>
      <c r="B10" s="29"/>
      <c r="C10" s="29"/>
      <c r="D10" s="29"/>
      <c r="E10" s="30"/>
      <c r="F10" s="31"/>
      <c r="G10" s="32"/>
      <c r="H10" s="32"/>
      <c r="I10" s="32"/>
      <c r="J10" s="111"/>
    </row>
    <row r="11" ht="10" customHeight="1" spans="1:10">
      <c r="A11" s="28"/>
      <c r="B11" s="29"/>
      <c r="C11" s="29"/>
      <c r="D11" s="29"/>
      <c r="E11" s="30"/>
      <c r="F11" s="31"/>
      <c r="G11" s="32"/>
      <c r="H11" s="32"/>
      <c r="I11" s="32"/>
      <c r="J11" s="111"/>
    </row>
    <row r="12" ht="10" customHeight="1" spans="1:10">
      <c r="A12" s="33"/>
      <c r="B12" s="34"/>
      <c r="C12" s="34"/>
      <c r="D12" s="34"/>
      <c r="E12" s="34"/>
      <c r="F12" s="31"/>
      <c r="G12" s="32"/>
      <c r="H12" s="32"/>
      <c r="I12" s="32"/>
      <c r="J12" s="111"/>
    </row>
    <row r="13" spans="1:10">
      <c r="A13" s="25" t="s">
        <v>10</v>
      </c>
      <c r="B13" s="35"/>
      <c r="C13" s="36"/>
      <c r="D13" s="36"/>
      <c r="E13" s="15"/>
      <c r="F13" s="31"/>
      <c r="G13" s="32"/>
      <c r="H13" s="32"/>
      <c r="I13" s="32"/>
      <c r="J13" s="111"/>
    </row>
    <row r="14" ht="10" customHeight="1" spans="1:10">
      <c r="A14" s="28" t="s">
        <v>8</v>
      </c>
      <c r="B14" s="29"/>
      <c r="C14" s="29"/>
      <c r="D14" s="29"/>
      <c r="E14" s="30"/>
      <c r="F14" s="31"/>
      <c r="G14" s="32"/>
      <c r="H14" s="32"/>
      <c r="I14" s="32"/>
      <c r="J14" s="111"/>
    </row>
    <row r="15" ht="10" customHeight="1" spans="1:10">
      <c r="A15" s="28"/>
      <c r="B15" s="29"/>
      <c r="C15" s="29"/>
      <c r="D15" s="29"/>
      <c r="E15" s="30"/>
      <c r="F15" s="31"/>
      <c r="G15" s="32"/>
      <c r="H15" s="32"/>
      <c r="I15" s="32"/>
      <c r="J15" s="111"/>
    </row>
    <row r="16" ht="10" customHeight="1" spans="1:10">
      <c r="A16" s="33"/>
      <c r="B16" s="34"/>
      <c r="C16" s="34"/>
      <c r="D16" s="34"/>
      <c r="E16" s="34"/>
      <c r="F16" s="31"/>
      <c r="G16" s="32"/>
      <c r="H16" s="32"/>
      <c r="I16" s="32"/>
      <c r="J16" s="111"/>
    </row>
    <row r="17" spans="1:10">
      <c r="A17" s="24" t="s">
        <v>71</v>
      </c>
      <c r="B17" s="37"/>
      <c r="C17" s="38"/>
      <c r="D17" s="37" t="s">
        <v>72</v>
      </c>
      <c r="E17" s="39"/>
      <c r="F17" s="31"/>
      <c r="G17" s="32"/>
      <c r="H17" s="32"/>
      <c r="I17" s="32"/>
      <c r="J17" s="111"/>
    </row>
    <row r="18" ht="25" customHeight="1" spans="1:10">
      <c r="A18" s="40" t="s">
        <v>16</v>
      </c>
      <c r="B18" s="41"/>
      <c r="C18" s="42"/>
      <c r="D18" s="43" t="s">
        <v>17</v>
      </c>
      <c r="E18" s="44"/>
      <c r="F18" s="31"/>
      <c r="G18" s="32"/>
      <c r="H18" s="32"/>
      <c r="I18" s="32"/>
      <c r="J18" s="111"/>
    </row>
    <row r="19" spans="1:10">
      <c r="A19" s="24" t="s">
        <v>18</v>
      </c>
      <c r="B19" s="45"/>
      <c r="C19" s="46"/>
      <c r="D19" s="47" t="s">
        <v>19</v>
      </c>
      <c r="E19" s="48"/>
      <c r="F19" s="31"/>
      <c r="G19" s="32"/>
      <c r="H19" s="32"/>
      <c r="I19" s="32"/>
      <c r="J19" s="111"/>
    </row>
    <row r="20" ht="27" customHeight="1" spans="1:10">
      <c r="A20" s="43" t="s">
        <v>20</v>
      </c>
      <c r="B20" s="44"/>
      <c r="C20" s="49"/>
      <c r="D20" s="50" t="s">
        <v>73</v>
      </c>
      <c r="E20" s="51"/>
      <c r="F20" s="52"/>
      <c r="G20" s="53"/>
      <c r="H20" s="53"/>
      <c r="I20" s="53"/>
      <c r="J20" s="112"/>
    </row>
    <row r="21" spans="1:11">
      <c r="A21" s="54" t="s">
        <v>74</v>
      </c>
      <c r="B21" s="54" t="s">
        <v>26</v>
      </c>
      <c r="C21" s="54" t="s">
        <v>25</v>
      </c>
      <c r="D21" s="54" t="s">
        <v>27</v>
      </c>
      <c r="E21" s="54"/>
      <c r="F21" s="55" t="s">
        <v>28</v>
      </c>
      <c r="G21" s="55" t="s">
        <v>29</v>
      </c>
      <c r="H21" s="56" t="s">
        <v>75</v>
      </c>
      <c r="I21" s="56" t="s">
        <v>76</v>
      </c>
      <c r="J21" s="113" t="s">
        <v>77</v>
      </c>
      <c r="K21" s="114" t="s">
        <v>78</v>
      </c>
    </row>
    <row r="22" spans="1:11">
      <c r="A22" s="54"/>
      <c r="B22" s="54"/>
      <c r="C22" s="54"/>
      <c r="D22" s="54"/>
      <c r="E22" s="54"/>
      <c r="F22" s="55"/>
      <c r="G22" s="55"/>
      <c r="H22" s="56" t="s">
        <v>79</v>
      </c>
      <c r="I22" s="56" t="s">
        <v>79</v>
      </c>
      <c r="J22" s="115"/>
      <c r="K22" s="114"/>
    </row>
    <row r="23" s="1" customFormat="1" ht="27" customHeight="1" spans="1:11">
      <c r="A23" s="57">
        <v>30</v>
      </c>
      <c r="B23" s="58">
        <v>2250403279</v>
      </c>
      <c r="C23" s="59" t="s">
        <v>40</v>
      </c>
      <c r="D23" s="60" t="s">
        <v>41</v>
      </c>
      <c r="E23" s="61"/>
      <c r="F23" s="62">
        <v>2200</v>
      </c>
      <c r="G23" s="63" t="s">
        <v>42</v>
      </c>
      <c r="H23" s="64">
        <f>11.7*A23</f>
        <v>351</v>
      </c>
      <c r="I23" s="64">
        <f>12.5*A23</f>
        <v>375</v>
      </c>
      <c r="J23" s="116" t="s">
        <v>80</v>
      </c>
      <c r="K23" s="1">
        <f>+F23*1.5</f>
        <v>3300</v>
      </c>
    </row>
    <row r="24" s="1" customFormat="1" ht="27" customHeight="1" spans="1:11">
      <c r="A24" s="65"/>
      <c r="B24" s="58">
        <v>2250503406</v>
      </c>
      <c r="C24" s="59" t="s">
        <v>40</v>
      </c>
      <c r="D24" s="60" t="s">
        <v>41</v>
      </c>
      <c r="E24" s="61"/>
      <c r="F24" s="62">
        <v>6800</v>
      </c>
      <c r="G24" s="63" t="s">
        <v>42</v>
      </c>
      <c r="H24" s="66"/>
      <c r="I24" s="66"/>
      <c r="J24" s="117"/>
      <c r="K24" s="1">
        <f>+F24*1.5</f>
        <v>10200</v>
      </c>
    </row>
    <row r="25" s="1" customFormat="1" ht="27" customHeight="1" spans="1:11">
      <c r="A25" s="62">
        <v>1</v>
      </c>
      <c r="B25" s="58">
        <v>2250700885</v>
      </c>
      <c r="C25" s="67" t="s">
        <v>47</v>
      </c>
      <c r="D25" s="60" t="s">
        <v>48</v>
      </c>
      <c r="E25" s="61"/>
      <c r="F25" s="62">
        <v>120</v>
      </c>
      <c r="G25" s="63" t="s">
        <v>42</v>
      </c>
      <c r="H25" s="68">
        <f>5.06*A25</f>
        <v>5.06</v>
      </c>
      <c r="I25" s="68">
        <f>5.56*A25</f>
        <v>5.56</v>
      </c>
      <c r="J25" s="116" t="s">
        <v>81</v>
      </c>
      <c r="K25" s="1">
        <f>+F25*1.5</f>
        <v>180</v>
      </c>
    </row>
    <row r="26" s="1" customFormat="1" ht="27" customHeight="1" spans="1:11">
      <c r="A26" s="62">
        <v>1</v>
      </c>
      <c r="B26" s="58">
        <v>2250700885</v>
      </c>
      <c r="C26" s="67" t="s">
        <v>47</v>
      </c>
      <c r="D26" s="60" t="s">
        <v>48</v>
      </c>
      <c r="E26" s="61"/>
      <c r="F26" s="62">
        <v>80</v>
      </c>
      <c r="G26" s="63" t="s">
        <v>42</v>
      </c>
      <c r="H26" s="68">
        <f>3.2*A26</f>
        <v>3.2</v>
      </c>
      <c r="I26" s="68">
        <f>3.7*A26</f>
        <v>3.7</v>
      </c>
      <c r="J26" s="118"/>
      <c r="K26" s="1">
        <f>+F26*1.5</f>
        <v>120</v>
      </c>
    </row>
    <row r="27" s="1" customFormat="1" ht="27" customHeight="1" spans="1:11">
      <c r="A27" s="57">
        <v>23</v>
      </c>
      <c r="B27" s="58">
        <v>2250402758</v>
      </c>
      <c r="C27" s="59" t="s">
        <v>49</v>
      </c>
      <c r="D27" s="69" t="s">
        <v>50</v>
      </c>
      <c r="E27" s="70"/>
      <c r="F27" s="62">
        <v>1500</v>
      </c>
      <c r="G27" s="63" t="s">
        <v>42</v>
      </c>
      <c r="H27" s="64">
        <f>14.5*A27</f>
        <v>333.5</v>
      </c>
      <c r="I27" s="64">
        <f>15.3*A27</f>
        <v>351.9</v>
      </c>
      <c r="J27" s="118"/>
      <c r="K27" s="1">
        <f>+F27*2</f>
        <v>3000</v>
      </c>
    </row>
    <row r="28" s="1" customFormat="1" ht="27" customHeight="1" spans="1:11">
      <c r="A28" s="65"/>
      <c r="B28" s="58">
        <v>2250403279</v>
      </c>
      <c r="C28" s="59" t="s">
        <v>49</v>
      </c>
      <c r="D28" s="69" t="s">
        <v>50</v>
      </c>
      <c r="E28" s="70"/>
      <c r="F28" s="62">
        <v>7700</v>
      </c>
      <c r="G28" s="63" t="s">
        <v>42</v>
      </c>
      <c r="H28" s="66"/>
      <c r="I28" s="66"/>
      <c r="J28" s="117"/>
      <c r="K28" s="1">
        <f>+F28*2</f>
        <v>15400</v>
      </c>
    </row>
    <row r="29" s="1" customFormat="1" ht="27" customHeight="1" spans="1:11">
      <c r="A29" s="62">
        <v>30</v>
      </c>
      <c r="B29" s="71">
        <v>2250500768</v>
      </c>
      <c r="C29" s="72" t="s">
        <v>52</v>
      </c>
      <c r="D29" s="73" t="s">
        <v>53</v>
      </c>
      <c r="E29" s="74"/>
      <c r="F29" s="75">
        <v>9000</v>
      </c>
      <c r="G29" s="63" t="s">
        <v>42</v>
      </c>
      <c r="H29" s="68">
        <f>15.56*A29</f>
        <v>466.8</v>
      </c>
      <c r="I29" s="68">
        <f>16.34*A29</f>
        <v>490.2</v>
      </c>
      <c r="J29" s="119" t="s">
        <v>80</v>
      </c>
      <c r="K29" s="1">
        <f>+F29*3</f>
        <v>27000</v>
      </c>
    </row>
    <row r="30" s="1" customFormat="1" ht="27" customHeight="1" spans="1:11">
      <c r="A30" s="62">
        <v>30</v>
      </c>
      <c r="B30" s="71">
        <v>2250500768</v>
      </c>
      <c r="C30" s="72" t="s">
        <v>55</v>
      </c>
      <c r="D30" s="73" t="s">
        <v>53</v>
      </c>
      <c r="E30" s="74"/>
      <c r="F30" s="75">
        <v>9000</v>
      </c>
      <c r="G30" s="63" t="s">
        <v>42</v>
      </c>
      <c r="H30" s="68">
        <f>15.22*A30</f>
        <v>456.6</v>
      </c>
      <c r="I30" s="68">
        <f>16*A30</f>
        <v>480</v>
      </c>
      <c r="J30" s="119" t="s">
        <v>80</v>
      </c>
      <c r="K30" s="1">
        <f>+F30*3</f>
        <v>27000</v>
      </c>
    </row>
    <row r="31" s="1" customFormat="1" ht="27" customHeight="1" spans="1:11">
      <c r="A31" s="62">
        <v>45</v>
      </c>
      <c r="B31" s="71">
        <v>2250500768</v>
      </c>
      <c r="C31" s="76" t="s">
        <v>56</v>
      </c>
      <c r="D31" s="77" t="s">
        <v>57</v>
      </c>
      <c r="E31" s="78"/>
      <c r="F31" s="75">
        <v>4500</v>
      </c>
      <c r="G31" s="63" t="s">
        <v>42</v>
      </c>
      <c r="H31" s="68">
        <f>11.06*A31</f>
        <v>497.7</v>
      </c>
      <c r="I31" s="68">
        <f>11.56*A31</f>
        <v>520.2</v>
      </c>
      <c r="J31" s="119" t="s">
        <v>82</v>
      </c>
      <c r="K31" s="1">
        <f>+F31*4.5</f>
        <v>20250</v>
      </c>
    </row>
    <row r="32" s="1" customFormat="1" ht="27" customHeight="1" spans="1:11">
      <c r="A32" s="62">
        <v>45</v>
      </c>
      <c r="B32" s="71">
        <v>2250500768</v>
      </c>
      <c r="C32" s="76" t="s">
        <v>56</v>
      </c>
      <c r="D32" s="77" t="s">
        <v>57</v>
      </c>
      <c r="E32" s="78"/>
      <c r="F32" s="75">
        <v>4500</v>
      </c>
      <c r="G32" s="63" t="s">
        <v>42</v>
      </c>
      <c r="H32" s="68">
        <f>11.06*A32</f>
        <v>497.7</v>
      </c>
      <c r="I32" s="68">
        <f>11.56*A32</f>
        <v>520.2</v>
      </c>
      <c r="J32" s="119" t="s">
        <v>82</v>
      </c>
      <c r="K32" s="1">
        <f>+F32*4.5</f>
        <v>20250</v>
      </c>
    </row>
    <row r="33" s="1" customFormat="1" ht="27" customHeight="1" spans="1:11">
      <c r="A33" s="62">
        <v>42</v>
      </c>
      <c r="B33" s="71">
        <v>2250500768</v>
      </c>
      <c r="C33" s="79" t="s">
        <v>58</v>
      </c>
      <c r="D33" s="77" t="s">
        <v>59</v>
      </c>
      <c r="E33" s="78"/>
      <c r="F33" s="75">
        <v>5040</v>
      </c>
      <c r="G33" s="63" t="s">
        <v>42</v>
      </c>
      <c r="H33" s="68">
        <f>8.92*A33</f>
        <v>374.64</v>
      </c>
      <c r="I33" s="68">
        <f>9.42*A33</f>
        <v>395.64</v>
      </c>
      <c r="J33" s="119" t="s">
        <v>83</v>
      </c>
      <c r="K33" s="1">
        <f>+F33*3</f>
        <v>15120</v>
      </c>
    </row>
    <row r="34" s="1" customFormat="1" ht="27" customHeight="1" spans="1:11">
      <c r="A34" s="62">
        <v>33</v>
      </c>
      <c r="B34" s="71">
        <v>2250500768</v>
      </c>
      <c r="C34" s="79" t="s">
        <v>58</v>
      </c>
      <c r="D34" s="77" t="s">
        <v>59</v>
      </c>
      <c r="E34" s="78"/>
      <c r="F34" s="75">
        <v>3960</v>
      </c>
      <c r="G34" s="63" t="s">
        <v>42</v>
      </c>
      <c r="H34" s="68">
        <f>8.92*A34</f>
        <v>294.36</v>
      </c>
      <c r="I34" s="68">
        <f>9.42*A34</f>
        <v>310.86</v>
      </c>
      <c r="J34" s="119" t="s">
        <v>84</v>
      </c>
      <c r="K34" s="1">
        <f>+F34*3</f>
        <v>11880</v>
      </c>
    </row>
    <row r="35" s="1" customFormat="1" ht="23" customHeight="1" spans="1:11">
      <c r="A35" s="62"/>
      <c r="B35" s="71"/>
      <c r="C35" s="80"/>
      <c r="D35" s="81"/>
      <c r="E35" s="82"/>
      <c r="F35" s="75"/>
      <c r="G35" s="63"/>
      <c r="H35" s="68"/>
      <c r="I35" s="68">
        <v>104</v>
      </c>
      <c r="J35" s="120"/>
      <c r="K35" s="1">
        <f>SUM(K23:K34)</f>
        <v>153700</v>
      </c>
    </row>
    <row r="36" s="1" customFormat="1" spans="1:10">
      <c r="A36" s="83"/>
      <c r="B36" s="84"/>
      <c r="C36" s="84"/>
      <c r="D36" s="85"/>
      <c r="E36" s="85"/>
      <c r="F36" s="86"/>
      <c r="G36" s="87"/>
      <c r="H36" s="88"/>
      <c r="I36" s="88"/>
      <c r="J36" s="121"/>
    </row>
    <row r="37" ht="14.25" spans="1:10">
      <c r="A37" s="89"/>
      <c r="B37" s="90"/>
      <c r="C37" s="91"/>
      <c r="D37" s="91"/>
      <c r="E37" s="91"/>
      <c r="F37" s="92"/>
      <c r="G37" s="91"/>
      <c r="H37" s="93"/>
      <c r="I37" s="122"/>
      <c r="J37" s="123"/>
    </row>
    <row r="38" spans="1:10">
      <c r="A38" s="94">
        <f>SUM(A23:A37)</f>
        <v>280</v>
      </c>
      <c r="B38" s="15"/>
      <c r="C38" s="45"/>
      <c r="D38" s="95"/>
      <c r="E38" s="96" t="s">
        <v>85</v>
      </c>
      <c r="F38" s="97">
        <f>SUM(F23:F37)</f>
        <v>54400</v>
      </c>
      <c r="G38" s="96"/>
      <c r="H38" s="98">
        <f>SUM(H23:H37)</f>
        <v>3280.56</v>
      </c>
      <c r="I38" s="98">
        <f>SUM(I23:I37)</f>
        <v>3557.26</v>
      </c>
      <c r="J38" s="124" t="s">
        <v>86</v>
      </c>
    </row>
    <row r="39" spans="1:10">
      <c r="A39" s="27"/>
      <c r="E39" s="99" t="s">
        <v>87</v>
      </c>
      <c r="F39" s="100">
        <v>8</v>
      </c>
      <c r="G39" s="1"/>
      <c r="H39" s="1"/>
      <c r="I39" s="1"/>
      <c r="J39" s="125"/>
    </row>
    <row r="40" spans="1:10">
      <c r="A40" s="27"/>
      <c r="E40" s="99" t="s">
        <v>88</v>
      </c>
      <c r="F40" s="101" t="s">
        <v>89</v>
      </c>
      <c r="G40" s="1"/>
      <c r="H40" s="1"/>
      <c r="I40" s="1"/>
      <c r="J40" s="125"/>
    </row>
    <row r="41" spans="1:10">
      <c r="A41" s="27"/>
      <c r="E41" s="99" t="s">
        <v>90</v>
      </c>
      <c r="F41" s="101" t="s">
        <v>91</v>
      </c>
      <c r="G41" s="1"/>
      <c r="H41" s="1"/>
      <c r="I41" s="1"/>
      <c r="J41" s="125"/>
    </row>
    <row r="42" spans="1:10">
      <c r="A42" s="102"/>
      <c r="B42" s="103"/>
      <c r="C42" s="103"/>
      <c r="D42" s="103"/>
      <c r="E42" s="103"/>
      <c r="F42" s="103"/>
      <c r="G42" s="103"/>
      <c r="H42" s="103"/>
      <c r="I42" s="103"/>
      <c r="J42" s="126"/>
    </row>
    <row r="45" ht="15.75" spans="6:10">
      <c r="F45" s="104" t="s">
        <v>3</v>
      </c>
      <c r="G45" s="104"/>
      <c r="H45" s="104"/>
      <c r="I45" s="104"/>
      <c r="J45" s="104"/>
    </row>
    <row r="46" ht="15.75" spans="6:10">
      <c r="F46" s="105" t="s">
        <v>20</v>
      </c>
      <c r="G46" s="105"/>
      <c r="H46" s="105"/>
      <c r="I46" s="105"/>
      <c r="J46" s="127"/>
    </row>
  </sheetData>
  <mergeCells count="44">
    <mergeCell ref="A1:J1"/>
    <mergeCell ref="A4:E4"/>
    <mergeCell ref="F4:G4"/>
    <mergeCell ref="F5:G5"/>
    <mergeCell ref="A18:C18"/>
    <mergeCell ref="D18:E18"/>
    <mergeCell ref="A20:C20"/>
    <mergeCell ref="D20:E20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F45:J45"/>
    <mergeCell ref="F46:I46"/>
    <mergeCell ref="A21:A22"/>
    <mergeCell ref="A23:A24"/>
    <mergeCell ref="A27:A28"/>
    <mergeCell ref="B21:B22"/>
    <mergeCell ref="C21:C22"/>
    <mergeCell ref="F21:F22"/>
    <mergeCell ref="G21:G22"/>
    <mergeCell ref="H23:H24"/>
    <mergeCell ref="H27:H28"/>
    <mergeCell ref="I23:I24"/>
    <mergeCell ref="I27:I28"/>
    <mergeCell ref="J21:J22"/>
    <mergeCell ref="J23:J24"/>
    <mergeCell ref="J25:J28"/>
    <mergeCell ref="K21:K22"/>
    <mergeCell ref="A5:E6"/>
    <mergeCell ref="D21:E22"/>
    <mergeCell ref="A9:E12"/>
    <mergeCell ref="A14:E16"/>
    <mergeCell ref="F9:J20"/>
  </mergeCells>
  <pageMargins left="0.0388888888888889" right="0.0388888888888889" top="0.0388888888888889" bottom="0.0388888888888889" header="0.0388888888888889" footer="0.0388888888888889"/>
  <pageSetup paperSize="9" scale="87" orientation="portrait" horizontalDpi="600"/>
  <headerFooter/>
  <drawing r:id="rId1"/>
  <legacyDrawing r:id="rId2"/>
  <oleObjects>
    <mc:AlternateContent xmlns:mc="http://schemas.openxmlformats.org/markup-compatibility/2006">
      <mc:Choice Requires="x14">
        <oleObject shapeId="2049" progId="AutoCAD.Drawing.17" r:id="rId3">
          <objectPr defaultSize="0" r:id="rId4">
            <anchor moveWithCells="1" sizeWithCells="1">
              <from>
                <xdr:col>5</xdr:col>
                <xdr:colOff>552450</xdr:colOff>
                <xdr:row>42</xdr:row>
                <xdr:rowOff>152400</xdr:rowOff>
              </from>
              <to>
                <xdr:col>7</xdr:col>
                <xdr:colOff>229235</xdr:colOff>
                <xdr:row>48</xdr:row>
                <xdr:rowOff>142875</xdr:rowOff>
              </to>
            </anchor>
          </objectPr>
        </oleObject>
      </mc:Choice>
      <mc:Fallback>
        <oleObject shapeId="2049" progId="AutoCAD.Drawing.17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PACKING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D000208</dc:creator>
  <cp:lastModifiedBy>A000427</cp:lastModifiedBy>
  <dcterms:created xsi:type="dcterms:W3CDTF">2025-07-17T08:11:00Z</dcterms:created>
  <dcterms:modified xsi:type="dcterms:W3CDTF">2025-08-08T06:04:32Z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7A15F63D94904A43B2D4FB61F2C72435_13</vt:lpwstr>
  </property>
  <property fmtid="{D5CDD505-2E9C-101B-9397-08002B2CF9AE}" pid="3" name="KSOProductBuildVer">
    <vt:lpwstr>2052-10.8.2.6837</vt:lpwstr>
  </property>
</Properties>
</file>