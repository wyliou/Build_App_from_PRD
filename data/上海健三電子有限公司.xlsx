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iou\Downloads\"/>
    </mc:Choice>
  </mc:AlternateContent>
  <xr:revisionPtr revIDLastSave="0" documentId="13_ncr:1_{5D0823C6-4726-4533-999C-6C2FD4A8C383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INVOICE" sheetId="3" r:id="rId1"/>
    <sheet name="PACKING" sheetId="2" r:id="rId2"/>
  </sheets>
  <externalReferences>
    <externalReference r:id="rId3"/>
  </externalReferences>
  <definedNames>
    <definedName name="_xlnm._FilterDatabase" localSheetId="1" hidden="1">PACKING!$A$22:$Q$88</definedName>
    <definedName name="_xlnm.Print_Area" localSheetId="0">INVOICE!$A$1:$O$93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3" l="1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D000208</author>
  </authors>
  <commentList>
    <comment ref="B18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中怡料号</t>
        </r>
      </text>
    </comment>
    <comment ref="C18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订单号</t>
        </r>
      </text>
    </comment>
    <comment ref="D18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品名</t>
        </r>
      </text>
    </comment>
    <comment ref="J18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产地</t>
        </r>
      </text>
    </comment>
    <comment ref="K18" authorId="1" shapeId="0" xr:uid="{00000000-0006-0000-0000-000005000000}">
      <text>
        <r>
          <rPr>
            <sz val="14"/>
            <rFont val="宋体"/>
            <charset val="134"/>
          </rPr>
          <t>若是集成电路，需提供晶圆制造地,非集成电路,无需晶圆制造地 HS:8542** 要填写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E93" authorId="0" shapeId="0" xr:uid="{00000000-0006-0000-0100-000001000000}">
      <text>
        <r>
          <rPr>
            <sz val="10"/>
            <rFont val="宋体"/>
            <charset val="134"/>
          </rPr>
          <t>若是托盘，则需要注明托盘材质
再生木托/天然木托/塑胶托等</t>
        </r>
      </text>
    </comment>
  </commentList>
</comments>
</file>

<file path=xl/sharedStrings.xml><?xml version="1.0" encoding="utf-8"?>
<sst xmlns="http://schemas.openxmlformats.org/spreadsheetml/2006/main" count="1268" uniqueCount="270">
  <si>
    <t>COMMERCIAL INVOICE</t>
  </si>
  <si>
    <t>Shipper/Exporter</t>
  </si>
  <si>
    <t>No. &amp; Date of Invoice</t>
  </si>
  <si>
    <t>SHANGHAI JIAN SAN ELECTRONICS CO., LTD.</t>
  </si>
  <si>
    <t>上海健三电子有限公司</t>
  </si>
  <si>
    <t xml:space="preserve">JS250801562 </t>
  </si>
  <si>
    <t>Bill To:</t>
  </si>
  <si>
    <t>买方</t>
  </si>
  <si>
    <t xml:space="preserve"> Payment Term</t>
  </si>
  <si>
    <t>Sernet(Suzhou)Technologies Corporation</t>
  </si>
  <si>
    <t>月结30天+4个月贴息</t>
  </si>
  <si>
    <t>中磊电子（苏州）有限公司                                            No.8,Tangzhuang Road, Suzhou Industrial Park, Jiangsu, China</t>
  </si>
  <si>
    <t>Ship To:</t>
  </si>
  <si>
    <t xml:space="preserve"> Trade Term</t>
  </si>
  <si>
    <t>苏州工业园区唐庄路8号</t>
  </si>
  <si>
    <t>CIF SH</t>
  </si>
  <si>
    <t>No.8,Tangzhuang Road, Suzhou Industrial Park, Jiangsu, China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</si>
  <si>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</si>
  <si>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</si>
  <si>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</si>
  <si>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</si>
  <si>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</si>
  <si>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</si>
  <si>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</si>
  <si>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</si>
  <si>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</si>
  <si>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</si>
  <si>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</si>
  <si>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</si>
  <si>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</si>
  <si>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</si>
  <si>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</si>
  <si>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</si>
  <si>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</si>
  <si>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</si>
  <si>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</si>
  <si>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</si>
  <si>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</si>
  <si>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</si>
  <si>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</si>
  <si>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36030205MU</t>
  </si>
  <si>
    <t>2250402112</t>
  </si>
  <si>
    <t>电感器</t>
  </si>
  <si>
    <t>PCS</t>
  </si>
  <si>
    <t>USD</t>
  </si>
  <si>
    <t>Japan</t>
  </si>
  <si>
    <t>Murata 村田</t>
  </si>
  <si>
    <t>境外品牌（其他）</t>
  </si>
  <si>
    <t>LQG15HN3N0S02D</t>
  </si>
  <si>
    <t>2</t>
  </si>
  <si>
    <t>3601021AMU</t>
  </si>
  <si>
    <t>2250501401</t>
  </si>
  <si>
    <t>LQG15HS1N0B02D</t>
  </si>
  <si>
    <t>3</t>
  </si>
  <si>
    <t>3602231GMU</t>
  </si>
  <si>
    <t>2250401363</t>
  </si>
  <si>
    <t>LQG15HS22NJ02D</t>
  </si>
  <si>
    <t>4</t>
  </si>
  <si>
    <t>3604755XMU</t>
  </si>
  <si>
    <t>LQM21PN4R7MGRD</t>
  </si>
  <si>
    <t>5</t>
  </si>
  <si>
    <t>3602253QMU</t>
  </si>
  <si>
    <t>2250303958</t>
  </si>
  <si>
    <t>LQM2MPN2R2MEHL</t>
  </si>
  <si>
    <t>6</t>
  </si>
  <si>
    <t>2250402932</t>
  </si>
  <si>
    <t>7</t>
  </si>
  <si>
    <t>2250500241</t>
  </si>
  <si>
    <t>8</t>
  </si>
  <si>
    <t>3601621HMU</t>
  </si>
  <si>
    <t>2250703086</t>
  </si>
  <si>
    <t>LQP03HQ1N6W02D</t>
  </si>
  <si>
    <t>9</t>
  </si>
  <si>
    <t>3601720AMU</t>
  </si>
  <si>
    <t>LQP03HQ1N7W02D</t>
  </si>
  <si>
    <t>10</t>
  </si>
  <si>
    <t>3603322NMU</t>
  </si>
  <si>
    <t>2250401274</t>
  </si>
  <si>
    <t>LQP03PN3N3C02D</t>
  </si>
  <si>
    <t>11</t>
  </si>
  <si>
    <t>3604722SMU</t>
  </si>
  <si>
    <t>LQP03PN4N7J02D</t>
  </si>
  <si>
    <t>12</t>
  </si>
  <si>
    <t>36050102MU</t>
  </si>
  <si>
    <t>2250400172</t>
  </si>
  <si>
    <t>LQP03TG0N5B02D</t>
  </si>
  <si>
    <t>13</t>
  </si>
  <si>
    <t>14</t>
  </si>
  <si>
    <t>3601022AMU</t>
  </si>
  <si>
    <t>2250302040</t>
  </si>
  <si>
    <t>LQP03TG1N0B02D</t>
  </si>
  <si>
    <t>15</t>
  </si>
  <si>
    <t>3601822BMU</t>
  </si>
  <si>
    <t>LQP03TG1N8B02D</t>
  </si>
  <si>
    <t>16</t>
  </si>
  <si>
    <t>3603322FMU</t>
  </si>
  <si>
    <t>LQP03TG3N3B02D</t>
  </si>
  <si>
    <t>17</t>
  </si>
  <si>
    <t>36056227MU</t>
  </si>
  <si>
    <t>LQP03TG5N6H02D</t>
  </si>
  <si>
    <t>18</t>
  </si>
  <si>
    <t>2250601846</t>
  </si>
  <si>
    <t>19</t>
  </si>
  <si>
    <t>36060100MU</t>
  </si>
  <si>
    <t>LQP03TN0N6B02D</t>
  </si>
  <si>
    <t>20</t>
  </si>
  <si>
    <t>21</t>
  </si>
  <si>
    <t>36070100MU</t>
  </si>
  <si>
    <t>LQP03TN0N7B02D</t>
  </si>
  <si>
    <t>22</t>
  </si>
  <si>
    <t>36060101MU</t>
  </si>
  <si>
    <t>LQP03TN0N8B02D</t>
  </si>
  <si>
    <t>23</t>
  </si>
  <si>
    <t>24</t>
  </si>
  <si>
    <t>36090103MU</t>
  </si>
  <si>
    <t>2250302348</t>
  </si>
  <si>
    <t>LQP03TN0N9B02D</t>
  </si>
  <si>
    <t>25</t>
  </si>
  <si>
    <t>26</t>
  </si>
  <si>
    <t>36011205MU</t>
  </si>
  <si>
    <t>LQP03TN1N1B02D</t>
  </si>
  <si>
    <t>27</t>
  </si>
  <si>
    <t>28</t>
  </si>
  <si>
    <t>3601221LMU</t>
  </si>
  <si>
    <t>LQP03TN1N2B02D</t>
  </si>
  <si>
    <t>29</t>
  </si>
  <si>
    <t>30</t>
  </si>
  <si>
    <t>36013207MU</t>
  </si>
  <si>
    <t>LQP03TN1N3B02D</t>
  </si>
  <si>
    <t>31</t>
  </si>
  <si>
    <t>36016218MU</t>
  </si>
  <si>
    <t>LQP03TN1N6B02D</t>
  </si>
  <si>
    <t>32</t>
  </si>
  <si>
    <t>2250502939</t>
  </si>
  <si>
    <t>33</t>
  </si>
  <si>
    <t>36017202MU</t>
  </si>
  <si>
    <t>2240703471</t>
  </si>
  <si>
    <t>LQP03TN1N7B02D</t>
  </si>
  <si>
    <t>34</t>
  </si>
  <si>
    <t>35</t>
  </si>
  <si>
    <t>2240800216</t>
  </si>
  <si>
    <t>36</t>
  </si>
  <si>
    <t>3602231AMU</t>
  </si>
  <si>
    <t>2250301433</t>
  </si>
  <si>
    <t>LQP03TN22NH02D</t>
  </si>
  <si>
    <t>37</t>
  </si>
  <si>
    <t>36027229MU</t>
  </si>
  <si>
    <t>LQP03TN27NH02D</t>
  </si>
  <si>
    <t>38</t>
  </si>
  <si>
    <t>36021201MU</t>
  </si>
  <si>
    <t>LQP03TN2N1B02D</t>
  </si>
  <si>
    <t>39</t>
  </si>
  <si>
    <t>40</t>
  </si>
  <si>
    <t>36023200MU</t>
  </si>
  <si>
    <t>LQP03TN2N3B02D</t>
  </si>
  <si>
    <t>41</t>
  </si>
  <si>
    <t>36027222MU</t>
  </si>
  <si>
    <t>LQP03TN2N7B02D</t>
  </si>
  <si>
    <t>42</t>
  </si>
  <si>
    <t>36028200MU</t>
  </si>
  <si>
    <t>2250300445</t>
  </si>
  <si>
    <t>LQP03TN2N8B02D</t>
  </si>
  <si>
    <t>43</t>
  </si>
  <si>
    <t>44</t>
  </si>
  <si>
    <t>36033228MU</t>
  </si>
  <si>
    <t>2250601392</t>
  </si>
  <si>
    <t>LQP03TN3N3B02D</t>
  </si>
  <si>
    <t>45</t>
  </si>
  <si>
    <t>36033227MU</t>
  </si>
  <si>
    <t>LQP03TN3N3C02D</t>
  </si>
  <si>
    <t>46</t>
  </si>
  <si>
    <t>2250603266</t>
  </si>
  <si>
    <t>47</t>
  </si>
  <si>
    <t>36047223MU</t>
  </si>
  <si>
    <t>2250200386</t>
  </si>
  <si>
    <t>LQP03TN4N7H02D</t>
  </si>
  <si>
    <t>48</t>
  </si>
  <si>
    <t>36016302MU</t>
  </si>
  <si>
    <t>2250700688</t>
  </si>
  <si>
    <t>LQW15AN16NJ80D</t>
  </si>
  <si>
    <t>49</t>
  </si>
  <si>
    <t>3601831DMU</t>
  </si>
  <si>
    <t>Malaysia</t>
  </si>
  <si>
    <t>LQW15AN18NH00D</t>
  </si>
  <si>
    <t>50</t>
  </si>
  <si>
    <t>3602722KMU</t>
  </si>
  <si>
    <t>2250500288</t>
  </si>
  <si>
    <t>LQW15AN2N7C00D</t>
  </si>
  <si>
    <t>51</t>
  </si>
  <si>
    <t>2250503772</t>
  </si>
  <si>
    <t>52</t>
  </si>
  <si>
    <t>36058200MU</t>
  </si>
  <si>
    <t>LQW15AN5N8B00D</t>
  </si>
  <si>
    <t>53</t>
  </si>
  <si>
    <t>55224500MU0</t>
  </si>
  <si>
    <t>2250301687</t>
  </si>
  <si>
    <t>滤波器</t>
  </si>
  <si>
    <t>LFB1X2G45CN3E016</t>
  </si>
  <si>
    <t>54</t>
  </si>
  <si>
    <t>55218600MU0</t>
  </si>
  <si>
    <t>2250501514</t>
  </si>
  <si>
    <t>LFL0Q1G86TR3E982</t>
  </si>
  <si>
    <t>55</t>
  </si>
  <si>
    <t>55218601MU0</t>
  </si>
  <si>
    <t>LFL0Q806MTR3E981</t>
  </si>
  <si>
    <t>56</t>
  </si>
  <si>
    <t>55218822MU0</t>
  </si>
  <si>
    <t>2250401770</t>
  </si>
  <si>
    <t>LFL18829MTCRE390</t>
  </si>
  <si>
    <t>57</t>
  </si>
  <si>
    <t>55221200MU0</t>
  </si>
  <si>
    <t>2250603163</t>
  </si>
  <si>
    <t>LFL21200MMC1R002</t>
  </si>
  <si>
    <t>58</t>
  </si>
  <si>
    <t>59</t>
  </si>
  <si>
    <t>60</t>
  </si>
  <si>
    <t>2250603313</t>
  </si>
  <si>
    <t>61</t>
  </si>
  <si>
    <t>55015190MU0</t>
  </si>
  <si>
    <t>2250401343</t>
  </si>
  <si>
    <t>平衡转换器</t>
  </si>
  <si>
    <t>LDB151G9AAD1A031</t>
  </si>
  <si>
    <t>62</t>
  </si>
  <si>
    <t>55015820MU0</t>
  </si>
  <si>
    <t>LDB15829AAD1A030</t>
  </si>
  <si>
    <t>63</t>
  </si>
  <si>
    <t>55215240MU0</t>
  </si>
  <si>
    <t>2250201245</t>
  </si>
  <si>
    <t>双工器</t>
  </si>
  <si>
    <t>LFD152G45MU5D935</t>
  </si>
  <si>
    <t>64</t>
  </si>
  <si>
    <t>2250300272</t>
  </si>
  <si>
    <t>65</t>
  </si>
  <si>
    <t>55215241MU0</t>
  </si>
  <si>
    <t>LFD152G45MU6E208</t>
  </si>
  <si>
    <t xml:space="preserve">                  TOTAL</t>
  </si>
  <si>
    <t>1.进境口岸关别代码：外高桥关（2218）</t>
  </si>
  <si>
    <t>2.申报地口岸关别代码 ：外高桥关（2218）</t>
  </si>
  <si>
    <t>3.报关行名称及代码 ：上海鸣旌国际物流有限公司（312248011T）</t>
  </si>
  <si>
    <t>4.关联手册(账册）编号 ：T2218W002877</t>
  </si>
  <si>
    <t>多元账号</t>
  </si>
  <si>
    <t>金二账册号：T2218W002877</t>
  </si>
  <si>
    <t>5.贸易国 :中国</t>
  </si>
  <si>
    <t>6.包装种类 ：纸箱</t>
  </si>
  <si>
    <t>7.运输方式：保税区</t>
  </si>
  <si>
    <t>PACKING LIST</t>
  </si>
  <si>
    <t>No &amp; Date of Invoice</t>
  </si>
  <si>
    <t>上海健三电子有限公司Room301, 3rd floor, Section South, Buliding 1,  No.24, Jiafeng Road, China(Shanghai) Free Trade Zone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</si>
  <si>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</si>
  <si>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</si>
  <si>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</si>
  <si>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</si>
  <si>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</si>
  <si>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</si>
  <si>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</si>
  <si>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</si>
  <si>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MOQ</t>
  </si>
  <si>
    <t>汇总净重</t>
  </si>
  <si>
    <t>汇总数量</t>
  </si>
  <si>
    <t>C/N01-01#</t>
  </si>
  <si>
    <t>50*40*20</t>
  </si>
  <si>
    <t>C/N02-03#</t>
  </si>
  <si>
    <t>TOTAL</t>
  </si>
  <si>
    <t>0.12m³</t>
  </si>
  <si>
    <t>件数</t>
  </si>
  <si>
    <t>3 件</t>
  </si>
  <si>
    <t>包装种类</t>
  </si>
  <si>
    <t>纸箱</t>
  </si>
  <si>
    <t>托盘材质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</si>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</sst>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8" formatCode="#,##0.00_ "/>
    <numFmt numFmtId="180" formatCode="yyyy/m/d;@"/>
    <numFmt numFmtId="181" formatCode="0.000_);[Red]\(0.000\)"/>
    <numFmt numFmtId="182" formatCode="0.00_ "/>
    <numFmt numFmtId="185" formatCode="0.000_ "/>
    <numFmt numFmtId="186" formatCode="0.0000_);[Red]\(0.0000\)"/>
    <numFmt numFmtId="187" formatCode="0_ "/>
  </numFmts>
  <fonts count="23">
    <font>
      <sz val="11"/>
      <color indexed="8"/>
      <name val="宋体"/>
      <charset val="134"/>
    </font>
    <font>
      <sz val="18"/>
      <color indexed="8"/>
      <name val="宋体"/>
      <charset val="134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color indexed="10"/>
      <name val="Arial"/>
      <family val="2"/>
    </font>
    <font>
      <sz val="10"/>
      <name val="新細明體"/>
      <family val="1"/>
      <charset val="136"/>
    </font>
    <font>
      <sz val="10"/>
      <color indexed="12"/>
      <name val="新細明體"/>
      <family val="1"/>
      <charset val="136"/>
    </font>
    <font>
      <b/>
      <sz val="10"/>
      <name val="新細明體"/>
      <family val="1"/>
      <charset val="136"/>
    </font>
    <font>
      <sz val="10"/>
      <color indexed="8"/>
      <name val="宋体"/>
      <charset val="134"/>
    </font>
    <font>
      <b/>
      <sz val="10"/>
      <color indexed="10"/>
      <name val="Arial"/>
      <family val="2"/>
    </font>
    <font>
      <sz val="10"/>
      <name val="Times New Roman"/>
      <family val="1"/>
    </font>
    <font>
      <sz val="10"/>
      <name val="微软雅黑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sz val="12"/>
      <name val="新細明體"/>
      <family val="1"/>
      <charset val="136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7" fillId="0" borderId="0"/>
    <xf numFmtId="0" fontId="17" fillId="0" borderId="0"/>
    <xf numFmtId="0" fontId="18" fillId="0" borderId="0"/>
    <xf numFmtId="0" fontId="17" fillId="0" borderId="0"/>
  </cellStyleXfs>
  <cellXfs count="17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4" applyFont="1" applyFill="1" applyBorder="1"/>
    <xf numFmtId="0" fontId="4" fillId="0" borderId="2" xfId="4" applyFont="1" applyBorder="1"/>
    <xf numFmtId="0" fontId="5" fillId="0" borderId="3" xfId="1" applyFont="1" applyBorder="1"/>
    <xf numFmtId="0" fontId="4" fillId="2" borderId="0" xfId="1" applyFont="1" applyFill="1" applyAlignment="1">
      <alignment horizontal="left"/>
    </xf>
    <xf numFmtId="0" fontId="4" fillId="0" borderId="0" xfId="4" applyFont="1"/>
    <xf numFmtId="0" fontId="4" fillId="0" borderId="5" xfId="4" applyFont="1" applyBorder="1"/>
    <xf numFmtId="49" fontId="4" fillId="0" borderId="0" xfId="4" applyNumberFormat="1" applyFont="1" applyAlignment="1">
      <alignment horizontal="center"/>
    </xf>
    <xf numFmtId="180" fontId="4" fillId="0" borderId="0" xfId="0" applyNumberFormat="1" applyFont="1" applyAlignment="1">
      <alignment horizontal="left"/>
    </xf>
    <xf numFmtId="0" fontId="4" fillId="0" borderId="4" xfId="4" applyFont="1" applyBorder="1"/>
    <xf numFmtId="0" fontId="4" fillId="0" borderId="6" xfId="4" applyFont="1" applyBorder="1" applyAlignment="1">
      <alignment horizontal="left"/>
    </xf>
    <xf numFmtId="0" fontId="4" fillId="0" borderId="7" xfId="4" applyFont="1" applyBorder="1"/>
    <xf numFmtId="0" fontId="4" fillId="0" borderId="8" xfId="4" applyFont="1" applyBorder="1"/>
    <xf numFmtId="0" fontId="4" fillId="0" borderId="6" xfId="4" applyFont="1" applyBorder="1"/>
    <xf numFmtId="0" fontId="3" fillId="0" borderId="1" xfId="4" applyFont="1" applyBorder="1"/>
    <xf numFmtId="0" fontId="4" fillId="0" borderId="3" xfId="4" applyFont="1" applyBorder="1"/>
    <xf numFmtId="0" fontId="4" fillId="0" borderId="0" xfId="1" applyFont="1" applyAlignment="1">
      <alignment horizontal="left"/>
    </xf>
    <xf numFmtId="0" fontId="4" fillId="0" borderId="6" xfId="1" applyFont="1" applyBorder="1"/>
    <xf numFmtId="0" fontId="4" fillId="0" borderId="7" xfId="1" applyFont="1" applyBorder="1"/>
    <xf numFmtId="0" fontId="3" fillId="0" borderId="0" xfId="4" applyFont="1"/>
    <xf numFmtId="0" fontId="4" fillId="0" borderId="0" xfId="1" applyFont="1"/>
    <xf numFmtId="0" fontId="6" fillId="0" borderId="0" xfId="4" applyFo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0" xfId="0" applyFont="1" applyAlignment="1"/>
    <xf numFmtId="0" fontId="3" fillId="0" borderId="4" xfId="4" applyFont="1" applyBorder="1"/>
    <xf numFmtId="0" fontId="8" fillId="0" borderId="5" xfId="1" applyFont="1" applyBorder="1" applyAlignment="1">
      <alignment horizontal="right"/>
    </xf>
    <xf numFmtId="0" fontId="9" fillId="0" borderId="2" xfId="0" applyFont="1" applyBorder="1" applyAlignment="1"/>
    <xf numFmtId="0" fontId="9" fillId="0" borderId="5" xfId="0" applyFont="1" applyBorder="1" applyAlignment="1"/>
    <xf numFmtId="0" fontId="9" fillId="0" borderId="0" xfId="0" applyFont="1" applyAlignment="1"/>
    <xf numFmtId="0" fontId="10" fillId="0" borderId="8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10" fillId="0" borderId="0" xfId="0" applyFont="1">
      <alignment vertical="center"/>
    </xf>
    <xf numFmtId="0" fontId="10" fillId="0" borderId="5" xfId="0" applyFont="1" applyBorder="1">
      <alignment vertical="center"/>
    </xf>
    <xf numFmtId="0" fontId="5" fillId="0" borderId="7" xfId="1" applyFont="1" applyBorder="1"/>
    <xf numFmtId="0" fontId="6" fillId="0" borderId="0" xfId="0" applyFont="1" applyAlignment="1"/>
    <xf numFmtId="0" fontId="12" fillId="0" borderId="4" xfId="0" applyFont="1" applyBorder="1">
      <alignment vertical="center"/>
    </xf>
    <xf numFmtId="0" fontId="12" fillId="0" borderId="0" xfId="0" applyFont="1">
      <alignment vertical="center"/>
    </xf>
    <xf numFmtId="0" fontId="3" fillId="2" borderId="1" xfId="1" applyFont="1" applyFill="1" applyBorder="1"/>
    <xf numFmtId="0" fontId="3" fillId="2" borderId="2" xfId="1" applyFont="1" applyFill="1" applyBorder="1"/>
    <xf numFmtId="0" fontId="4" fillId="0" borderId="2" xfId="1" applyFont="1" applyBorder="1"/>
    <xf numFmtId="0" fontId="4" fillId="0" borderId="4" xfId="0" applyFont="1" applyBorder="1" applyAlignment="1"/>
    <xf numFmtId="0" fontId="4" fillId="0" borderId="5" xfId="1" applyFont="1" applyBorder="1"/>
    <xf numFmtId="180" fontId="13" fillId="0" borderId="4" xfId="0" applyNumberFormat="1" applyFont="1" applyBorder="1" applyAlignment="1"/>
    <xf numFmtId="0" fontId="4" fillId="0" borderId="4" xfId="1" applyFont="1" applyBorder="1"/>
    <xf numFmtId="0" fontId="4" fillId="0" borderId="7" xfId="3" applyFont="1" applyBorder="1"/>
    <xf numFmtId="0" fontId="4" fillId="0" borderId="8" xfId="3" applyFont="1" applyBorder="1"/>
    <xf numFmtId="0" fontId="4" fillId="2" borderId="2" xfId="1" applyFont="1" applyFill="1" applyBorder="1"/>
    <xf numFmtId="0" fontId="4" fillId="2" borderId="3" xfId="1" applyFont="1" applyFill="1" applyBorder="1"/>
    <xf numFmtId="0" fontId="3" fillId="0" borderId="2" xfId="1" applyFont="1" applyBorder="1"/>
    <xf numFmtId="0" fontId="4" fillId="0" borderId="4" xfId="1" applyFont="1" applyBorder="1" applyAlignment="1">
      <alignment horizontal="left"/>
    </xf>
    <xf numFmtId="0" fontId="4" fillId="2" borderId="0" xfId="1" applyFont="1" applyFill="1"/>
    <xf numFmtId="0" fontId="4" fillId="2" borderId="5" xfId="1" applyFont="1" applyFill="1" applyBorder="1"/>
    <xf numFmtId="0" fontId="3" fillId="0" borderId="0" xfId="1" applyFont="1"/>
    <xf numFmtId="0" fontId="4" fillId="0" borderId="8" xfId="1" applyFont="1" applyBorder="1"/>
    <xf numFmtId="0" fontId="14" fillId="0" borderId="0" xfId="1" applyFont="1"/>
    <xf numFmtId="0" fontId="15" fillId="0" borderId="0" xfId="1" applyFont="1"/>
    <xf numFmtId="0" fontId="6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1" xfId="1" applyFont="1" applyBorder="1"/>
    <xf numFmtId="0" fontId="5" fillId="0" borderId="3" xfId="4" applyFont="1" applyBorder="1"/>
    <xf numFmtId="182" fontId="4" fillId="0" borderId="0" xfId="0" applyNumberFormat="1" applyFont="1" applyAlignment="1">
      <alignment horizontal="center" vertical="center"/>
    </xf>
    <xf numFmtId="0" fontId="5" fillId="0" borderId="5" xfId="1" applyFont="1" applyBorder="1"/>
    <xf numFmtId="0" fontId="3" fillId="2" borderId="10" xfId="4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 shrinkToFit="1"/>
    </xf>
    <xf numFmtId="187" fontId="4" fillId="0" borderId="10" xfId="0" applyNumberFormat="1" applyFont="1" applyBorder="1" applyAlignment="1">
      <alignment horizontal="center" vertical="center" shrinkToFit="1"/>
    </xf>
    <xf numFmtId="185" fontId="4" fillId="0" borderId="10" xfId="0" applyNumberFormat="1" applyFont="1" applyBorder="1" applyAlignment="1">
      <alignment horizontal="center" vertical="center" wrapText="1" shrinkToFit="1"/>
    </xf>
    <xf numFmtId="181" fontId="4" fillId="0" borderId="10" xfId="0" applyNumberFormat="1" applyFont="1" applyBorder="1" applyAlignment="1">
      <alignment horizontal="center" vertical="center" wrapText="1" shrinkToFit="1"/>
    </xf>
    <xf numFmtId="0" fontId="3" fillId="0" borderId="3" xfId="1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4" fillId="0" borderId="0" xfId="1" applyFont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 wrapText="1" shrinkToFit="1"/>
    </xf>
    <xf numFmtId="0" fontId="4" fillId="0" borderId="10" xfId="0" applyFont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4" fillId="0" borderId="10" xfId="2" applyFont="1" applyBorder="1" applyAlignment="1">
      <alignment horizontal="center" vertical="center" wrapText="1" shrinkToFit="1"/>
    </xf>
    <xf numFmtId="0" fontId="4" fillId="0" borderId="10" xfId="1" applyFont="1" applyBorder="1" applyAlignment="1">
      <alignment horizontal="center" vertical="center" wrapText="1" shrinkToFit="1"/>
    </xf>
    <xf numFmtId="185" fontId="5" fillId="0" borderId="10" xfId="1" applyNumberFormat="1" applyFont="1" applyBorder="1" applyAlignment="1">
      <alignment horizontal="center" vertical="center" wrapText="1" shrinkToFit="1"/>
    </xf>
    <xf numFmtId="176" fontId="4" fillId="0" borderId="10" xfId="1" applyNumberFormat="1" applyFont="1" applyBorder="1" applyAlignment="1">
      <alignment horizontal="center" vertical="center" wrapText="1" shrinkToFit="1"/>
    </xf>
    <xf numFmtId="187" fontId="7" fillId="3" borderId="4" xfId="1" applyNumberFormat="1" applyFont="1" applyFill="1" applyBorder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187" fontId="3" fillId="3" borderId="0" xfId="1" applyNumberFormat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181" fontId="3" fillId="3" borderId="0" xfId="1" applyNumberFormat="1" applyFont="1" applyFill="1" applyAlignment="1">
      <alignment horizontal="center"/>
    </xf>
    <xf numFmtId="0" fontId="0" fillId="0" borderId="4" xfId="0" applyBorder="1">
      <alignment vertical="center"/>
    </xf>
    <xf numFmtId="0" fontId="7" fillId="3" borderId="0" xfId="1" applyFont="1" applyFill="1" applyAlignment="1">
      <alignment horizontal="center" vertical="center"/>
    </xf>
    <xf numFmtId="0" fontId="7" fillId="3" borderId="0" xfId="1" applyFont="1" applyFill="1"/>
    <xf numFmtId="0" fontId="6" fillId="3" borderId="0" xfId="1" applyFont="1" applyFill="1" applyAlignment="1">
      <alignment horizontal="center" vertical="center"/>
    </xf>
    <xf numFmtId="0" fontId="6" fillId="3" borderId="0" xfId="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76" fontId="3" fillId="0" borderId="10" xfId="1" applyNumberFormat="1" applyFont="1" applyBorder="1" applyAlignment="1">
      <alignment horizontal="center" vertical="center" wrapText="1" shrinkToFit="1"/>
    </xf>
    <xf numFmtId="176" fontId="3" fillId="3" borderId="0" xfId="1" applyNumberFormat="1" applyFont="1" applyFill="1" applyAlignment="1">
      <alignment horizontal="center"/>
    </xf>
    <xf numFmtId="176" fontId="13" fillId="3" borderId="5" xfId="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3" fillId="0" borderId="2" xfId="4" applyFont="1" applyBorder="1"/>
    <xf numFmtId="0" fontId="8" fillId="0" borderId="3" xfId="1" applyFont="1" applyBorder="1"/>
    <xf numFmtId="180" fontId="4" fillId="0" borderId="0" xfId="0" applyNumberFormat="1" applyFont="1" applyAlignment="1"/>
    <xf numFmtId="0" fontId="7" fillId="0" borderId="2" xfId="4" applyFont="1" applyBorder="1"/>
    <xf numFmtId="0" fontId="3" fillId="0" borderId="5" xfId="1" applyFont="1" applyBorder="1" applyAlignment="1">
      <alignment horizontal="left"/>
    </xf>
    <xf numFmtId="0" fontId="6" fillId="0" borderId="4" xfId="4" applyFont="1" applyBorder="1"/>
    <xf numFmtId="0" fontId="6" fillId="3" borderId="4" xfId="4" applyFont="1" applyFill="1" applyBorder="1"/>
    <xf numFmtId="0" fontId="6" fillId="3" borderId="0" xfId="4" applyFont="1" applyFill="1"/>
    <xf numFmtId="0" fontId="3" fillId="0" borderId="10" xfId="4" applyFont="1" applyBorder="1" applyAlignment="1">
      <alignment horizontal="center" vertical="center"/>
    </xf>
    <xf numFmtId="0" fontId="3" fillId="0" borderId="10" xfId="4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 shrinkToFit="1"/>
    </xf>
    <xf numFmtId="178" fontId="4" fillId="0" borderId="10" xfId="0" applyNumberFormat="1" applyFont="1" applyBorder="1" applyAlignment="1">
      <alignment horizontal="center" vertical="center" wrapText="1" shrinkToFit="1"/>
    </xf>
    <xf numFmtId="186" fontId="4" fillId="0" borderId="10" xfId="0" applyNumberFormat="1" applyFont="1" applyBorder="1" applyAlignment="1">
      <alignment horizontal="center" vertical="center" wrapText="1" shrinkToFit="1"/>
    </xf>
    <xf numFmtId="0" fontId="5" fillId="0" borderId="0" xfId="0" applyFont="1" applyAlignment="1"/>
    <xf numFmtId="0" fontId="11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4" fillId="0" borderId="10" xfId="4" applyFont="1" applyBorder="1"/>
    <xf numFmtId="187" fontId="3" fillId="0" borderId="10" xfId="4" applyNumberFormat="1" applyFont="1" applyBorder="1" applyAlignment="1">
      <alignment horizontal="center"/>
    </xf>
    <xf numFmtId="0" fontId="3" fillId="0" borderId="10" xfId="4" applyFont="1" applyBorder="1"/>
    <xf numFmtId="186" fontId="3" fillId="0" borderId="10" xfId="4" applyNumberFormat="1" applyFont="1" applyBorder="1" applyAlignment="1">
      <alignment horizontal="center"/>
    </xf>
    <xf numFmtId="176" fontId="3" fillId="0" borderId="10" xfId="4" applyNumberFormat="1" applyFont="1" applyBorder="1" applyAlignment="1">
      <alignment horizontal="center"/>
    </xf>
    <xf numFmtId="0" fontId="11" fillId="0" borderId="10" xfId="0" applyFont="1" applyBorder="1" applyAlignment="1"/>
    <xf numFmtId="181" fontId="3" fillId="0" borderId="10" xfId="4" applyNumberFormat="1" applyFont="1" applyBorder="1" applyAlignment="1">
      <alignment horizontal="center"/>
    </xf>
    <xf numFmtId="176" fontId="1" fillId="0" borderId="0" xfId="0" applyNumberFormat="1" applyFont="1">
      <alignment vertical="center"/>
    </xf>
    <xf numFmtId="0" fontId="2" fillId="0" borderId="1" xfId="4" applyFont="1" applyBorder="1" applyAlignment="1">
      <alignment horizontal="center"/>
    </xf>
    <xf numFmtId="0" fontId="2" fillId="0" borderId="2" xfId="4" applyFont="1" applyBorder="1" applyAlignment="1">
      <alignment horizontal="center"/>
    </xf>
    <xf numFmtId="0" fontId="2" fillId="0" borderId="3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0" xfId="4" applyFont="1" applyAlignment="1">
      <alignment horizontal="center"/>
    </xf>
    <xf numFmtId="0" fontId="5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80" fontId="5" fillId="0" borderId="6" xfId="0" applyNumberFormat="1" applyFont="1" applyBorder="1" applyAlignment="1">
      <alignment horizontal="left"/>
    </xf>
    <xf numFmtId="180" fontId="8" fillId="0" borderId="8" xfId="0" applyNumberFormat="1" applyFont="1" applyBorder="1" applyAlignment="1">
      <alignment horizontal="left"/>
    </xf>
    <xf numFmtId="0" fontId="4" fillId="0" borderId="10" xfId="4" applyFont="1" applyBorder="1" applyAlignment="1">
      <alignment horizontal="left"/>
    </xf>
    <xf numFmtId="0" fontId="6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80" fontId="4" fillId="0" borderId="6" xfId="0" applyNumberFormat="1" applyFont="1" applyBorder="1" applyAlignment="1">
      <alignment horizontal="left"/>
    </xf>
    <xf numFmtId="180" fontId="4" fillId="0" borderId="8" xfId="0" applyNumberFormat="1" applyFont="1" applyBorder="1" applyAlignment="1">
      <alignment horizontal="left"/>
    </xf>
    <xf numFmtId="0" fontId="4" fillId="0" borderId="10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9" xfId="1" applyFont="1" applyBorder="1" applyAlignment="1">
      <alignment horizontal="center" vertical="center" wrapText="1" shrinkToFit="1"/>
    </xf>
    <xf numFmtId="0" fontId="4" fillId="0" borderId="11" xfId="1" applyFont="1" applyBorder="1" applyAlignment="1">
      <alignment horizontal="center" vertical="center" wrapText="1" shrinkToFit="1"/>
    </xf>
    <xf numFmtId="0" fontId="3" fillId="2" borderId="10" xfId="4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6" fillId="0" borderId="4" xfId="4" applyFont="1" applyBorder="1" applyAlignment="1">
      <alignment horizontal="left" vertical="top" wrapText="1"/>
    </xf>
    <xf numFmtId="0" fontId="4" fillId="0" borderId="0" xfId="4" applyFont="1" applyAlignment="1">
      <alignment horizontal="left" vertical="top" wrapText="1"/>
    </xf>
    <xf numFmtId="0" fontId="4" fillId="0" borderId="5" xfId="4" applyFont="1" applyBorder="1" applyAlignment="1">
      <alignment horizontal="left" vertical="top" wrapText="1"/>
    </xf>
    <xf numFmtId="0" fontId="4" fillId="0" borderId="4" xfId="4" applyFont="1" applyBorder="1" applyAlignment="1">
      <alignment horizontal="left" vertical="top" wrapText="1"/>
    </xf>
    <xf numFmtId="0" fontId="6" fillId="2" borderId="4" xfId="1" applyFont="1" applyFill="1" applyBorder="1" applyAlignment="1">
      <alignment vertical="top" wrapText="1"/>
    </xf>
    <xf numFmtId="0" fontId="4" fillId="2" borderId="0" xfId="1" applyFont="1" applyFill="1" applyAlignment="1">
      <alignment vertical="top" wrapText="1"/>
    </xf>
    <xf numFmtId="0" fontId="4" fillId="2" borderId="5" xfId="1" applyFont="1" applyFill="1" applyBorder="1" applyAlignment="1">
      <alignment vertical="top" wrapText="1"/>
    </xf>
    <xf numFmtId="0" fontId="4" fillId="2" borderId="4" xfId="1" applyFont="1" applyFill="1" applyBorder="1" applyAlignment="1">
      <alignment vertical="top" wrapText="1"/>
    </xf>
  </cellXfs>
  <cellStyles count="5">
    <cellStyle name="一般" xfId="0" builtinId="0"/>
    <cellStyle name="一般_OMRON" xfId="4" xr:uid="{00000000-0005-0000-0000-000034000000}"/>
    <cellStyle name="一般_OMRON海運出口" xfId="1" xr:uid="{00000000-0005-0000-0000-00001F000000}"/>
    <cellStyle name="常规_Sheet1_1" xfId="2" xr:uid="{00000000-0005-0000-0000-000032000000}"/>
    <cellStyle name="常规_啟德一般貿易" xfId="3" xr:uid="{00000000-0005-0000-0000-000033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000427/Desktop/1&#29289;&#27969;&#22253;&#32852;&#31995;&#31383;&#214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联络单"/>
      <sheetName val="廠商中英文對照表"/>
      <sheetName val="送料规则"/>
      <sheetName val="7.11"/>
      <sheetName val="记录"/>
      <sheetName val="常用"/>
      <sheetName val="上海"/>
      <sheetName val="物流园"/>
      <sheetName val="货代"/>
      <sheetName val="国家代码"/>
      <sheetName val="E49授权报关行"/>
      <sheetName val="品名"/>
      <sheetName val="集报"/>
      <sheetName val="Sheet2"/>
      <sheetName val="监管方式代码"/>
      <sheetName val="退运窗口"/>
      <sheetName val="Sheet1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国家</v>
          </cell>
          <cell r="B1" t="str">
            <v>代码</v>
          </cell>
        </row>
        <row r="2">
          <cell r="A2" t="str">
            <v>Vietnam</v>
          </cell>
          <cell r="B2">
            <v>141</v>
          </cell>
        </row>
        <row r="3">
          <cell r="A3" t="str">
            <v>Japan</v>
          </cell>
          <cell r="B3">
            <v>116</v>
          </cell>
        </row>
        <row r="4">
          <cell r="A4" t="str">
            <v>Thailand</v>
          </cell>
          <cell r="B4">
            <v>136</v>
          </cell>
        </row>
        <row r="5">
          <cell r="A5" t="str">
            <v>Malaysia</v>
          </cell>
          <cell r="B5">
            <v>122</v>
          </cell>
        </row>
        <row r="6">
          <cell r="A6" t="str">
            <v>CHINA</v>
          </cell>
          <cell r="B6">
            <v>142</v>
          </cell>
        </row>
        <row r="7">
          <cell r="A7" t="str">
            <v>TAIWAN,CHINA</v>
          </cell>
          <cell r="B7">
            <v>143</v>
          </cell>
        </row>
        <row r="8">
          <cell r="A8" t="str">
            <v>PHILIPPINES</v>
          </cell>
          <cell r="B8">
            <v>129</v>
          </cell>
        </row>
        <row r="9">
          <cell r="A9" t="str">
            <v>INDONESIA</v>
          </cell>
          <cell r="B9">
            <v>112</v>
          </cell>
        </row>
        <row r="10">
          <cell r="A10" t="str">
            <v>Korea</v>
          </cell>
          <cell r="B10">
            <v>133</v>
          </cell>
        </row>
        <row r="11">
          <cell r="A11" t="str">
            <v>MEXICO</v>
          </cell>
          <cell r="B11">
            <v>429</v>
          </cell>
        </row>
        <row r="12">
          <cell r="A12" t="str">
            <v>Taiwan, China</v>
          </cell>
          <cell r="B12">
            <v>143</v>
          </cell>
        </row>
        <row r="13">
          <cell r="A13" t="str">
            <v>USA</v>
          </cell>
          <cell r="B13">
            <v>502</v>
          </cell>
        </row>
        <row r="14">
          <cell r="A14" t="str">
            <v>Taiwan</v>
          </cell>
          <cell r="B14">
            <v>143</v>
          </cell>
        </row>
        <row r="15">
          <cell r="A15" t="str">
            <v>MY</v>
          </cell>
          <cell r="B15">
            <v>122</v>
          </cell>
        </row>
        <row r="16">
          <cell r="A16" t="str">
            <v>TW</v>
          </cell>
          <cell r="B16">
            <v>143</v>
          </cell>
        </row>
        <row r="17">
          <cell r="A17" t="str">
            <v>TH</v>
          </cell>
          <cell r="B17">
            <v>136</v>
          </cell>
        </row>
        <row r="18">
          <cell r="A18" t="str">
            <v>JP</v>
          </cell>
          <cell r="B18">
            <v>116</v>
          </cell>
        </row>
        <row r="19">
          <cell r="A19" t="str">
            <v>CN</v>
          </cell>
          <cell r="B19">
            <v>142</v>
          </cell>
        </row>
        <row r="20">
          <cell r="A20" t="str">
            <v>GB</v>
          </cell>
          <cell r="B20">
            <v>303</v>
          </cell>
        </row>
        <row r="21">
          <cell r="A21" t="str">
            <v>UK</v>
          </cell>
          <cell r="B21">
            <v>303</v>
          </cell>
        </row>
        <row r="22">
          <cell r="A22" t="str">
            <v>PH</v>
          </cell>
          <cell r="B22">
            <v>129</v>
          </cell>
        </row>
        <row r="23">
          <cell r="A23" t="str">
            <v>KR</v>
          </cell>
          <cell r="B23">
            <v>133</v>
          </cell>
        </row>
        <row r="24">
          <cell r="A24" t="str">
            <v>IN</v>
          </cell>
          <cell r="B24">
            <v>111</v>
          </cell>
        </row>
        <row r="25">
          <cell r="A25" t="str">
            <v>TW,CN</v>
          </cell>
          <cell r="B25">
            <v>143</v>
          </cell>
        </row>
        <row r="26">
          <cell r="A26" t="str">
            <v>MADE IN TAIWAN , CHINA</v>
          </cell>
          <cell r="B26">
            <v>143</v>
          </cell>
        </row>
        <row r="27">
          <cell r="A27" t="str">
            <v>NZ</v>
          </cell>
          <cell r="B27">
            <v>609</v>
          </cell>
        </row>
        <row r="28">
          <cell r="A28" t="str">
            <v>DE</v>
          </cell>
          <cell r="B28">
            <v>304</v>
          </cell>
        </row>
        <row r="29">
          <cell r="A29" t="str">
            <v>CR</v>
          </cell>
          <cell r="B29">
            <v>415</v>
          </cell>
        </row>
        <row r="30">
          <cell r="A30" t="str">
            <v>US</v>
          </cell>
          <cell r="B30">
            <v>502</v>
          </cell>
        </row>
        <row r="31">
          <cell r="A31" t="str">
            <v>Made in CHINA</v>
          </cell>
          <cell r="B31">
            <v>142</v>
          </cell>
        </row>
        <row r="32">
          <cell r="A32" t="str">
            <v>Made in USA</v>
          </cell>
          <cell r="B32">
            <v>502</v>
          </cell>
        </row>
        <row r="33">
          <cell r="A33" t="str">
            <v>VN</v>
          </cell>
          <cell r="B33">
            <v>141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93"/>
  <sheetViews>
    <sheetView view="pageBreakPreview" zoomScale="70" zoomScaleNormal="100" zoomScaleSheetLayoutView="70" workbookViewId="0">
      <selection activeCell="E4" sqref="E4"/>
    </sheetView>
  </sheetViews>
  <sheetFormatPr defaultColWidth="9" defaultRowHeight="22.2"/>
  <cols>
    <col min="1" max="1" width="9" style="1"/>
    <col min="2" max="2" width="14" style="1" customWidth="1"/>
    <col min="3" max="3" width="13.109375" style="1" customWidth="1"/>
    <col min="4" max="4" width="15.6640625" style="1" customWidth="1"/>
    <col min="5" max="8" width="9" style="1"/>
    <col min="9" max="9" width="12.33203125" style="1" customWidth="1"/>
    <col min="10" max="11" width="9" style="1"/>
    <col min="12" max="12" width="13" style="1" customWidth="1"/>
    <col min="13" max="13" width="17.6640625" style="1" customWidth="1"/>
    <col min="14" max="14" width="21" style="1" customWidth="1"/>
    <col min="15" max="15" width="13.109375" style="1" customWidth="1"/>
    <col min="16" max="16" width="9" style="1"/>
    <col min="17" max="17" width="16.33203125" style="1" customWidth="1"/>
    <col min="18" max="16384" width="9" style="1"/>
  </cols>
  <sheetData>
    <row r="1" spans="1:15" ht="22.8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1:15">
      <c r="A2" s="15" t="s">
        <v>1</v>
      </c>
      <c r="B2" s="104"/>
      <c r="C2" s="3"/>
      <c r="D2" s="105"/>
      <c r="E2" s="15" t="s">
        <v>2</v>
      </c>
      <c r="F2" s="3"/>
      <c r="G2" s="3"/>
      <c r="H2" s="3"/>
      <c r="I2" s="3"/>
      <c r="J2" s="28"/>
      <c r="K2" s="28"/>
      <c r="L2" s="28"/>
      <c r="M2" s="28"/>
      <c r="N2" s="28"/>
      <c r="O2" s="29"/>
    </row>
    <row r="3" spans="1:15">
      <c r="A3" s="44" t="s">
        <v>3</v>
      </c>
      <c r="B3" s="17"/>
      <c r="C3" s="6"/>
      <c r="D3" s="7"/>
      <c r="E3" s="46">
        <v>45880</v>
      </c>
      <c r="F3" s="6"/>
      <c r="G3" s="8"/>
      <c r="H3" s="8"/>
      <c r="I3" s="6"/>
      <c r="J3" s="30"/>
      <c r="K3" s="30"/>
      <c r="L3" s="30"/>
      <c r="M3" s="30"/>
      <c r="N3" s="30"/>
      <c r="O3" s="29"/>
    </row>
    <row r="4" spans="1:15">
      <c r="A4" s="140" t="s">
        <v>4</v>
      </c>
      <c r="B4" s="141"/>
      <c r="C4" s="141"/>
      <c r="D4" s="142"/>
      <c r="E4" s="46" t="s">
        <v>5</v>
      </c>
      <c r="F4" s="106"/>
      <c r="G4" s="106"/>
      <c r="H4" s="9"/>
      <c r="I4" s="6"/>
      <c r="J4" s="30"/>
      <c r="K4" s="30"/>
      <c r="L4" s="30"/>
      <c r="M4" s="30"/>
      <c r="N4" s="30"/>
      <c r="O4" s="29"/>
    </row>
    <row r="5" spans="1:15">
      <c r="A5" s="143"/>
      <c r="B5" s="141"/>
      <c r="C5" s="141"/>
      <c r="D5" s="142"/>
      <c r="E5" s="10"/>
      <c r="F5" s="6"/>
      <c r="G5" s="6"/>
      <c r="H5" s="6"/>
      <c r="I5" s="6"/>
      <c r="J5" s="30"/>
      <c r="K5" s="30"/>
      <c r="L5" s="30"/>
      <c r="M5" s="30"/>
      <c r="N5" s="30"/>
      <c r="O5" s="29"/>
    </row>
    <row r="6" spans="1:15">
      <c r="A6" s="15" t="s">
        <v>6</v>
      </c>
      <c r="B6" s="107" t="s">
        <v>7</v>
      </c>
      <c r="C6" s="3"/>
      <c r="D6" s="16"/>
      <c r="E6" s="15" t="s">
        <v>8</v>
      </c>
      <c r="F6" s="3"/>
      <c r="G6" s="3"/>
      <c r="H6" s="3"/>
      <c r="I6" s="3"/>
      <c r="J6" s="32"/>
      <c r="K6" s="33"/>
      <c r="L6" s="33"/>
      <c r="M6" s="33"/>
      <c r="N6" s="33"/>
      <c r="O6" s="34"/>
    </row>
    <row r="7" spans="1:15">
      <c r="A7" s="53" t="s">
        <v>9</v>
      </c>
      <c r="B7" s="17"/>
      <c r="C7" s="85"/>
      <c r="D7" s="108"/>
      <c r="E7" s="109" t="s">
        <v>10</v>
      </c>
      <c r="F7" s="6"/>
      <c r="G7" s="6"/>
      <c r="H7" s="6"/>
      <c r="I7" s="6"/>
      <c r="J7" s="33"/>
      <c r="K7" s="33"/>
      <c r="L7" s="33"/>
      <c r="M7" s="33"/>
      <c r="N7" s="33"/>
      <c r="O7" s="34"/>
    </row>
    <row r="8" spans="1:15">
      <c r="A8" s="140" t="s">
        <v>11</v>
      </c>
      <c r="B8" s="141"/>
      <c r="C8" s="141"/>
      <c r="D8" s="142"/>
      <c r="E8" s="132"/>
      <c r="F8" s="133"/>
      <c r="G8" s="133"/>
      <c r="H8" s="133"/>
      <c r="I8" s="133"/>
      <c r="J8" s="35"/>
      <c r="K8" s="35"/>
      <c r="L8" s="35"/>
      <c r="M8" s="35"/>
      <c r="N8" s="35"/>
      <c r="O8" s="36"/>
    </row>
    <row r="9" spans="1:15">
      <c r="A9" s="143"/>
      <c r="B9" s="141"/>
      <c r="C9" s="141"/>
      <c r="D9" s="142"/>
      <c r="E9" s="10"/>
      <c r="F9" s="6"/>
      <c r="G9" s="6"/>
      <c r="H9" s="6"/>
      <c r="I9" s="6"/>
      <c r="J9" s="35"/>
      <c r="K9" s="35"/>
      <c r="L9" s="35"/>
      <c r="M9" s="35"/>
      <c r="N9" s="35"/>
      <c r="O9" s="36"/>
    </row>
    <row r="10" spans="1:15">
      <c r="A10" s="15" t="s">
        <v>12</v>
      </c>
      <c r="B10" s="3"/>
      <c r="C10" s="3"/>
      <c r="D10" s="16"/>
      <c r="E10" s="15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16"/>
    </row>
    <row r="11" spans="1:15">
      <c r="A11" s="60" t="s">
        <v>14</v>
      </c>
      <c r="B11" s="17"/>
      <c r="C11" s="17"/>
      <c r="D11" s="7"/>
      <c r="E11" s="44" t="s">
        <v>15</v>
      </c>
      <c r="F11" s="25"/>
      <c r="G11" s="25"/>
      <c r="H11" s="25"/>
      <c r="I11" s="25"/>
      <c r="J11" s="30"/>
      <c r="K11" s="30"/>
      <c r="L11" s="30"/>
      <c r="M11" s="30"/>
      <c r="N11" s="30"/>
      <c r="O11" s="29"/>
    </row>
    <row r="12" spans="1:15">
      <c r="A12" s="18" t="s">
        <v>16</v>
      </c>
      <c r="B12" s="19"/>
      <c r="C12" s="19"/>
      <c r="D12" s="13"/>
      <c r="E12" s="14"/>
      <c r="F12" s="12"/>
      <c r="G12" s="12"/>
      <c r="H12" s="12"/>
      <c r="I12" s="37"/>
      <c r="J12" s="30"/>
      <c r="K12" s="30"/>
      <c r="L12" s="30"/>
      <c r="M12" s="30"/>
      <c r="N12" s="30"/>
      <c r="O12" s="31"/>
    </row>
    <row r="13" spans="1:15">
      <c r="A13" s="15" t="s">
        <v>17</v>
      </c>
      <c r="B13" s="3"/>
      <c r="C13" s="15" t="s">
        <v>18</v>
      </c>
      <c r="D13" s="16"/>
      <c r="E13" s="20" t="s">
        <v>19</v>
      </c>
      <c r="F13" s="21"/>
      <c r="G13" s="21"/>
      <c r="H13" s="21"/>
      <c r="I13" s="6"/>
      <c r="J13" s="28"/>
      <c r="K13" s="28"/>
      <c r="L13" s="28"/>
      <c r="M13" s="28"/>
      <c r="N13" s="28"/>
      <c r="O13" s="29"/>
    </row>
    <row r="14" spans="1:15">
      <c r="A14" s="134"/>
      <c r="B14" s="135"/>
      <c r="C14" s="136"/>
      <c r="D14" s="135"/>
      <c r="E14" s="22"/>
      <c r="F14" s="6"/>
      <c r="G14" s="6"/>
      <c r="H14" s="6"/>
      <c r="I14" s="6"/>
      <c r="J14" s="30"/>
      <c r="K14" s="30"/>
      <c r="L14" s="30"/>
      <c r="M14" s="30"/>
      <c r="N14" s="30"/>
      <c r="O14" s="29"/>
    </row>
    <row r="15" spans="1:15">
      <c r="A15" s="23"/>
      <c r="B15" s="24"/>
      <c r="C15" s="137"/>
      <c r="D15" s="138"/>
      <c r="E15" s="22"/>
      <c r="F15" s="25"/>
      <c r="G15" s="6"/>
      <c r="H15" s="6"/>
      <c r="I15" s="6"/>
      <c r="J15" s="30"/>
      <c r="K15" s="30"/>
      <c r="L15" s="30"/>
      <c r="M15" s="30"/>
      <c r="N15" s="30"/>
      <c r="O15" s="29"/>
    </row>
    <row r="16" spans="1:15">
      <c r="A16" s="15" t="s">
        <v>20</v>
      </c>
      <c r="B16" s="16"/>
      <c r="C16" s="26" t="s">
        <v>21</v>
      </c>
      <c r="D16" s="27"/>
      <c r="E16" s="22"/>
      <c r="F16" s="25"/>
      <c r="G16" s="6"/>
      <c r="H16" s="6"/>
      <c r="I16" s="6"/>
      <c r="J16" s="38"/>
      <c r="K16" s="30"/>
      <c r="L16" s="30"/>
      <c r="M16" s="30"/>
      <c r="N16" s="30"/>
      <c r="O16" s="29"/>
    </row>
    <row r="17" spans="1:17">
      <c r="A17" s="134"/>
      <c r="B17" s="135"/>
      <c r="C17" s="134"/>
      <c r="D17" s="135"/>
      <c r="E17" s="110" t="s">
        <v>22</v>
      </c>
      <c r="F17" s="111" t="s">
        <v>23</v>
      </c>
      <c r="G17" s="6"/>
      <c r="H17" s="6"/>
      <c r="I17" s="6"/>
      <c r="J17" s="117"/>
      <c r="K17" s="30"/>
      <c r="L17" s="30"/>
      <c r="M17" s="30"/>
      <c r="N17" s="30"/>
      <c r="O17" s="29"/>
    </row>
    <row r="18" spans="1:17" ht="26.4">
      <c r="A18" s="112" t="s">
        <v>24</v>
      </c>
      <c r="B18" s="67" t="s">
        <v>25</v>
      </c>
      <c r="C18" s="67" t="s">
        <v>26</v>
      </c>
      <c r="D18" s="113" t="s">
        <v>27</v>
      </c>
      <c r="E18" s="67" t="s">
        <v>28</v>
      </c>
      <c r="F18" s="67" t="s">
        <v>29</v>
      </c>
      <c r="G18" s="67" t="s">
        <v>30</v>
      </c>
      <c r="H18" s="67" t="s">
        <v>31</v>
      </c>
      <c r="I18" s="67" t="s">
        <v>32</v>
      </c>
      <c r="J18" s="118" t="s">
        <v>33</v>
      </c>
      <c r="K18" s="118" t="s">
        <v>34</v>
      </c>
      <c r="L18" s="119" t="s">
        <v>35</v>
      </c>
      <c r="M18" s="119" t="s">
        <v>36</v>
      </c>
      <c r="N18" s="119" t="s">
        <v>37</v>
      </c>
      <c r="O18" s="120" t="s">
        <v>38</v>
      </c>
    </row>
    <row r="19" spans="1:17" ht="21.9" customHeight="1">
      <c r="A19" s="70" t="s">
        <v>39</v>
      </c>
      <c r="B19" s="70" t="s">
        <v>40</v>
      </c>
      <c r="C19" s="70" t="s">
        <v>41</v>
      </c>
      <c r="D19" s="114" t="s">
        <v>42</v>
      </c>
      <c r="E19" s="70">
        <v>10000</v>
      </c>
      <c r="F19" s="115" t="s">
        <v>43</v>
      </c>
      <c r="G19" s="116">
        <v>2.5999999999999999E-3</v>
      </c>
      <c r="H19" s="70" t="s">
        <v>44</v>
      </c>
      <c r="I19" s="77">
        <v>26</v>
      </c>
      <c r="J19" s="70" t="s">
        <v>45</v>
      </c>
      <c r="K19" s="70"/>
      <c r="L19" s="70" t="s">
        <v>46</v>
      </c>
      <c r="M19" s="70" t="s">
        <v>47</v>
      </c>
      <c r="N19" s="70" t="s">
        <v>48</v>
      </c>
      <c r="O19" s="72">
        <v>0.01</v>
      </c>
      <c r="Q19" s="1">
        <f>VLOOKUP(J19,[1]国家代码!$A$1:$B$65536,2,0)</f>
        <v>116</v>
      </c>
    </row>
    <row r="20" spans="1:17" ht="21.9" customHeight="1">
      <c r="A20" s="70" t="s">
        <v>49</v>
      </c>
      <c r="B20" s="70" t="s">
        <v>50</v>
      </c>
      <c r="C20" s="70" t="s">
        <v>51</v>
      </c>
      <c r="D20" s="114" t="s">
        <v>42</v>
      </c>
      <c r="E20" s="70">
        <v>10000</v>
      </c>
      <c r="F20" s="115" t="s">
        <v>43</v>
      </c>
      <c r="G20" s="116">
        <v>1.34E-2</v>
      </c>
      <c r="H20" s="70" t="s">
        <v>44</v>
      </c>
      <c r="I20" s="77">
        <v>134</v>
      </c>
      <c r="J20" s="70" t="s">
        <v>45</v>
      </c>
      <c r="K20" s="70"/>
      <c r="L20" s="70" t="s">
        <v>46</v>
      </c>
      <c r="M20" s="70" t="s">
        <v>47</v>
      </c>
      <c r="N20" s="70" t="s">
        <v>52</v>
      </c>
      <c r="O20" s="72">
        <v>8.0000000000000002E-3</v>
      </c>
      <c r="Q20" s="1">
        <f>VLOOKUP(J20,[1]国家代码!$A$1:$B$65536,2,0)</f>
        <v>116</v>
      </c>
    </row>
    <row r="21" spans="1:17" ht="21.9" customHeight="1">
      <c r="A21" s="70" t="s">
        <v>53</v>
      </c>
      <c r="B21" s="70" t="s">
        <v>54</v>
      </c>
      <c r="C21" s="70" t="s">
        <v>55</v>
      </c>
      <c r="D21" s="114" t="s">
        <v>42</v>
      </c>
      <c r="E21" s="70">
        <v>20000</v>
      </c>
      <c r="F21" s="115" t="s">
        <v>43</v>
      </c>
      <c r="G21" s="116">
        <v>2.16E-3</v>
      </c>
      <c r="H21" s="70" t="s">
        <v>44</v>
      </c>
      <c r="I21" s="77">
        <v>43.2</v>
      </c>
      <c r="J21" s="70" t="s">
        <v>45</v>
      </c>
      <c r="K21" s="70"/>
      <c r="L21" s="70" t="s">
        <v>46</v>
      </c>
      <c r="M21" s="70" t="s">
        <v>47</v>
      </c>
      <c r="N21" s="70" t="s">
        <v>56</v>
      </c>
      <c r="O21" s="72">
        <v>0.02</v>
      </c>
      <c r="Q21" s="1">
        <f>VLOOKUP(J21,[1]国家代码!$A$1:$B$65536,2,0)</f>
        <v>116</v>
      </c>
    </row>
    <row r="22" spans="1:17" ht="21.9" customHeight="1">
      <c r="A22" s="70" t="s">
        <v>57</v>
      </c>
      <c r="B22" s="70" t="s">
        <v>58</v>
      </c>
      <c r="C22" s="70" t="s">
        <v>41</v>
      </c>
      <c r="D22" s="114" t="s">
        <v>42</v>
      </c>
      <c r="E22" s="70">
        <v>8000</v>
      </c>
      <c r="F22" s="115" t="s">
        <v>43</v>
      </c>
      <c r="G22" s="116">
        <v>3.5000000000000003E-2</v>
      </c>
      <c r="H22" s="70" t="s">
        <v>44</v>
      </c>
      <c r="I22" s="77">
        <v>280</v>
      </c>
      <c r="J22" s="70" t="s">
        <v>45</v>
      </c>
      <c r="K22" s="70"/>
      <c r="L22" s="70" t="s">
        <v>46</v>
      </c>
      <c r="M22" s="70" t="s">
        <v>47</v>
      </c>
      <c r="N22" s="70" t="s">
        <v>59</v>
      </c>
      <c r="O22" s="72">
        <v>9.6000000000000002E-2</v>
      </c>
      <c r="Q22" s="1">
        <f>VLOOKUP(J22,[1]国家代码!$A$1:$B$65536,2,0)</f>
        <v>116</v>
      </c>
    </row>
    <row r="23" spans="1:17" ht="21.9" customHeight="1">
      <c r="A23" s="70" t="s">
        <v>60</v>
      </c>
      <c r="B23" s="70" t="s">
        <v>61</v>
      </c>
      <c r="C23" s="70" t="s">
        <v>62</v>
      </c>
      <c r="D23" s="114" t="s">
        <v>42</v>
      </c>
      <c r="E23" s="70">
        <v>9000</v>
      </c>
      <c r="F23" s="115" t="s">
        <v>43</v>
      </c>
      <c r="G23" s="116">
        <v>4.7E-2</v>
      </c>
      <c r="H23" s="70" t="s">
        <v>44</v>
      </c>
      <c r="I23" s="77">
        <v>423</v>
      </c>
      <c r="J23" s="70" t="s">
        <v>45</v>
      </c>
      <c r="K23" s="70"/>
      <c r="L23" s="70" t="s">
        <v>46</v>
      </c>
      <c r="M23" s="70" t="s">
        <v>47</v>
      </c>
      <c r="N23" s="70" t="s">
        <v>63</v>
      </c>
      <c r="O23" s="72">
        <v>4.1000000000000002E-2</v>
      </c>
      <c r="Q23" s="1">
        <f>VLOOKUP(J23,[1]国家代码!$A$1:$B$65536,2,0)</f>
        <v>116</v>
      </c>
    </row>
    <row r="24" spans="1:17" ht="21.9" customHeight="1">
      <c r="A24" s="70" t="s">
        <v>64</v>
      </c>
      <c r="B24" s="70" t="s">
        <v>61</v>
      </c>
      <c r="C24" s="70" t="s">
        <v>65</v>
      </c>
      <c r="D24" s="114" t="s">
        <v>42</v>
      </c>
      <c r="E24" s="70">
        <v>3000</v>
      </c>
      <c r="F24" s="115" t="s">
        <v>43</v>
      </c>
      <c r="G24" s="116">
        <v>4.7E-2</v>
      </c>
      <c r="H24" s="70" t="s">
        <v>44</v>
      </c>
      <c r="I24" s="77">
        <v>141</v>
      </c>
      <c r="J24" s="70" t="s">
        <v>45</v>
      </c>
      <c r="K24" s="70"/>
      <c r="L24" s="70" t="s">
        <v>46</v>
      </c>
      <c r="M24" s="70" t="s">
        <v>47</v>
      </c>
      <c r="N24" s="70" t="s">
        <v>63</v>
      </c>
      <c r="O24" s="72">
        <v>1.2999999999999999E-2</v>
      </c>
      <c r="Q24" s="1">
        <f>VLOOKUP(J24,[1]国家代码!$A$1:$B$65536,2,0)</f>
        <v>116</v>
      </c>
    </row>
    <row r="25" spans="1:17" ht="21.9" customHeight="1">
      <c r="A25" s="70" t="s">
        <v>66</v>
      </c>
      <c r="B25" s="70" t="s">
        <v>61</v>
      </c>
      <c r="C25" s="70" t="s">
        <v>67</v>
      </c>
      <c r="D25" s="114" t="s">
        <v>42</v>
      </c>
      <c r="E25" s="70">
        <v>3000</v>
      </c>
      <c r="F25" s="115" t="s">
        <v>43</v>
      </c>
      <c r="G25" s="116">
        <v>4.7E-2</v>
      </c>
      <c r="H25" s="70" t="s">
        <v>44</v>
      </c>
      <c r="I25" s="77">
        <v>141</v>
      </c>
      <c r="J25" s="70" t="s">
        <v>45</v>
      </c>
      <c r="K25" s="70"/>
      <c r="L25" s="70" t="s">
        <v>46</v>
      </c>
      <c r="M25" s="70" t="s">
        <v>47</v>
      </c>
      <c r="N25" s="70" t="s">
        <v>63</v>
      </c>
      <c r="O25" s="72">
        <v>1.2999999999999999E-2</v>
      </c>
      <c r="Q25" s="1">
        <f>VLOOKUP(J25,[1]国家代码!$A$1:$B$65536,2,0)</f>
        <v>116</v>
      </c>
    </row>
    <row r="26" spans="1:17" ht="21.9" customHeight="1">
      <c r="A26" s="70" t="s">
        <v>68</v>
      </c>
      <c r="B26" s="70" t="s">
        <v>69</v>
      </c>
      <c r="C26" s="70" t="s">
        <v>70</v>
      </c>
      <c r="D26" s="114" t="s">
        <v>42</v>
      </c>
      <c r="E26" s="70">
        <v>15000</v>
      </c>
      <c r="F26" s="115" t="s">
        <v>43</v>
      </c>
      <c r="G26" s="116">
        <v>9.1000000000000004E-3</v>
      </c>
      <c r="H26" s="70" t="s">
        <v>44</v>
      </c>
      <c r="I26" s="77">
        <v>136.5</v>
      </c>
      <c r="J26" s="70" t="s">
        <v>45</v>
      </c>
      <c r="K26" s="70"/>
      <c r="L26" s="70" t="s">
        <v>46</v>
      </c>
      <c r="M26" s="70" t="s">
        <v>47</v>
      </c>
      <c r="N26" s="70" t="s">
        <v>71</v>
      </c>
      <c r="O26" s="72">
        <v>3.0000000000000001E-3</v>
      </c>
      <c r="Q26" s="1">
        <f>VLOOKUP(J26,[1]国家代码!$A$1:$B$65536,2,0)</f>
        <v>116</v>
      </c>
    </row>
    <row r="27" spans="1:17" ht="21.9" customHeight="1">
      <c r="A27" s="70" t="s">
        <v>72</v>
      </c>
      <c r="B27" s="70" t="s">
        <v>73</v>
      </c>
      <c r="C27" s="70" t="s">
        <v>70</v>
      </c>
      <c r="D27" s="114" t="s">
        <v>42</v>
      </c>
      <c r="E27" s="70">
        <v>15000</v>
      </c>
      <c r="F27" s="115" t="s">
        <v>43</v>
      </c>
      <c r="G27" s="116">
        <v>9.1000000000000004E-3</v>
      </c>
      <c r="H27" s="70" t="s">
        <v>44</v>
      </c>
      <c r="I27" s="77">
        <v>136.5</v>
      </c>
      <c r="J27" s="70" t="s">
        <v>45</v>
      </c>
      <c r="K27" s="70"/>
      <c r="L27" s="70" t="s">
        <v>46</v>
      </c>
      <c r="M27" s="70" t="s">
        <v>47</v>
      </c>
      <c r="N27" s="70" t="s">
        <v>74</v>
      </c>
      <c r="O27" s="72">
        <v>3.0000000000000001E-3</v>
      </c>
      <c r="Q27" s="1">
        <f>VLOOKUP(J27,[1]国家代码!$A$1:$B$65536,2,0)</f>
        <v>116</v>
      </c>
    </row>
    <row r="28" spans="1:17" ht="21.9" customHeight="1">
      <c r="A28" s="70" t="s">
        <v>75</v>
      </c>
      <c r="B28" s="70" t="s">
        <v>76</v>
      </c>
      <c r="C28" s="70" t="s">
        <v>77</v>
      </c>
      <c r="D28" s="114" t="s">
        <v>42</v>
      </c>
      <c r="E28" s="70">
        <v>30000</v>
      </c>
      <c r="F28" s="115" t="s">
        <v>43</v>
      </c>
      <c r="G28" s="116">
        <v>7.7999999999999996E-3</v>
      </c>
      <c r="H28" s="70" t="s">
        <v>44</v>
      </c>
      <c r="I28" s="77">
        <v>234</v>
      </c>
      <c r="J28" s="70" t="s">
        <v>45</v>
      </c>
      <c r="K28" s="70"/>
      <c r="L28" s="70" t="s">
        <v>46</v>
      </c>
      <c r="M28" s="70" t="s">
        <v>47</v>
      </c>
      <c r="N28" s="70" t="s">
        <v>78</v>
      </c>
      <c r="O28" s="72">
        <v>5.0000000000000001E-3</v>
      </c>
      <c r="Q28" s="1">
        <f>VLOOKUP(J28,[1]国家代码!$A$1:$B$65536,2,0)</f>
        <v>116</v>
      </c>
    </row>
    <row r="29" spans="1:17" ht="21.9" customHeight="1">
      <c r="A29" s="70" t="s">
        <v>79</v>
      </c>
      <c r="B29" s="70" t="s">
        <v>80</v>
      </c>
      <c r="C29" s="70" t="s">
        <v>67</v>
      </c>
      <c r="D29" s="114" t="s">
        <v>42</v>
      </c>
      <c r="E29" s="70">
        <v>15000</v>
      </c>
      <c r="F29" s="115" t="s">
        <v>43</v>
      </c>
      <c r="G29" s="116">
        <v>7.7999999999999996E-3</v>
      </c>
      <c r="H29" s="70" t="s">
        <v>44</v>
      </c>
      <c r="I29" s="77">
        <v>117</v>
      </c>
      <c r="J29" s="70" t="s">
        <v>45</v>
      </c>
      <c r="K29" s="70"/>
      <c r="L29" s="70" t="s">
        <v>46</v>
      </c>
      <c r="M29" s="70" t="s">
        <v>47</v>
      </c>
      <c r="N29" s="70" t="s">
        <v>81</v>
      </c>
      <c r="O29" s="72">
        <v>5.0000000000000001E-3</v>
      </c>
      <c r="Q29" s="1">
        <f>VLOOKUP(J29,[1]国家代码!$A$1:$B$65536,2,0)</f>
        <v>116</v>
      </c>
    </row>
    <row r="30" spans="1:17" ht="21.9" customHeight="1">
      <c r="A30" s="70" t="s">
        <v>82</v>
      </c>
      <c r="B30" s="70" t="s">
        <v>83</v>
      </c>
      <c r="C30" s="70" t="s">
        <v>84</v>
      </c>
      <c r="D30" s="114" t="s">
        <v>42</v>
      </c>
      <c r="E30" s="70">
        <v>15000</v>
      </c>
      <c r="F30" s="115" t="s">
        <v>43</v>
      </c>
      <c r="G30" s="116">
        <v>1.75E-3</v>
      </c>
      <c r="H30" s="70" t="s">
        <v>44</v>
      </c>
      <c r="I30" s="77">
        <v>26.25</v>
      </c>
      <c r="J30" s="70" t="s">
        <v>45</v>
      </c>
      <c r="K30" s="70"/>
      <c r="L30" s="70" t="s">
        <v>46</v>
      </c>
      <c r="M30" s="70" t="s">
        <v>47</v>
      </c>
      <c r="N30" s="70" t="s">
        <v>85</v>
      </c>
      <c r="O30" s="72">
        <v>1.0999999999999999E-2</v>
      </c>
      <c r="Q30" s="1">
        <f>VLOOKUP(J30,[1]国家代码!$A$1:$B$65536,2,0)</f>
        <v>116</v>
      </c>
    </row>
    <row r="31" spans="1:17" ht="21.9" customHeight="1">
      <c r="A31" s="70" t="s">
        <v>86</v>
      </c>
      <c r="B31" s="70" t="s">
        <v>83</v>
      </c>
      <c r="C31" s="70" t="s">
        <v>77</v>
      </c>
      <c r="D31" s="114" t="s">
        <v>42</v>
      </c>
      <c r="E31" s="70">
        <v>15000</v>
      </c>
      <c r="F31" s="115" t="s">
        <v>43</v>
      </c>
      <c r="G31" s="116">
        <v>1.75E-3</v>
      </c>
      <c r="H31" s="70" t="s">
        <v>44</v>
      </c>
      <c r="I31" s="77">
        <v>26.25</v>
      </c>
      <c r="J31" s="70" t="s">
        <v>45</v>
      </c>
      <c r="K31" s="70"/>
      <c r="L31" s="70" t="s">
        <v>46</v>
      </c>
      <c r="M31" s="70" t="s">
        <v>47</v>
      </c>
      <c r="N31" s="70" t="s">
        <v>85</v>
      </c>
      <c r="O31" s="72">
        <v>1.0999999999999999E-2</v>
      </c>
      <c r="Q31" s="1">
        <f>VLOOKUP(J31,[1]国家代码!$A$1:$B$65536,2,0)</f>
        <v>116</v>
      </c>
    </row>
    <row r="32" spans="1:17" ht="21.9" customHeight="1">
      <c r="A32" s="70" t="s">
        <v>87</v>
      </c>
      <c r="B32" s="70" t="s">
        <v>88</v>
      </c>
      <c r="C32" s="70" t="s">
        <v>89</v>
      </c>
      <c r="D32" s="114" t="s">
        <v>42</v>
      </c>
      <c r="E32" s="70">
        <v>15000</v>
      </c>
      <c r="F32" s="115" t="s">
        <v>43</v>
      </c>
      <c r="G32" s="116">
        <v>1.75E-3</v>
      </c>
      <c r="H32" s="70" t="s">
        <v>44</v>
      </c>
      <c r="I32" s="77">
        <v>26.25</v>
      </c>
      <c r="J32" s="70" t="s">
        <v>45</v>
      </c>
      <c r="K32" s="70"/>
      <c r="L32" s="70" t="s">
        <v>46</v>
      </c>
      <c r="M32" s="70" t="s">
        <v>47</v>
      </c>
      <c r="N32" s="70" t="s">
        <v>90</v>
      </c>
      <c r="O32" s="72">
        <v>3.0000000000000001E-3</v>
      </c>
      <c r="Q32" s="1">
        <f>VLOOKUP(J32,[1]国家代码!$A$1:$B$65536,2,0)</f>
        <v>116</v>
      </c>
    </row>
    <row r="33" spans="1:17" ht="21.9" customHeight="1">
      <c r="A33" s="70" t="s">
        <v>91</v>
      </c>
      <c r="B33" s="70" t="s">
        <v>92</v>
      </c>
      <c r="C33" s="70" t="s">
        <v>84</v>
      </c>
      <c r="D33" s="114" t="s">
        <v>42</v>
      </c>
      <c r="E33" s="70">
        <v>15000</v>
      </c>
      <c r="F33" s="115" t="s">
        <v>43</v>
      </c>
      <c r="G33" s="116">
        <v>1.75E-3</v>
      </c>
      <c r="H33" s="70" t="s">
        <v>44</v>
      </c>
      <c r="I33" s="77">
        <v>26.25</v>
      </c>
      <c r="J33" s="70" t="s">
        <v>45</v>
      </c>
      <c r="K33" s="70"/>
      <c r="L33" s="70" t="s">
        <v>46</v>
      </c>
      <c r="M33" s="70" t="s">
        <v>47</v>
      </c>
      <c r="N33" s="70" t="s">
        <v>93</v>
      </c>
      <c r="O33" s="72">
        <v>8.0000000000000002E-3</v>
      </c>
      <c r="Q33" s="1">
        <f>VLOOKUP(J33,[1]国家代码!$A$1:$B$65536,2,0)</f>
        <v>116</v>
      </c>
    </row>
    <row r="34" spans="1:17" ht="21.9" customHeight="1">
      <c r="A34" s="70" t="s">
        <v>94</v>
      </c>
      <c r="B34" s="70" t="s">
        <v>95</v>
      </c>
      <c r="C34" s="70" t="s">
        <v>62</v>
      </c>
      <c r="D34" s="114" t="s">
        <v>42</v>
      </c>
      <c r="E34" s="70">
        <v>15000</v>
      </c>
      <c r="F34" s="115" t="s">
        <v>43</v>
      </c>
      <c r="G34" s="116">
        <v>1.75E-3</v>
      </c>
      <c r="H34" s="70" t="s">
        <v>44</v>
      </c>
      <c r="I34" s="77">
        <v>26.25</v>
      </c>
      <c r="J34" s="70" t="s">
        <v>45</v>
      </c>
      <c r="K34" s="70"/>
      <c r="L34" s="70" t="s">
        <v>46</v>
      </c>
      <c r="M34" s="70" t="s">
        <v>47</v>
      </c>
      <c r="N34" s="70" t="s">
        <v>96</v>
      </c>
      <c r="O34" s="72">
        <v>3.0000000000000001E-3</v>
      </c>
      <c r="Q34" s="1">
        <f>VLOOKUP(J34,[1]国家代码!$A$1:$B$65536,2,0)</f>
        <v>116</v>
      </c>
    </row>
    <row r="35" spans="1:17" ht="21.9" customHeight="1">
      <c r="A35" s="70" t="s">
        <v>97</v>
      </c>
      <c r="B35" s="70" t="s">
        <v>98</v>
      </c>
      <c r="C35" s="70" t="s">
        <v>67</v>
      </c>
      <c r="D35" s="114" t="s">
        <v>42</v>
      </c>
      <c r="E35" s="70">
        <v>15000</v>
      </c>
      <c r="F35" s="115" t="s">
        <v>43</v>
      </c>
      <c r="G35" s="116">
        <v>1.75E-3</v>
      </c>
      <c r="H35" s="70" t="s">
        <v>44</v>
      </c>
      <c r="I35" s="77">
        <v>26.25</v>
      </c>
      <c r="J35" s="70" t="s">
        <v>45</v>
      </c>
      <c r="K35" s="70"/>
      <c r="L35" s="70" t="s">
        <v>46</v>
      </c>
      <c r="M35" s="70" t="s">
        <v>47</v>
      </c>
      <c r="N35" s="70" t="s">
        <v>99</v>
      </c>
      <c r="O35" s="72">
        <v>3.0000000000000001E-3</v>
      </c>
      <c r="Q35" s="1">
        <f>VLOOKUP(J35,[1]国家代码!$A$1:$B$65536,2,0)</f>
        <v>116</v>
      </c>
    </row>
    <row r="36" spans="1:17" ht="21.9" customHeight="1">
      <c r="A36" s="70" t="s">
        <v>100</v>
      </c>
      <c r="B36" s="70" t="s">
        <v>98</v>
      </c>
      <c r="C36" s="70" t="s">
        <v>101</v>
      </c>
      <c r="D36" s="114" t="s">
        <v>42</v>
      </c>
      <c r="E36" s="70">
        <v>15000</v>
      </c>
      <c r="F36" s="115" t="s">
        <v>43</v>
      </c>
      <c r="G36" s="116">
        <v>1.75E-3</v>
      </c>
      <c r="H36" s="70" t="s">
        <v>44</v>
      </c>
      <c r="I36" s="77">
        <v>26.25</v>
      </c>
      <c r="J36" s="70" t="s">
        <v>45</v>
      </c>
      <c r="K36" s="70"/>
      <c r="L36" s="70" t="s">
        <v>46</v>
      </c>
      <c r="M36" s="70" t="s">
        <v>47</v>
      </c>
      <c r="N36" s="70" t="s">
        <v>99</v>
      </c>
      <c r="O36" s="72">
        <v>3.0000000000000001E-3</v>
      </c>
      <c r="Q36" s="1">
        <f>VLOOKUP(J36,[1]国家代码!$A$1:$B$65536,2,0)</f>
        <v>116</v>
      </c>
    </row>
    <row r="37" spans="1:17" ht="21.9" customHeight="1">
      <c r="A37" s="70" t="s">
        <v>102</v>
      </c>
      <c r="B37" s="70" t="s">
        <v>103</v>
      </c>
      <c r="C37" s="70" t="s">
        <v>77</v>
      </c>
      <c r="D37" s="114" t="s">
        <v>42</v>
      </c>
      <c r="E37" s="70">
        <v>30000</v>
      </c>
      <c r="F37" s="115" t="s">
        <v>43</v>
      </c>
      <c r="G37" s="116">
        <v>1.7799999999999999E-3</v>
      </c>
      <c r="H37" s="70" t="s">
        <v>44</v>
      </c>
      <c r="I37" s="77">
        <v>53.4</v>
      </c>
      <c r="J37" s="70" t="s">
        <v>45</v>
      </c>
      <c r="K37" s="70"/>
      <c r="L37" s="70" t="s">
        <v>46</v>
      </c>
      <c r="M37" s="70" t="s">
        <v>47</v>
      </c>
      <c r="N37" s="70" t="s">
        <v>104</v>
      </c>
      <c r="O37" s="72">
        <v>5.0000000000000001E-3</v>
      </c>
      <c r="Q37" s="1">
        <f>VLOOKUP(J37,[1]国家代码!$A$1:$B$65536,2,0)</f>
        <v>116</v>
      </c>
    </row>
    <row r="38" spans="1:17" ht="21.9" customHeight="1">
      <c r="A38" s="70" t="s">
        <v>105</v>
      </c>
      <c r="B38" s="70" t="s">
        <v>103</v>
      </c>
      <c r="C38" s="70" t="s">
        <v>67</v>
      </c>
      <c r="D38" s="114" t="s">
        <v>42</v>
      </c>
      <c r="E38" s="70">
        <v>30000</v>
      </c>
      <c r="F38" s="115" t="s">
        <v>43</v>
      </c>
      <c r="G38" s="116">
        <v>1.7700000000000001E-3</v>
      </c>
      <c r="H38" s="70" t="s">
        <v>44</v>
      </c>
      <c r="I38" s="77">
        <v>53.1</v>
      </c>
      <c r="J38" s="70" t="s">
        <v>45</v>
      </c>
      <c r="K38" s="70"/>
      <c r="L38" s="70" t="s">
        <v>46</v>
      </c>
      <c r="M38" s="70" t="s">
        <v>47</v>
      </c>
      <c r="N38" s="70" t="s">
        <v>104</v>
      </c>
      <c r="O38" s="72">
        <v>5.0000000000000001E-3</v>
      </c>
      <c r="Q38" s="1">
        <f>VLOOKUP(J38,[1]国家代码!$A$1:$B$65536,2,0)</f>
        <v>116</v>
      </c>
    </row>
    <row r="39" spans="1:17" ht="21.9" customHeight="1">
      <c r="A39" s="70" t="s">
        <v>106</v>
      </c>
      <c r="B39" s="70" t="s">
        <v>107</v>
      </c>
      <c r="C39" s="70" t="s">
        <v>77</v>
      </c>
      <c r="D39" s="114" t="s">
        <v>42</v>
      </c>
      <c r="E39" s="70">
        <v>45000</v>
      </c>
      <c r="F39" s="115" t="s">
        <v>43</v>
      </c>
      <c r="G39" s="116">
        <v>1.8699999999999999E-3</v>
      </c>
      <c r="H39" s="70" t="s">
        <v>44</v>
      </c>
      <c r="I39" s="77">
        <v>84.15</v>
      </c>
      <c r="J39" s="70" t="s">
        <v>45</v>
      </c>
      <c r="K39" s="70"/>
      <c r="L39" s="70" t="s">
        <v>46</v>
      </c>
      <c r="M39" s="70" t="s">
        <v>47</v>
      </c>
      <c r="N39" s="70" t="s">
        <v>108</v>
      </c>
      <c r="O39" s="72">
        <v>8.0000000000000002E-3</v>
      </c>
      <c r="Q39" s="1">
        <f>VLOOKUP(J39,[1]国家代码!$A$1:$B$65536,2,0)</f>
        <v>116</v>
      </c>
    </row>
    <row r="40" spans="1:17" ht="21.9" customHeight="1">
      <c r="A40" s="70" t="s">
        <v>109</v>
      </c>
      <c r="B40" s="70" t="s">
        <v>110</v>
      </c>
      <c r="C40" s="70" t="s">
        <v>77</v>
      </c>
      <c r="D40" s="114" t="s">
        <v>42</v>
      </c>
      <c r="E40" s="70">
        <v>75000</v>
      </c>
      <c r="F40" s="115" t="s">
        <v>43</v>
      </c>
      <c r="G40" s="116">
        <v>1.82E-3</v>
      </c>
      <c r="H40" s="70" t="s">
        <v>44</v>
      </c>
      <c r="I40" s="77">
        <v>136.5</v>
      </c>
      <c r="J40" s="70" t="s">
        <v>45</v>
      </c>
      <c r="K40" s="70"/>
      <c r="L40" s="70" t="s">
        <v>46</v>
      </c>
      <c r="M40" s="70" t="s">
        <v>47</v>
      </c>
      <c r="N40" s="70" t="s">
        <v>111</v>
      </c>
      <c r="O40" s="72">
        <v>1.2999999999999999E-2</v>
      </c>
      <c r="Q40" s="1">
        <f>VLOOKUP(J40,[1]国家代码!$A$1:$B$65536,2,0)</f>
        <v>116</v>
      </c>
    </row>
    <row r="41" spans="1:17" ht="21.9" customHeight="1">
      <c r="A41" s="70" t="s">
        <v>112</v>
      </c>
      <c r="B41" s="70" t="s">
        <v>110</v>
      </c>
      <c r="C41" s="70" t="s">
        <v>101</v>
      </c>
      <c r="D41" s="114" t="s">
        <v>42</v>
      </c>
      <c r="E41" s="70">
        <v>15000</v>
      </c>
      <c r="F41" s="115" t="s">
        <v>43</v>
      </c>
      <c r="G41" s="116">
        <v>1.82E-3</v>
      </c>
      <c r="H41" s="70" t="s">
        <v>44</v>
      </c>
      <c r="I41" s="77">
        <v>27.3</v>
      </c>
      <c r="J41" s="70" t="s">
        <v>45</v>
      </c>
      <c r="K41" s="70"/>
      <c r="L41" s="70" t="s">
        <v>46</v>
      </c>
      <c r="M41" s="70" t="s">
        <v>47</v>
      </c>
      <c r="N41" s="70" t="s">
        <v>111</v>
      </c>
      <c r="O41" s="72">
        <v>3.0000000000000001E-3</v>
      </c>
      <c r="Q41" s="1">
        <f>VLOOKUP(J41,[1]国家代码!$A$1:$B$65536,2,0)</f>
        <v>116</v>
      </c>
    </row>
    <row r="42" spans="1:17" ht="21.9" customHeight="1">
      <c r="A42" s="70" t="s">
        <v>113</v>
      </c>
      <c r="B42" s="70" t="s">
        <v>114</v>
      </c>
      <c r="C42" s="70" t="s">
        <v>115</v>
      </c>
      <c r="D42" s="114" t="s">
        <v>42</v>
      </c>
      <c r="E42" s="70">
        <v>60000</v>
      </c>
      <c r="F42" s="115" t="s">
        <v>43</v>
      </c>
      <c r="G42" s="116">
        <v>1.8699999999999999E-3</v>
      </c>
      <c r="H42" s="70" t="s">
        <v>44</v>
      </c>
      <c r="I42" s="77">
        <v>112.2</v>
      </c>
      <c r="J42" s="70" t="s">
        <v>45</v>
      </c>
      <c r="K42" s="70"/>
      <c r="L42" s="70" t="s">
        <v>46</v>
      </c>
      <c r="M42" s="70" t="s">
        <v>47</v>
      </c>
      <c r="N42" s="70" t="s">
        <v>116</v>
      </c>
      <c r="O42" s="72">
        <v>1.4E-2</v>
      </c>
      <c r="Q42" s="1">
        <f>VLOOKUP(J42,[1]国家代码!$A$1:$B$65536,2,0)</f>
        <v>116</v>
      </c>
    </row>
    <row r="43" spans="1:17" ht="21.9" customHeight="1">
      <c r="A43" s="70" t="s">
        <v>117</v>
      </c>
      <c r="B43" s="70" t="s">
        <v>114</v>
      </c>
      <c r="C43" s="70" t="s">
        <v>115</v>
      </c>
      <c r="D43" s="114" t="s">
        <v>42</v>
      </c>
      <c r="E43" s="70">
        <v>15000</v>
      </c>
      <c r="F43" s="115" t="s">
        <v>43</v>
      </c>
      <c r="G43" s="116">
        <v>1.8699999999999999E-3</v>
      </c>
      <c r="H43" s="70" t="s">
        <v>44</v>
      </c>
      <c r="I43" s="77">
        <v>28.05</v>
      </c>
      <c r="J43" s="70" t="s">
        <v>45</v>
      </c>
      <c r="K43" s="70"/>
      <c r="L43" s="70" t="s">
        <v>46</v>
      </c>
      <c r="M43" s="70" t="s">
        <v>47</v>
      </c>
      <c r="N43" s="70" t="s">
        <v>116</v>
      </c>
      <c r="O43" s="72">
        <v>4.0000000000000001E-3</v>
      </c>
      <c r="Q43" s="1">
        <f>VLOOKUP(J43,[1]国家代码!$A$1:$B$65536,2,0)</f>
        <v>116</v>
      </c>
    </row>
    <row r="44" spans="1:17" ht="21.9" customHeight="1">
      <c r="A44" s="70" t="s">
        <v>118</v>
      </c>
      <c r="B44" s="70" t="s">
        <v>119</v>
      </c>
      <c r="C44" s="70" t="s">
        <v>67</v>
      </c>
      <c r="D44" s="114" t="s">
        <v>42</v>
      </c>
      <c r="E44" s="70">
        <v>15000</v>
      </c>
      <c r="F44" s="115" t="s">
        <v>43</v>
      </c>
      <c r="G44" s="116">
        <v>1.7799999999999999E-3</v>
      </c>
      <c r="H44" s="70" t="s">
        <v>44</v>
      </c>
      <c r="I44" s="77">
        <v>26.7</v>
      </c>
      <c r="J44" s="70" t="s">
        <v>45</v>
      </c>
      <c r="K44" s="70"/>
      <c r="L44" s="70" t="s">
        <v>46</v>
      </c>
      <c r="M44" s="70" t="s">
        <v>47</v>
      </c>
      <c r="N44" s="70" t="s">
        <v>120</v>
      </c>
      <c r="O44" s="72">
        <v>3.0000000000000001E-3</v>
      </c>
      <c r="Q44" s="1">
        <f>VLOOKUP(J44,[1]国家代码!$A$1:$B$65536,2,0)</f>
        <v>116</v>
      </c>
    </row>
    <row r="45" spans="1:17" ht="21.9" customHeight="1">
      <c r="A45" s="70" t="s">
        <v>121</v>
      </c>
      <c r="B45" s="70" t="s">
        <v>119</v>
      </c>
      <c r="C45" s="70" t="s">
        <v>51</v>
      </c>
      <c r="D45" s="114" t="s">
        <v>42</v>
      </c>
      <c r="E45" s="70">
        <v>15000</v>
      </c>
      <c r="F45" s="115" t="s">
        <v>43</v>
      </c>
      <c r="G45" s="116">
        <v>1.7700000000000001E-3</v>
      </c>
      <c r="H45" s="70" t="s">
        <v>44</v>
      </c>
      <c r="I45" s="77">
        <v>26.55</v>
      </c>
      <c r="J45" s="70" t="s">
        <v>45</v>
      </c>
      <c r="K45" s="70"/>
      <c r="L45" s="70" t="s">
        <v>46</v>
      </c>
      <c r="M45" s="70" t="s">
        <v>47</v>
      </c>
      <c r="N45" s="70" t="s">
        <v>120</v>
      </c>
      <c r="O45" s="72">
        <v>3.0000000000000001E-3</v>
      </c>
      <c r="Q45" s="1">
        <f>VLOOKUP(J45,[1]国家代码!$A$1:$B$65536,2,0)</f>
        <v>116</v>
      </c>
    </row>
    <row r="46" spans="1:17" ht="21.9" customHeight="1">
      <c r="A46" s="70" t="s">
        <v>122</v>
      </c>
      <c r="B46" s="70" t="s">
        <v>123</v>
      </c>
      <c r="C46" s="70" t="s">
        <v>89</v>
      </c>
      <c r="D46" s="114" t="s">
        <v>42</v>
      </c>
      <c r="E46" s="70">
        <v>15000</v>
      </c>
      <c r="F46" s="115" t="s">
        <v>43</v>
      </c>
      <c r="G46" s="116">
        <v>1.8699999999999999E-3</v>
      </c>
      <c r="H46" s="70" t="s">
        <v>44</v>
      </c>
      <c r="I46" s="77">
        <v>28.05</v>
      </c>
      <c r="J46" s="70" t="s">
        <v>45</v>
      </c>
      <c r="K46" s="70"/>
      <c r="L46" s="70" t="s">
        <v>46</v>
      </c>
      <c r="M46" s="70" t="s">
        <v>47</v>
      </c>
      <c r="N46" s="70" t="s">
        <v>124</v>
      </c>
      <c r="O46" s="72">
        <v>3.0000000000000001E-3</v>
      </c>
      <c r="Q46" s="1">
        <f>VLOOKUP(J46,[1]国家代码!$A$1:$B$65536,2,0)</f>
        <v>116</v>
      </c>
    </row>
    <row r="47" spans="1:17" ht="21.9" customHeight="1">
      <c r="A47" s="70" t="s">
        <v>125</v>
      </c>
      <c r="B47" s="70" t="s">
        <v>123</v>
      </c>
      <c r="C47" s="70" t="s">
        <v>115</v>
      </c>
      <c r="D47" s="114" t="s">
        <v>42</v>
      </c>
      <c r="E47" s="70">
        <v>45000</v>
      </c>
      <c r="F47" s="115" t="s">
        <v>43</v>
      </c>
      <c r="G47" s="116">
        <v>1.8699999999999999E-3</v>
      </c>
      <c r="H47" s="70" t="s">
        <v>44</v>
      </c>
      <c r="I47" s="77">
        <v>84.15</v>
      </c>
      <c r="J47" s="70" t="s">
        <v>45</v>
      </c>
      <c r="K47" s="70"/>
      <c r="L47" s="70" t="s">
        <v>46</v>
      </c>
      <c r="M47" s="70" t="s">
        <v>47</v>
      </c>
      <c r="N47" s="70" t="s">
        <v>124</v>
      </c>
      <c r="O47" s="72">
        <v>8.0000000000000002E-3</v>
      </c>
      <c r="Q47" s="1">
        <f>VLOOKUP(J47,[1]国家代码!$A$1:$B$65536,2,0)</f>
        <v>116</v>
      </c>
    </row>
    <row r="48" spans="1:17" ht="21.9" customHeight="1">
      <c r="A48" s="70" t="s">
        <v>126</v>
      </c>
      <c r="B48" s="70" t="s">
        <v>127</v>
      </c>
      <c r="C48" s="70" t="s">
        <v>77</v>
      </c>
      <c r="D48" s="114" t="s">
        <v>42</v>
      </c>
      <c r="E48" s="70">
        <v>15000</v>
      </c>
      <c r="F48" s="115" t="s">
        <v>43</v>
      </c>
      <c r="G48" s="116">
        <v>1.7799999999999999E-3</v>
      </c>
      <c r="H48" s="70" t="s">
        <v>44</v>
      </c>
      <c r="I48" s="77">
        <v>26.7</v>
      </c>
      <c r="J48" s="70" t="s">
        <v>45</v>
      </c>
      <c r="K48" s="70"/>
      <c r="L48" s="70" t="s">
        <v>46</v>
      </c>
      <c r="M48" s="70" t="s">
        <v>47</v>
      </c>
      <c r="N48" s="70" t="s">
        <v>128</v>
      </c>
      <c r="O48" s="72">
        <v>3.0000000000000001E-3</v>
      </c>
      <c r="Q48" s="1">
        <f>VLOOKUP(J48,[1]国家代码!$A$1:$B$65536,2,0)</f>
        <v>116</v>
      </c>
    </row>
    <row r="49" spans="1:17" ht="21.9" customHeight="1">
      <c r="A49" s="70" t="s">
        <v>129</v>
      </c>
      <c r="B49" s="70" t="s">
        <v>130</v>
      </c>
      <c r="C49" s="70" t="s">
        <v>51</v>
      </c>
      <c r="D49" s="114" t="s">
        <v>42</v>
      </c>
      <c r="E49" s="70">
        <v>15000</v>
      </c>
      <c r="F49" s="115" t="s">
        <v>43</v>
      </c>
      <c r="G49" s="116">
        <v>1.82E-3</v>
      </c>
      <c r="H49" s="70" t="s">
        <v>44</v>
      </c>
      <c r="I49" s="77">
        <v>27.3</v>
      </c>
      <c r="J49" s="70" t="s">
        <v>45</v>
      </c>
      <c r="K49" s="70"/>
      <c r="L49" s="70" t="s">
        <v>46</v>
      </c>
      <c r="M49" s="70" t="s">
        <v>47</v>
      </c>
      <c r="N49" s="70" t="s">
        <v>131</v>
      </c>
      <c r="O49" s="72">
        <v>3.0000000000000001E-3</v>
      </c>
      <c r="Q49" s="1">
        <f>VLOOKUP(J49,[1]国家代码!$A$1:$B$65536,2,0)</f>
        <v>116</v>
      </c>
    </row>
    <row r="50" spans="1:17" ht="21.9" customHeight="1">
      <c r="A50" s="70" t="s">
        <v>132</v>
      </c>
      <c r="B50" s="70" t="s">
        <v>130</v>
      </c>
      <c r="C50" s="70" t="s">
        <v>133</v>
      </c>
      <c r="D50" s="114" t="s">
        <v>42</v>
      </c>
      <c r="E50" s="70">
        <v>15000</v>
      </c>
      <c r="F50" s="115" t="s">
        <v>43</v>
      </c>
      <c r="G50" s="116">
        <v>1.82E-3</v>
      </c>
      <c r="H50" s="70" t="s">
        <v>44</v>
      </c>
      <c r="I50" s="77">
        <v>27.3</v>
      </c>
      <c r="J50" s="70" t="s">
        <v>45</v>
      </c>
      <c r="K50" s="70"/>
      <c r="L50" s="70" t="s">
        <v>46</v>
      </c>
      <c r="M50" s="70" t="s">
        <v>47</v>
      </c>
      <c r="N50" s="70" t="s">
        <v>131</v>
      </c>
      <c r="O50" s="72">
        <v>2E-3</v>
      </c>
      <c r="Q50" s="1">
        <f>VLOOKUP(J50,[1]国家代码!$A$1:$B$65536,2,0)</f>
        <v>116</v>
      </c>
    </row>
    <row r="51" spans="1:17" ht="21.9" customHeight="1">
      <c r="A51" s="70" t="s">
        <v>134</v>
      </c>
      <c r="B51" s="70" t="s">
        <v>135</v>
      </c>
      <c r="C51" s="70" t="s">
        <v>136</v>
      </c>
      <c r="D51" s="114" t="s">
        <v>42</v>
      </c>
      <c r="E51" s="70">
        <v>15000</v>
      </c>
      <c r="F51" s="115" t="s">
        <v>43</v>
      </c>
      <c r="G51" s="116">
        <v>1.8699999999999999E-3</v>
      </c>
      <c r="H51" s="70" t="s">
        <v>44</v>
      </c>
      <c r="I51" s="77">
        <v>28.05</v>
      </c>
      <c r="J51" s="70" t="s">
        <v>45</v>
      </c>
      <c r="K51" s="70"/>
      <c r="L51" s="70" t="s">
        <v>46</v>
      </c>
      <c r="M51" s="70" t="s">
        <v>47</v>
      </c>
      <c r="N51" s="70" t="s">
        <v>137</v>
      </c>
      <c r="O51" s="72">
        <v>3.0000000000000001E-3</v>
      </c>
      <c r="Q51" s="1">
        <f>VLOOKUP(J51,[1]国家代码!$A$1:$B$65536,2,0)</f>
        <v>116</v>
      </c>
    </row>
    <row r="52" spans="1:17" ht="21.9" customHeight="1">
      <c r="A52" s="70" t="s">
        <v>138</v>
      </c>
      <c r="B52" s="70" t="s">
        <v>135</v>
      </c>
      <c r="C52" s="70" t="s">
        <v>136</v>
      </c>
      <c r="D52" s="114" t="s">
        <v>42</v>
      </c>
      <c r="E52" s="70">
        <v>15000</v>
      </c>
      <c r="F52" s="115" t="s">
        <v>43</v>
      </c>
      <c r="G52" s="116">
        <v>1.8699999999999999E-3</v>
      </c>
      <c r="H52" s="70" t="s">
        <v>44</v>
      </c>
      <c r="I52" s="77">
        <v>28.05</v>
      </c>
      <c r="J52" s="70" t="s">
        <v>45</v>
      </c>
      <c r="K52" s="70"/>
      <c r="L52" s="70" t="s">
        <v>46</v>
      </c>
      <c r="M52" s="70" t="s">
        <v>47</v>
      </c>
      <c r="N52" s="70" t="s">
        <v>137</v>
      </c>
      <c r="O52" s="72">
        <v>3.0000000000000001E-3</v>
      </c>
      <c r="Q52" s="1">
        <f>VLOOKUP(J52,[1]国家代码!$A$1:$B$65536,2,0)</f>
        <v>116</v>
      </c>
    </row>
    <row r="53" spans="1:17" ht="21.9" customHeight="1">
      <c r="A53" s="70" t="s">
        <v>139</v>
      </c>
      <c r="B53" s="70" t="s">
        <v>135</v>
      </c>
      <c r="C53" s="70" t="s">
        <v>140</v>
      </c>
      <c r="D53" s="114" t="s">
        <v>42</v>
      </c>
      <c r="E53" s="70">
        <v>15000</v>
      </c>
      <c r="F53" s="115" t="s">
        <v>43</v>
      </c>
      <c r="G53" s="116">
        <v>1.8699999999999999E-3</v>
      </c>
      <c r="H53" s="70" t="s">
        <v>44</v>
      </c>
      <c r="I53" s="77">
        <v>28.05</v>
      </c>
      <c r="J53" s="70" t="s">
        <v>45</v>
      </c>
      <c r="K53" s="70"/>
      <c r="L53" s="70" t="s">
        <v>46</v>
      </c>
      <c r="M53" s="70" t="s">
        <v>47</v>
      </c>
      <c r="N53" s="70" t="s">
        <v>137</v>
      </c>
      <c r="O53" s="72">
        <v>3.0000000000000001E-3</v>
      </c>
      <c r="Q53" s="1">
        <f>VLOOKUP(J53,[1]国家代码!$A$1:$B$65536,2,0)</f>
        <v>116</v>
      </c>
    </row>
    <row r="54" spans="1:17" ht="21.9" customHeight="1">
      <c r="A54" s="70" t="s">
        <v>141</v>
      </c>
      <c r="B54" s="70" t="s">
        <v>142</v>
      </c>
      <c r="C54" s="70" t="s">
        <v>143</v>
      </c>
      <c r="D54" s="114" t="s">
        <v>42</v>
      </c>
      <c r="E54" s="70">
        <v>15000</v>
      </c>
      <c r="F54" s="115" t="s">
        <v>43</v>
      </c>
      <c r="G54" s="116">
        <v>1.8699999999999999E-3</v>
      </c>
      <c r="H54" s="70" t="s">
        <v>44</v>
      </c>
      <c r="I54" s="77">
        <v>28.05</v>
      </c>
      <c r="J54" s="70" t="s">
        <v>45</v>
      </c>
      <c r="K54" s="70"/>
      <c r="L54" s="70" t="s">
        <v>46</v>
      </c>
      <c r="M54" s="70" t="s">
        <v>47</v>
      </c>
      <c r="N54" s="70" t="s">
        <v>144</v>
      </c>
      <c r="O54" s="72">
        <v>1E-3</v>
      </c>
      <c r="Q54" s="1">
        <f>VLOOKUP(J54,[1]国家代码!$A$1:$B$65536,2,0)</f>
        <v>116</v>
      </c>
    </row>
    <row r="55" spans="1:17" ht="21.9" customHeight="1">
      <c r="A55" s="70" t="s">
        <v>145</v>
      </c>
      <c r="B55" s="70" t="s">
        <v>146</v>
      </c>
      <c r="C55" s="70" t="s">
        <v>84</v>
      </c>
      <c r="D55" s="114" t="s">
        <v>42</v>
      </c>
      <c r="E55" s="70">
        <v>15000</v>
      </c>
      <c r="F55" s="115" t="s">
        <v>43</v>
      </c>
      <c r="G55" s="116">
        <v>1.8699999999999999E-3</v>
      </c>
      <c r="H55" s="70" t="s">
        <v>44</v>
      </c>
      <c r="I55" s="77">
        <v>28.05</v>
      </c>
      <c r="J55" s="70" t="s">
        <v>45</v>
      </c>
      <c r="K55" s="70"/>
      <c r="L55" s="70" t="s">
        <v>46</v>
      </c>
      <c r="M55" s="70" t="s">
        <v>47</v>
      </c>
      <c r="N55" s="70" t="s">
        <v>147</v>
      </c>
      <c r="O55" s="72">
        <v>2E-3</v>
      </c>
      <c r="Q55" s="1">
        <f>VLOOKUP(J55,[1]国家代码!$A$1:$B$65536,2,0)</f>
        <v>116</v>
      </c>
    </row>
    <row r="56" spans="1:17" ht="21.9" customHeight="1">
      <c r="A56" s="70" t="s">
        <v>148</v>
      </c>
      <c r="B56" s="70" t="s">
        <v>149</v>
      </c>
      <c r="C56" s="70" t="s">
        <v>51</v>
      </c>
      <c r="D56" s="114" t="s">
        <v>42</v>
      </c>
      <c r="E56" s="70">
        <v>30000</v>
      </c>
      <c r="F56" s="115" t="s">
        <v>43</v>
      </c>
      <c r="G56" s="116">
        <v>1.82E-3</v>
      </c>
      <c r="H56" s="70" t="s">
        <v>44</v>
      </c>
      <c r="I56" s="77">
        <v>54.6</v>
      </c>
      <c r="J56" s="70" t="s">
        <v>45</v>
      </c>
      <c r="K56" s="70"/>
      <c r="L56" s="70" t="s">
        <v>46</v>
      </c>
      <c r="M56" s="70" t="s">
        <v>47</v>
      </c>
      <c r="N56" s="70" t="s">
        <v>150</v>
      </c>
      <c r="O56" s="72">
        <v>5.0000000000000001E-3</v>
      </c>
      <c r="Q56" s="1">
        <f>VLOOKUP(J56,[1]国家代码!$A$1:$B$65536,2,0)</f>
        <v>116</v>
      </c>
    </row>
    <row r="57" spans="1:17" ht="21.9" customHeight="1">
      <c r="A57" s="70" t="s">
        <v>151</v>
      </c>
      <c r="B57" s="70" t="s">
        <v>149</v>
      </c>
      <c r="C57" s="70" t="s">
        <v>133</v>
      </c>
      <c r="D57" s="114" t="s">
        <v>42</v>
      </c>
      <c r="E57" s="70">
        <v>15000</v>
      </c>
      <c r="F57" s="115" t="s">
        <v>43</v>
      </c>
      <c r="G57" s="116">
        <v>1.82E-3</v>
      </c>
      <c r="H57" s="70" t="s">
        <v>44</v>
      </c>
      <c r="I57" s="77">
        <v>27.3</v>
      </c>
      <c r="J57" s="70" t="s">
        <v>45</v>
      </c>
      <c r="K57" s="70"/>
      <c r="L57" s="70" t="s">
        <v>46</v>
      </c>
      <c r="M57" s="70" t="s">
        <v>47</v>
      </c>
      <c r="N57" s="70" t="s">
        <v>150</v>
      </c>
      <c r="O57" s="72">
        <v>2E-3</v>
      </c>
      <c r="Q57" s="1">
        <f>VLOOKUP(J57,[1]国家代码!$A$1:$B$65536,2,0)</f>
        <v>116</v>
      </c>
    </row>
    <row r="58" spans="1:17" ht="21.9" customHeight="1">
      <c r="A58" s="70" t="s">
        <v>152</v>
      </c>
      <c r="B58" s="70" t="s">
        <v>153</v>
      </c>
      <c r="C58" s="70" t="s">
        <v>133</v>
      </c>
      <c r="D58" s="114" t="s">
        <v>42</v>
      </c>
      <c r="E58" s="70">
        <v>15000</v>
      </c>
      <c r="F58" s="115" t="s">
        <v>43</v>
      </c>
      <c r="G58" s="116">
        <v>1.82E-3</v>
      </c>
      <c r="H58" s="70" t="s">
        <v>44</v>
      </c>
      <c r="I58" s="77">
        <v>27.3</v>
      </c>
      <c r="J58" s="70" t="s">
        <v>45</v>
      </c>
      <c r="K58" s="70"/>
      <c r="L58" s="70" t="s">
        <v>46</v>
      </c>
      <c r="M58" s="70" t="s">
        <v>47</v>
      </c>
      <c r="N58" s="70" t="s">
        <v>154</v>
      </c>
      <c r="O58" s="72">
        <v>3.0000000000000001E-3</v>
      </c>
      <c r="Q58" s="1">
        <f>VLOOKUP(J58,[1]国家代码!$A$1:$B$65536,2,0)</f>
        <v>116</v>
      </c>
    </row>
    <row r="59" spans="1:17" ht="21.9" customHeight="1">
      <c r="A59" s="70" t="s">
        <v>155</v>
      </c>
      <c r="B59" s="70" t="s">
        <v>156</v>
      </c>
      <c r="C59" s="70" t="s">
        <v>115</v>
      </c>
      <c r="D59" s="114" t="s">
        <v>42</v>
      </c>
      <c r="E59" s="70">
        <v>30000</v>
      </c>
      <c r="F59" s="115" t="s">
        <v>43</v>
      </c>
      <c r="G59" s="116">
        <v>1.7799999999999999E-3</v>
      </c>
      <c r="H59" s="70" t="s">
        <v>44</v>
      </c>
      <c r="I59" s="77">
        <v>53.4</v>
      </c>
      <c r="J59" s="70" t="s">
        <v>45</v>
      </c>
      <c r="K59" s="70"/>
      <c r="L59" s="70" t="s">
        <v>46</v>
      </c>
      <c r="M59" s="70" t="s">
        <v>47</v>
      </c>
      <c r="N59" s="70" t="s">
        <v>157</v>
      </c>
      <c r="O59" s="72">
        <v>6.0000000000000001E-3</v>
      </c>
      <c r="Q59" s="1">
        <f>VLOOKUP(J59,[1]国家代码!$A$1:$B$65536,2,0)</f>
        <v>116</v>
      </c>
    </row>
    <row r="60" spans="1:17" ht="21.9" customHeight="1">
      <c r="A60" s="70" t="s">
        <v>158</v>
      </c>
      <c r="B60" s="70" t="s">
        <v>159</v>
      </c>
      <c r="C60" s="70" t="s">
        <v>160</v>
      </c>
      <c r="D60" s="114" t="s">
        <v>42</v>
      </c>
      <c r="E60" s="70">
        <v>15000</v>
      </c>
      <c r="F60" s="115" t="s">
        <v>43</v>
      </c>
      <c r="G60" s="116">
        <v>1.8699999999999999E-3</v>
      </c>
      <c r="H60" s="70" t="s">
        <v>44</v>
      </c>
      <c r="I60" s="77">
        <v>28.05</v>
      </c>
      <c r="J60" s="70" t="s">
        <v>45</v>
      </c>
      <c r="K60" s="70"/>
      <c r="L60" s="70" t="s">
        <v>46</v>
      </c>
      <c r="M60" s="70" t="s">
        <v>47</v>
      </c>
      <c r="N60" s="70" t="s">
        <v>161</v>
      </c>
      <c r="O60" s="72">
        <v>3.0000000000000001E-3</v>
      </c>
      <c r="Q60" s="1">
        <f>VLOOKUP(J60,[1]国家代码!$A$1:$B$65536,2,0)</f>
        <v>116</v>
      </c>
    </row>
    <row r="61" spans="1:17" ht="21.9" customHeight="1">
      <c r="A61" s="70" t="s">
        <v>162</v>
      </c>
      <c r="B61" s="70" t="s">
        <v>159</v>
      </c>
      <c r="C61" s="70" t="s">
        <v>65</v>
      </c>
      <c r="D61" s="114" t="s">
        <v>42</v>
      </c>
      <c r="E61" s="70">
        <v>15000</v>
      </c>
      <c r="F61" s="115" t="s">
        <v>43</v>
      </c>
      <c r="G61" s="116">
        <v>1.8699999999999999E-3</v>
      </c>
      <c r="H61" s="70" t="s">
        <v>44</v>
      </c>
      <c r="I61" s="77">
        <v>28.05</v>
      </c>
      <c r="J61" s="70" t="s">
        <v>45</v>
      </c>
      <c r="K61" s="70"/>
      <c r="L61" s="70" t="s">
        <v>46</v>
      </c>
      <c r="M61" s="70" t="s">
        <v>47</v>
      </c>
      <c r="N61" s="70" t="s">
        <v>161</v>
      </c>
      <c r="O61" s="72">
        <v>3.0000000000000001E-3</v>
      </c>
      <c r="Q61" s="1">
        <f>VLOOKUP(J61,[1]国家代码!$A$1:$B$65536,2,0)</f>
        <v>116</v>
      </c>
    </row>
    <row r="62" spans="1:17" ht="21.9" customHeight="1">
      <c r="A62" s="70" t="s">
        <v>163</v>
      </c>
      <c r="B62" s="70" t="s">
        <v>164</v>
      </c>
      <c r="C62" s="70" t="s">
        <v>165</v>
      </c>
      <c r="D62" s="114" t="s">
        <v>42</v>
      </c>
      <c r="E62" s="70">
        <v>15000</v>
      </c>
      <c r="F62" s="115" t="s">
        <v>43</v>
      </c>
      <c r="G62" s="116">
        <v>1.7799999999999999E-3</v>
      </c>
      <c r="H62" s="70" t="s">
        <v>44</v>
      </c>
      <c r="I62" s="77">
        <v>26.7</v>
      </c>
      <c r="J62" s="70" t="s">
        <v>45</v>
      </c>
      <c r="K62" s="70"/>
      <c r="L62" s="70" t="s">
        <v>46</v>
      </c>
      <c r="M62" s="70" t="s">
        <v>47</v>
      </c>
      <c r="N62" s="70" t="s">
        <v>166</v>
      </c>
      <c r="O62" s="72">
        <v>3.0000000000000001E-3</v>
      </c>
      <c r="Q62" s="1">
        <f>VLOOKUP(J62,[1]国家代码!$A$1:$B$65536,2,0)</f>
        <v>116</v>
      </c>
    </row>
    <row r="63" spans="1:17" ht="21.9" customHeight="1">
      <c r="A63" s="70" t="s">
        <v>167</v>
      </c>
      <c r="B63" s="70" t="s">
        <v>168</v>
      </c>
      <c r="C63" s="70" t="s">
        <v>101</v>
      </c>
      <c r="D63" s="114" t="s">
        <v>42</v>
      </c>
      <c r="E63" s="70">
        <v>15000</v>
      </c>
      <c r="F63" s="115" t="s">
        <v>43</v>
      </c>
      <c r="G63" s="116">
        <v>1.82E-3</v>
      </c>
      <c r="H63" s="70" t="s">
        <v>44</v>
      </c>
      <c r="I63" s="77">
        <v>27.3</v>
      </c>
      <c r="J63" s="70" t="s">
        <v>45</v>
      </c>
      <c r="K63" s="70"/>
      <c r="L63" s="70" t="s">
        <v>46</v>
      </c>
      <c r="M63" s="70" t="s">
        <v>47</v>
      </c>
      <c r="N63" s="70" t="s">
        <v>169</v>
      </c>
      <c r="O63" s="72">
        <v>3.0000000000000001E-3</v>
      </c>
      <c r="Q63" s="1">
        <f>VLOOKUP(J63,[1]国家代码!$A$1:$B$65536,2,0)</f>
        <v>116</v>
      </c>
    </row>
    <row r="64" spans="1:17" ht="21.9" customHeight="1">
      <c r="A64" s="70" t="s">
        <v>170</v>
      </c>
      <c r="B64" s="70" t="s">
        <v>168</v>
      </c>
      <c r="C64" s="70" t="s">
        <v>171</v>
      </c>
      <c r="D64" s="114" t="s">
        <v>42</v>
      </c>
      <c r="E64" s="70">
        <v>15000</v>
      </c>
      <c r="F64" s="115" t="s">
        <v>43</v>
      </c>
      <c r="G64" s="116">
        <v>1.82E-3</v>
      </c>
      <c r="H64" s="70" t="s">
        <v>44</v>
      </c>
      <c r="I64" s="77">
        <v>27.3</v>
      </c>
      <c r="J64" s="70" t="s">
        <v>45</v>
      </c>
      <c r="K64" s="70"/>
      <c r="L64" s="70" t="s">
        <v>46</v>
      </c>
      <c r="M64" s="70" t="s">
        <v>47</v>
      </c>
      <c r="N64" s="70" t="s">
        <v>169</v>
      </c>
      <c r="O64" s="72">
        <v>3.0000000000000001E-3</v>
      </c>
      <c r="Q64" s="1">
        <f>VLOOKUP(J64,[1]国家代码!$A$1:$B$65536,2,0)</f>
        <v>116</v>
      </c>
    </row>
    <row r="65" spans="1:17" ht="21.9" customHeight="1">
      <c r="A65" s="70" t="s">
        <v>172</v>
      </c>
      <c r="B65" s="70" t="s">
        <v>173</v>
      </c>
      <c r="C65" s="70" t="s">
        <v>174</v>
      </c>
      <c r="D65" s="114" t="s">
        <v>42</v>
      </c>
      <c r="E65" s="70">
        <v>15000</v>
      </c>
      <c r="F65" s="115" t="s">
        <v>43</v>
      </c>
      <c r="G65" s="116">
        <v>1.8699999999999999E-3</v>
      </c>
      <c r="H65" s="70" t="s">
        <v>44</v>
      </c>
      <c r="I65" s="77">
        <v>28.05</v>
      </c>
      <c r="J65" s="70" t="s">
        <v>45</v>
      </c>
      <c r="K65" s="70"/>
      <c r="L65" s="70" t="s">
        <v>46</v>
      </c>
      <c r="M65" s="70" t="s">
        <v>47</v>
      </c>
      <c r="N65" s="70" t="s">
        <v>175</v>
      </c>
      <c r="O65" s="72">
        <v>3.0000000000000001E-3</v>
      </c>
      <c r="Q65" s="1">
        <f>VLOOKUP(J65,[1]国家代码!$A$1:$B$65536,2,0)</f>
        <v>116</v>
      </c>
    </row>
    <row r="66" spans="1:17" ht="21.9" customHeight="1">
      <c r="A66" s="70" t="s">
        <v>176</v>
      </c>
      <c r="B66" s="70" t="s">
        <v>177</v>
      </c>
      <c r="C66" s="70" t="s">
        <v>178</v>
      </c>
      <c r="D66" s="114" t="s">
        <v>42</v>
      </c>
      <c r="E66" s="70">
        <v>10000</v>
      </c>
      <c r="F66" s="115" t="s">
        <v>43</v>
      </c>
      <c r="G66" s="116">
        <v>1.43E-2</v>
      </c>
      <c r="H66" s="70" t="s">
        <v>44</v>
      </c>
      <c r="I66" s="77">
        <v>143</v>
      </c>
      <c r="J66" s="70" t="s">
        <v>45</v>
      </c>
      <c r="K66" s="70"/>
      <c r="L66" s="70" t="s">
        <v>46</v>
      </c>
      <c r="M66" s="70" t="s">
        <v>47</v>
      </c>
      <c r="N66" s="70" t="s">
        <v>179</v>
      </c>
      <c r="O66" s="72">
        <v>8.9999999999999993E-3</v>
      </c>
      <c r="Q66" s="1">
        <f>VLOOKUP(J66,[1]国家代码!$A$1:$B$65536,2,0)</f>
        <v>116</v>
      </c>
    </row>
    <row r="67" spans="1:17" ht="21.9" customHeight="1">
      <c r="A67" s="70" t="s">
        <v>180</v>
      </c>
      <c r="B67" s="70" t="s">
        <v>181</v>
      </c>
      <c r="C67" s="70" t="s">
        <v>178</v>
      </c>
      <c r="D67" s="114" t="s">
        <v>42</v>
      </c>
      <c r="E67" s="70">
        <v>10000</v>
      </c>
      <c r="F67" s="115" t="s">
        <v>43</v>
      </c>
      <c r="G67" s="116">
        <v>1.12E-2</v>
      </c>
      <c r="H67" s="70" t="s">
        <v>44</v>
      </c>
      <c r="I67" s="77">
        <v>112</v>
      </c>
      <c r="J67" s="70" t="s">
        <v>182</v>
      </c>
      <c r="K67" s="70"/>
      <c r="L67" s="70" t="s">
        <v>46</v>
      </c>
      <c r="M67" s="70" t="s">
        <v>47</v>
      </c>
      <c r="N67" s="70" t="s">
        <v>183</v>
      </c>
      <c r="O67" s="72">
        <v>8.0000000000000002E-3</v>
      </c>
      <c r="Q67" s="1">
        <f>VLOOKUP(J67,[1]国家代码!$A$1:$B$65536,2,0)</f>
        <v>122</v>
      </c>
    </row>
    <row r="68" spans="1:17" ht="21.9" customHeight="1">
      <c r="A68" s="70" t="s">
        <v>184</v>
      </c>
      <c r="B68" s="70" t="s">
        <v>185</v>
      </c>
      <c r="C68" s="70" t="s">
        <v>186</v>
      </c>
      <c r="D68" s="114" t="s">
        <v>42</v>
      </c>
      <c r="E68" s="70">
        <v>10000</v>
      </c>
      <c r="F68" s="115" t="s">
        <v>43</v>
      </c>
      <c r="G68" s="116">
        <v>1.12E-2</v>
      </c>
      <c r="H68" s="70" t="s">
        <v>44</v>
      </c>
      <c r="I68" s="77">
        <v>112</v>
      </c>
      <c r="J68" s="70" t="s">
        <v>182</v>
      </c>
      <c r="K68" s="70"/>
      <c r="L68" s="70" t="s">
        <v>46</v>
      </c>
      <c r="M68" s="70" t="s">
        <v>47</v>
      </c>
      <c r="N68" s="70" t="s">
        <v>187</v>
      </c>
      <c r="O68" s="72">
        <v>8.0000000000000002E-3</v>
      </c>
      <c r="Q68" s="1">
        <f>VLOOKUP(J68,[1]国家代码!$A$1:$B$65536,2,0)</f>
        <v>122</v>
      </c>
    </row>
    <row r="69" spans="1:17" ht="21.9" customHeight="1">
      <c r="A69" s="70" t="s">
        <v>188</v>
      </c>
      <c r="B69" s="70" t="s">
        <v>185</v>
      </c>
      <c r="C69" s="70" t="s">
        <v>189</v>
      </c>
      <c r="D69" s="114" t="s">
        <v>42</v>
      </c>
      <c r="E69" s="70">
        <v>10000</v>
      </c>
      <c r="F69" s="115" t="s">
        <v>43</v>
      </c>
      <c r="G69" s="116">
        <v>1.12E-2</v>
      </c>
      <c r="H69" s="70" t="s">
        <v>44</v>
      </c>
      <c r="I69" s="77">
        <v>112</v>
      </c>
      <c r="J69" s="70" t="s">
        <v>182</v>
      </c>
      <c r="K69" s="70"/>
      <c r="L69" s="70" t="s">
        <v>46</v>
      </c>
      <c r="M69" s="70" t="s">
        <v>47</v>
      </c>
      <c r="N69" s="70" t="s">
        <v>187</v>
      </c>
      <c r="O69" s="72">
        <v>7.0000000000000001E-3</v>
      </c>
      <c r="Q69" s="1">
        <f>VLOOKUP(J69,[1]国家代码!$A$1:$B$65536,2,0)</f>
        <v>122</v>
      </c>
    </row>
    <row r="70" spans="1:17" ht="21.9" customHeight="1">
      <c r="A70" s="70" t="s">
        <v>190</v>
      </c>
      <c r="B70" s="70" t="s">
        <v>191</v>
      </c>
      <c r="C70" s="70" t="s">
        <v>77</v>
      </c>
      <c r="D70" s="114" t="s">
        <v>42</v>
      </c>
      <c r="E70" s="70">
        <v>10000</v>
      </c>
      <c r="F70" s="115" t="s">
        <v>43</v>
      </c>
      <c r="G70" s="116">
        <v>1.12E-2</v>
      </c>
      <c r="H70" s="70" t="s">
        <v>44</v>
      </c>
      <c r="I70" s="77">
        <v>112</v>
      </c>
      <c r="J70" s="70" t="s">
        <v>182</v>
      </c>
      <c r="K70" s="70"/>
      <c r="L70" s="70" t="s">
        <v>46</v>
      </c>
      <c r="M70" s="70" t="s">
        <v>47</v>
      </c>
      <c r="N70" s="70" t="s">
        <v>192</v>
      </c>
      <c r="O70" s="72">
        <v>8.0000000000000002E-3</v>
      </c>
      <c r="Q70" s="1">
        <f>VLOOKUP(J70,[1]国家代码!$A$1:$B$65536,2,0)</f>
        <v>122</v>
      </c>
    </row>
    <row r="71" spans="1:17" ht="21.9" customHeight="1">
      <c r="A71" s="70" t="s">
        <v>193</v>
      </c>
      <c r="B71" s="70" t="s">
        <v>194</v>
      </c>
      <c r="C71" s="70" t="s">
        <v>195</v>
      </c>
      <c r="D71" s="114" t="s">
        <v>196</v>
      </c>
      <c r="E71" s="70">
        <v>16000</v>
      </c>
      <c r="F71" s="115" t="s">
        <v>43</v>
      </c>
      <c r="G71" s="116">
        <v>3.4000000000000002E-2</v>
      </c>
      <c r="H71" s="70" t="s">
        <v>44</v>
      </c>
      <c r="I71" s="77">
        <v>544</v>
      </c>
      <c r="J71" s="70" t="s">
        <v>45</v>
      </c>
      <c r="K71" s="70"/>
      <c r="L71" s="70" t="s">
        <v>46</v>
      </c>
      <c r="M71" s="70" t="s">
        <v>47</v>
      </c>
      <c r="N71" s="70" t="s">
        <v>197</v>
      </c>
      <c r="O71" s="72">
        <v>7.6999999999999999E-2</v>
      </c>
      <c r="Q71" s="1">
        <f>VLOOKUP(J71,[1]国家代码!$A$1:$B$65536,2,0)</f>
        <v>116</v>
      </c>
    </row>
    <row r="72" spans="1:17" ht="21.9" customHeight="1">
      <c r="A72" s="70" t="s">
        <v>198</v>
      </c>
      <c r="B72" s="70" t="s">
        <v>199</v>
      </c>
      <c r="C72" s="70" t="s">
        <v>200</v>
      </c>
      <c r="D72" s="114" t="s">
        <v>196</v>
      </c>
      <c r="E72" s="70">
        <v>15000</v>
      </c>
      <c r="F72" s="115" t="s">
        <v>43</v>
      </c>
      <c r="G72" s="116">
        <v>2.6200000000000001E-2</v>
      </c>
      <c r="H72" s="70" t="s">
        <v>44</v>
      </c>
      <c r="I72" s="77">
        <v>393</v>
      </c>
      <c r="J72" s="70" t="s">
        <v>45</v>
      </c>
      <c r="K72" s="70"/>
      <c r="L72" s="70" t="s">
        <v>46</v>
      </c>
      <c r="M72" s="70" t="s">
        <v>47</v>
      </c>
      <c r="N72" s="70" t="s">
        <v>201</v>
      </c>
      <c r="O72" s="72">
        <v>5.0000000000000001E-3</v>
      </c>
      <c r="Q72" s="1">
        <f>VLOOKUP(J72,[1]国家代码!$A$1:$B$65536,2,0)</f>
        <v>116</v>
      </c>
    </row>
    <row r="73" spans="1:17" ht="21.9" customHeight="1">
      <c r="A73" s="70" t="s">
        <v>202</v>
      </c>
      <c r="B73" s="70" t="s">
        <v>203</v>
      </c>
      <c r="C73" s="70" t="s">
        <v>200</v>
      </c>
      <c r="D73" s="114" t="s">
        <v>196</v>
      </c>
      <c r="E73" s="70">
        <v>15000</v>
      </c>
      <c r="F73" s="115" t="s">
        <v>43</v>
      </c>
      <c r="G73" s="116">
        <v>2.6200000000000001E-2</v>
      </c>
      <c r="H73" s="70" t="s">
        <v>44</v>
      </c>
      <c r="I73" s="77">
        <v>393</v>
      </c>
      <c r="J73" s="70" t="s">
        <v>45</v>
      </c>
      <c r="K73" s="70"/>
      <c r="L73" s="70" t="s">
        <v>46</v>
      </c>
      <c r="M73" s="70" t="s">
        <v>47</v>
      </c>
      <c r="N73" s="70" t="s">
        <v>204</v>
      </c>
      <c r="O73" s="72">
        <v>5.0000000000000001E-3</v>
      </c>
      <c r="Q73" s="1">
        <f>VLOOKUP(J73,[1]国家代码!$A$1:$B$65536,2,0)</f>
        <v>116</v>
      </c>
    </row>
    <row r="74" spans="1:17" ht="21.9" customHeight="1">
      <c r="A74" s="70" t="s">
        <v>205</v>
      </c>
      <c r="B74" s="70" t="s">
        <v>206</v>
      </c>
      <c r="C74" s="70" t="s">
        <v>207</v>
      </c>
      <c r="D74" s="114" t="s">
        <v>196</v>
      </c>
      <c r="E74" s="70">
        <v>8000</v>
      </c>
      <c r="F74" s="115" t="s">
        <v>43</v>
      </c>
      <c r="G74" s="116">
        <v>3.0800000000000001E-2</v>
      </c>
      <c r="H74" s="70" t="s">
        <v>44</v>
      </c>
      <c r="I74" s="77">
        <v>246.4</v>
      </c>
      <c r="J74" s="70" t="s">
        <v>45</v>
      </c>
      <c r="K74" s="70"/>
      <c r="L74" s="70" t="s">
        <v>46</v>
      </c>
      <c r="M74" s="70" t="s">
        <v>47</v>
      </c>
      <c r="N74" s="70" t="s">
        <v>208</v>
      </c>
      <c r="O74" s="72">
        <v>2.4E-2</v>
      </c>
      <c r="Q74" s="1">
        <f>VLOOKUP(J74,[1]国家代码!$A$1:$B$65536,2,0)</f>
        <v>116</v>
      </c>
    </row>
    <row r="75" spans="1:17" ht="21.9" customHeight="1">
      <c r="A75" s="70" t="s">
        <v>209</v>
      </c>
      <c r="B75" s="70" t="s">
        <v>210</v>
      </c>
      <c r="C75" s="70" t="s">
        <v>211</v>
      </c>
      <c r="D75" s="114" t="s">
        <v>196</v>
      </c>
      <c r="E75" s="70">
        <v>32000</v>
      </c>
      <c r="F75" s="115" t="s">
        <v>43</v>
      </c>
      <c r="G75" s="116">
        <v>3.0599999999999999E-2</v>
      </c>
      <c r="H75" s="70" t="s">
        <v>44</v>
      </c>
      <c r="I75" s="77">
        <v>979.2</v>
      </c>
      <c r="J75" s="70" t="s">
        <v>45</v>
      </c>
      <c r="K75" s="70"/>
      <c r="L75" s="70" t="s">
        <v>46</v>
      </c>
      <c r="M75" s="70" t="s">
        <v>47</v>
      </c>
      <c r="N75" s="70" t="s">
        <v>212</v>
      </c>
      <c r="O75" s="72">
        <v>0.224</v>
      </c>
      <c r="Q75" s="1">
        <f>VLOOKUP(J75,[1]国家代码!$A$1:$B$65536,2,0)</f>
        <v>116</v>
      </c>
    </row>
    <row r="76" spans="1:17" ht="21.9" customHeight="1">
      <c r="A76" s="70" t="s">
        <v>213</v>
      </c>
      <c r="B76" s="70" t="s">
        <v>210</v>
      </c>
      <c r="C76" s="70" t="s">
        <v>211</v>
      </c>
      <c r="D76" s="114" t="s">
        <v>196</v>
      </c>
      <c r="E76" s="70">
        <v>8000</v>
      </c>
      <c r="F76" s="115" t="s">
        <v>43</v>
      </c>
      <c r="G76" s="116">
        <v>3.0599999999999999E-2</v>
      </c>
      <c r="H76" s="70" t="s">
        <v>44</v>
      </c>
      <c r="I76" s="77">
        <v>244.8</v>
      </c>
      <c r="J76" s="70" t="s">
        <v>45</v>
      </c>
      <c r="K76" s="70"/>
      <c r="L76" s="70" t="s">
        <v>46</v>
      </c>
      <c r="M76" s="70" t="s">
        <v>47</v>
      </c>
      <c r="N76" s="70" t="s">
        <v>212</v>
      </c>
      <c r="O76" s="72">
        <v>5.6000000000000001E-2</v>
      </c>
      <c r="Q76" s="1">
        <f>VLOOKUP(J76,[1]国家代码!$A$1:$B$65536,2,0)</f>
        <v>116</v>
      </c>
    </row>
    <row r="77" spans="1:17" ht="21.9" customHeight="1">
      <c r="A77" s="70" t="s">
        <v>214</v>
      </c>
      <c r="B77" s="70" t="s">
        <v>210</v>
      </c>
      <c r="C77" s="70" t="s">
        <v>211</v>
      </c>
      <c r="D77" s="114" t="s">
        <v>196</v>
      </c>
      <c r="E77" s="70">
        <v>8000</v>
      </c>
      <c r="F77" s="115" t="s">
        <v>43</v>
      </c>
      <c r="G77" s="116">
        <v>3.0599999999999999E-2</v>
      </c>
      <c r="H77" s="70" t="s">
        <v>44</v>
      </c>
      <c r="I77" s="77">
        <v>244.8</v>
      </c>
      <c r="J77" s="70" t="s">
        <v>45</v>
      </c>
      <c r="K77" s="70"/>
      <c r="L77" s="70" t="s">
        <v>46</v>
      </c>
      <c r="M77" s="70" t="s">
        <v>47</v>
      </c>
      <c r="N77" s="70" t="s">
        <v>212</v>
      </c>
      <c r="O77" s="72">
        <v>5.6000000000000001E-2</v>
      </c>
      <c r="Q77" s="1">
        <f>VLOOKUP(J77,[1]国家代码!$A$1:$B$65536,2,0)</f>
        <v>116</v>
      </c>
    </row>
    <row r="78" spans="1:17" ht="21.9" customHeight="1">
      <c r="A78" s="70" t="s">
        <v>215</v>
      </c>
      <c r="B78" s="70" t="s">
        <v>210</v>
      </c>
      <c r="C78" s="70" t="s">
        <v>216</v>
      </c>
      <c r="D78" s="114" t="s">
        <v>196</v>
      </c>
      <c r="E78" s="70">
        <v>4000</v>
      </c>
      <c r="F78" s="115" t="s">
        <v>43</v>
      </c>
      <c r="G78" s="116">
        <v>3.0599999999999999E-2</v>
      </c>
      <c r="H78" s="70" t="s">
        <v>44</v>
      </c>
      <c r="I78" s="77">
        <v>122.4</v>
      </c>
      <c r="J78" s="70" t="s">
        <v>45</v>
      </c>
      <c r="K78" s="70"/>
      <c r="L78" s="70" t="s">
        <v>46</v>
      </c>
      <c r="M78" s="70" t="s">
        <v>47</v>
      </c>
      <c r="N78" s="70" t="s">
        <v>212</v>
      </c>
      <c r="O78" s="72">
        <v>2.8000000000000001E-2</v>
      </c>
      <c r="Q78" s="1">
        <f>VLOOKUP(J78,[1]国家代码!$A$1:$B$65536,2,0)</f>
        <v>116</v>
      </c>
    </row>
    <row r="79" spans="1:17" ht="21.9" customHeight="1">
      <c r="A79" s="70" t="s">
        <v>217</v>
      </c>
      <c r="B79" s="70" t="s">
        <v>218</v>
      </c>
      <c r="C79" s="70" t="s">
        <v>219</v>
      </c>
      <c r="D79" s="114" t="s">
        <v>220</v>
      </c>
      <c r="E79" s="70">
        <v>10000</v>
      </c>
      <c r="F79" s="115" t="s">
        <v>43</v>
      </c>
      <c r="G79" s="116">
        <v>2.1600000000000001E-2</v>
      </c>
      <c r="H79" s="70" t="s">
        <v>44</v>
      </c>
      <c r="I79" s="77">
        <v>216</v>
      </c>
      <c r="J79" s="70" t="s">
        <v>45</v>
      </c>
      <c r="K79" s="70"/>
      <c r="L79" s="70" t="s">
        <v>46</v>
      </c>
      <c r="M79" s="70" t="s">
        <v>47</v>
      </c>
      <c r="N79" s="70" t="s">
        <v>221</v>
      </c>
      <c r="O79" s="72">
        <v>8.0000000000000002E-3</v>
      </c>
      <c r="Q79" s="1">
        <f>VLOOKUP(J79,[1]国家代码!$A$1:$B$65536,2,0)</f>
        <v>116</v>
      </c>
    </row>
    <row r="80" spans="1:17" ht="21.9" customHeight="1">
      <c r="A80" s="70" t="s">
        <v>222</v>
      </c>
      <c r="B80" s="70" t="s">
        <v>223</v>
      </c>
      <c r="C80" s="70" t="s">
        <v>219</v>
      </c>
      <c r="D80" s="114" t="s">
        <v>220</v>
      </c>
      <c r="E80" s="70">
        <v>10000</v>
      </c>
      <c r="F80" s="115" t="s">
        <v>43</v>
      </c>
      <c r="G80" s="116">
        <v>2.1600000000000001E-2</v>
      </c>
      <c r="H80" s="70" t="s">
        <v>44</v>
      </c>
      <c r="I80" s="77">
        <v>216</v>
      </c>
      <c r="J80" s="70" t="s">
        <v>45</v>
      </c>
      <c r="K80" s="70"/>
      <c r="L80" s="70" t="s">
        <v>46</v>
      </c>
      <c r="M80" s="70" t="s">
        <v>47</v>
      </c>
      <c r="N80" s="70" t="s">
        <v>224</v>
      </c>
      <c r="O80" s="72">
        <v>8.0000000000000002E-3</v>
      </c>
      <c r="Q80" s="1">
        <f>VLOOKUP(J80,[1]国家代码!$A$1:$B$65536,2,0)</f>
        <v>116</v>
      </c>
    </row>
    <row r="81" spans="1:256" ht="21.9" customHeight="1">
      <c r="A81" s="70" t="s">
        <v>225</v>
      </c>
      <c r="B81" s="70" t="s">
        <v>226</v>
      </c>
      <c r="C81" s="70" t="s">
        <v>227</v>
      </c>
      <c r="D81" s="114" t="s">
        <v>228</v>
      </c>
      <c r="E81" s="70">
        <v>10000</v>
      </c>
      <c r="F81" s="115" t="s">
        <v>43</v>
      </c>
      <c r="G81" s="116">
        <v>1.7500000000000002E-2</v>
      </c>
      <c r="H81" s="70" t="s">
        <v>44</v>
      </c>
      <c r="I81" s="77">
        <v>175</v>
      </c>
      <c r="J81" s="70" t="s">
        <v>45</v>
      </c>
      <c r="K81" s="70"/>
      <c r="L81" s="70" t="s">
        <v>46</v>
      </c>
      <c r="M81" s="70" t="s">
        <v>47</v>
      </c>
      <c r="N81" s="70" t="s">
        <v>229</v>
      </c>
      <c r="O81" s="72">
        <v>0.51900000000000002</v>
      </c>
      <c r="Q81" s="1">
        <f>VLOOKUP(J81,[1]国家代码!$A$1:$B$65536,2,0)</f>
        <v>116</v>
      </c>
    </row>
    <row r="82" spans="1:256" ht="21.9" customHeight="1">
      <c r="A82" s="70" t="s">
        <v>230</v>
      </c>
      <c r="B82" s="70" t="s">
        <v>226</v>
      </c>
      <c r="C82" s="70" t="s">
        <v>231</v>
      </c>
      <c r="D82" s="114" t="s">
        <v>228</v>
      </c>
      <c r="E82" s="70">
        <v>10000</v>
      </c>
      <c r="F82" s="115" t="s">
        <v>43</v>
      </c>
      <c r="G82" s="116">
        <v>9.9000000000000008E-3</v>
      </c>
      <c r="H82" s="70" t="s">
        <v>44</v>
      </c>
      <c r="I82" s="77">
        <v>99</v>
      </c>
      <c r="J82" s="70" t="s">
        <v>45</v>
      </c>
      <c r="K82" s="70"/>
      <c r="L82" s="70" t="s">
        <v>46</v>
      </c>
      <c r="M82" s="70" t="s">
        <v>47</v>
      </c>
      <c r="N82" s="70" t="s">
        <v>229</v>
      </c>
      <c r="O82" s="72">
        <v>0.51900000000000002</v>
      </c>
      <c r="Q82" s="1">
        <f>VLOOKUP(J82,[1]国家代码!$A$1:$B$65536,2,0)</f>
        <v>116</v>
      </c>
    </row>
    <row r="83" spans="1:256" ht="21.9" customHeight="1">
      <c r="A83" s="70" t="s">
        <v>232</v>
      </c>
      <c r="B83" s="70" t="s">
        <v>233</v>
      </c>
      <c r="C83" s="70" t="s">
        <v>227</v>
      </c>
      <c r="D83" s="114" t="s">
        <v>228</v>
      </c>
      <c r="E83" s="70">
        <v>10000</v>
      </c>
      <c r="F83" s="115" t="s">
        <v>43</v>
      </c>
      <c r="G83" s="116">
        <v>1.4E-2</v>
      </c>
      <c r="H83" s="70" t="s">
        <v>44</v>
      </c>
      <c r="I83" s="77">
        <v>140</v>
      </c>
      <c r="J83" s="70" t="s">
        <v>45</v>
      </c>
      <c r="K83" s="70"/>
      <c r="L83" s="70" t="s">
        <v>46</v>
      </c>
      <c r="M83" s="70" t="s">
        <v>47</v>
      </c>
      <c r="N83" s="70" t="s">
        <v>234</v>
      </c>
      <c r="O83" s="72">
        <v>4.0000000000000001E-3</v>
      </c>
      <c r="Q83" s="1">
        <f>VLOOKUP(J83,[1]国家代码!$A$1:$B$65536,2,0)</f>
        <v>116</v>
      </c>
    </row>
    <row r="84" spans="1:256" ht="21.9" customHeight="1">
      <c r="A84" s="70"/>
      <c r="B84" s="70"/>
      <c r="C84" s="70"/>
      <c r="D84" s="114"/>
      <c r="E84" s="70"/>
      <c r="F84" s="115"/>
      <c r="G84" s="116"/>
      <c r="H84" s="70"/>
      <c r="I84" s="77"/>
      <c r="J84" s="70"/>
      <c r="K84" s="70"/>
      <c r="L84" s="70"/>
      <c r="M84" s="70"/>
      <c r="N84" s="70"/>
      <c r="O84" s="70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ht="21" customHeight="1">
      <c r="A85" s="70"/>
      <c r="B85" s="121"/>
      <c r="C85" s="139" t="s">
        <v>235</v>
      </c>
      <c r="D85" s="139"/>
      <c r="E85" s="122">
        <v>1109000</v>
      </c>
      <c r="F85" s="123"/>
      <c r="G85" s="124"/>
      <c r="H85" s="124"/>
      <c r="I85" s="125">
        <v>7810.3</v>
      </c>
      <c r="J85" s="126"/>
      <c r="K85" s="126"/>
      <c r="L85" s="70"/>
      <c r="M85" s="70"/>
      <c r="N85" s="126"/>
      <c r="O85" s="127">
        <v>1.9550000000000001</v>
      </c>
    </row>
    <row r="86" spans="1:256">
      <c r="I86" s="128"/>
    </row>
    <row r="87" spans="1:256">
      <c r="A87" s="25" t="s">
        <v>236</v>
      </c>
    </row>
    <row r="88" spans="1:256">
      <c r="A88" s="25" t="s">
        <v>237</v>
      </c>
    </row>
    <row r="89" spans="1:256">
      <c r="A89" s="25" t="s">
        <v>238</v>
      </c>
    </row>
    <row r="90" spans="1:256">
      <c r="A90" s="25" t="s">
        <v>239</v>
      </c>
      <c r="D90" s="97" t="s">
        <v>240</v>
      </c>
      <c r="E90" s="98" t="s">
        <v>241</v>
      </c>
    </row>
    <row r="91" spans="1:256">
      <c r="A91" s="25" t="s">
        <v>242</v>
      </c>
    </row>
    <row r="92" spans="1:256">
      <c r="A92" s="25" t="s">
        <v>243</v>
      </c>
    </row>
    <row r="93" spans="1:256">
      <c r="A93" s="25" t="s">
        <v>244</v>
      </c>
    </row>
  </sheetData>
  <mergeCells count="10">
    <mergeCell ref="A17:B17"/>
    <mergeCell ref="C17:D17"/>
    <mergeCell ref="C85:D85"/>
    <mergeCell ref="A4:D5"/>
    <mergeCell ref="A8:D9"/>
    <mergeCell ref="A1:O1"/>
    <mergeCell ref="E8:I8"/>
    <mergeCell ref="A14:B14"/>
    <mergeCell ref="C14:D14"/>
    <mergeCell ref="C15:D15"/>
  </mergeCells>
  <phoneticPr fontId="22" type="noConversion"/>
  <pageMargins left="0.75138888888888899" right="0.75138888888888899" top="1" bottom="1" header="0.5" footer="0.5"/>
  <pageSetup paperSize="9" scale="47" fitToHeight="0" orientation="portrait" r:id="rId1"/>
  <headerFooter>
    <oddFooter>&amp;C第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2"/>
  <sheetViews>
    <sheetView tabSelected="1" view="pageBreakPreview" topLeftCell="A13" zoomScaleNormal="100" zoomScaleSheetLayoutView="100" workbookViewId="0">
      <selection activeCell="F35" sqref="F35"/>
    </sheetView>
  </sheetViews>
  <sheetFormatPr defaultColWidth="9" defaultRowHeight="14.4"/>
  <cols>
    <col min="1" max="1" width="13.77734375" customWidth="1"/>
    <col min="2" max="2" width="13.44140625" customWidth="1"/>
    <col min="3" max="3" width="12.109375" customWidth="1"/>
    <col min="4" max="4" width="16.21875" customWidth="1"/>
    <col min="5" max="5" width="6.44140625" customWidth="1"/>
    <col min="8" max="8" width="14" customWidth="1"/>
    <col min="10" max="10" width="13.77734375" customWidth="1"/>
    <col min="11" max="11" width="22.44140625" customWidth="1"/>
    <col min="12" max="12" width="9" hidden="1" customWidth="1"/>
    <col min="13" max="13" width="10.33203125" hidden="1" customWidth="1"/>
    <col min="14" max="18" width="9" hidden="1" customWidth="1"/>
  </cols>
  <sheetData>
    <row r="1" spans="1:11">
      <c r="A1" s="144" t="s">
        <v>245</v>
      </c>
      <c r="B1" s="145"/>
      <c r="C1" s="145"/>
      <c r="D1" s="145"/>
      <c r="E1" s="145"/>
      <c r="F1" s="145"/>
      <c r="G1" s="145"/>
      <c r="H1" s="145"/>
      <c r="I1" s="145"/>
      <c r="J1" s="146"/>
      <c r="K1" s="74"/>
    </row>
    <row r="2" spans="1:11">
      <c r="A2" s="39"/>
      <c r="B2" s="40"/>
      <c r="C2" s="40"/>
      <c r="D2" s="40"/>
      <c r="E2" s="40"/>
      <c r="F2" s="40"/>
      <c r="G2" s="40"/>
      <c r="H2" s="40"/>
      <c r="I2" s="40"/>
      <c r="J2" s="75"/>
      <c r="K2" s="75"/>
    </row>
    <row r="3" spans="1:11">
      <c r="A3" s="41" t="s">
        <v>1</v>
      </c>
      <c r="B3" s="42"/>
      <c r="C3" s="43"/>
      <c r="D3" s="43"/>
      <c r="E3" s="4"/>
      <c r="F3" s="42" t="s">
        <v>246</v>
      </c>
      <c r="G3" s="43"/>
      <c r="H3" s="43"/>
      <c r="I3" s="43"/>
      <c r="J3" s="29"/>
      <c r="K3" s="29"/>
    </row>
    <row r="4" spans="1:11">
      <c r="A4" s="44" t="s">
        <v>3</v>
      </c>
      <c r="B4" s="5"/>
      <c r="C4" s="21"/>
      <c r="D4" s="21"/>
      <c r="E4" s="45"/>
      <c r="F4" s="46">
        <v>45880</v>
      </c>
      <c r="G4" s="21"/>
      <c r="H4" s="21"/>
      <c r="I4" s="21"/>
      <c r="J4" s="29"/>
      <c r="K4" s="29"/>
    </row>
    <row r="5" spans="1:11">
      <c r="A5" s="162" t="s">
        <v>247</v>
      </c>
      <c r="B5" s="163"/>
      <c r="C5" s="163"/>
      <c r="D5" s="163"/>
      <c r="E5" s="164"/>
      <c r="F5" s="46" t="s">
        <v>5</v>
      </c>
      <c r="G5" s="21"/>
      <c r="H5" s="21"/>
      <c r="I5" s="21"/>
      <c r="J5" s="29"/>
      <c r="K5" s="29"/>
    </row>
    <row r="6" spans="1:11">
      <c r="A6" s="165"/>
      <c r="B6" s="163"/>
      <c r="C6" s="163"/>
      <c r="D6" s="163"/>
      <c r="E6" s="164"/>
      <c r="F6" s="47"/>
      <c r="G6" s="21"/>
      <c r="H6" s="21"/>
      <c r="I6" s="21"/>
      <c r="J6" s="29"/>
      <c r="K6" s="29"/>
    </row>
    <row r="7" spans="1:11">
      <c r="A7" s="11"/>
      <c r="B7" s="12"/>
      <c r="C7" s="48"/>
      <c r="D7" s="48"/>
      <c r="E7" s="49"/>
      <c r="F7" s="18"/>
      <c r="G7" s="19"/>
      <c r="H7" s="19"/>
      <c r="I7" s="19"/>
      <c r="J7" s="57"/>
      <c r="K7" s="57"/>
    </row>
    <row r="8" spans="1:11">
      <c r="A8" s="2" t="s">
        <v>6</v>
      </c>
      <c r="B8" s="42"/>
      <c r="C8" s="50"/>
      <c r="D8" s="50"/>
      <c r="E8" s="51"/>
      <c r="F8" s="52" t="s">
        <v>248</v>
      </c>
      <c r="G8" s="21"/>
      <c r="H8" s="21"/>
      <c r="I8" s="21"/>
      <c r="J8" s="29"/>
      <c r="K8" s="29"/>
    </row>
    <row r="9" spans="1:11">
      <c r="A9" s="53" t="s">
        <v>9</v>
      </c>
      <c r="B9" s="5"/>
      <c r="C9" s="54"/>
      <c r="D9" s="54"/>
      <c r="E9" s="55"/>
      <c r="F9" s="56"/>
      <c r="G9" s="6"/>
      <c r="H9" s="6"/>
      <c r="I9" s="6"/>
      <c r="J9" s="29"/>
      <c r="K9" s="29"/>
    </row>
    <row r="10" spans="1:11">
      <c r="A10" s="166" t="s">
        <v>11</v>
      </c>
      <c r="B10" s="167"/>
      <c r="C10" s="167"/>
      <c r="D10" s="167"/>
      <c r="E10" s="168"/>
      <c r="F10" s="56"/>
      <c r="G10" s="21"/>
      <c r="H10" s="21"/>
      <c r="I10" s="6"/>
      <c r="J10" s="29"/>
      <c r="K10" s="29"/>
    </row>
    <row r="11" spans="1:11">
      <c r="A11" s="169"/>
      <c r="B11" s="167"/>
      <c r="C11" s="167"/>
      <c r="D11" s="167"/>
      <c r="E11" s="168"/>
      <c r="F11" s="56"/>
      <c r="G11" s="21"/>
      <c r="H11" s="21"/>
      <c r="I11" s="6"/>
      <c r="J11" s="29"/>
      <c r="K11" s="29"/>
    </row>
    <row r="12" spans="1:11">
      <c r="A12" s="23"/>
      <c r="B12" s="24"/>
      <c r="C12" s="19"/>
      <c r="D12" s="19"/>
      <c r="E12" s="57"/>
      <c r="F12" s="21"/>
      <c r="G12" s="58"/>
      <c r="H12" s="58"/>
      <c r="I12" s="21"/>
      <c r="J12" s="29"/>
      <c r="K12" s="29"/>
    </row>
    <row r="13" spans="1:11" ht="15">
      <c r="A13" s="2" t="s">
        <v>12</v>
      </c>
      <c r="B13" s="56"/>
      <c r="C13" s="21"/>
      <c r="D13" s="21"/>
      <c r="E13" s="45"/>
      <c r="F13" s="59"/>
      <c r="G13" s="25"/>
      <c r="H13" s="21"/>
      <c r="I13" s="21"/>
      <c r="J13" s="29"/>
      <c r="K13" s="29"/>
    </row>
    <row r="14" spans="1:11" ht="15">
      <c r="A14" s="60" t="s">
        <v>14</v>
      </c>
      <c r="B14" s="17"/>
      <c r="C14" s="17"/>
      <c r="D14" s="17"/>
      <c r="E14" s="45"/>
      <c r="F14" s="59"/>
      <c r="G14" s="25"/>
      <c r="H14" s="21"/>
      <c r="I14" s="21"/>
      <c r="J14" s="29"/>
      <c r="K14" s="29"/>
    </row>
    <row r="15" spans="1:11">
      <c r="A15" s="53" t="s">
        <v>16</v>
      </c>
      <c r="B15" s="17"/>
      <c r="C15" s="21"/>
      <c r="D15" s="21"/>
      <c r="E15" s="61"/>
      <c r="F15" s="21"/>
      <c r="G15" s="21"/>
      <c r="H15" s="21"/>
      <c r="I15" s="21"/>
      <c r="J15" s="29"/>
      <c r="K15" s="29"/>
    </row>
    <row r="16" spans="1:11">
      <c r="A16" s="18"/>
      <c r="B16" s="19"/>
      <c r="C16" s="19"/>
      <c r="D16" s="19"/>
      <c r="E16" s="57"/>
      <c r="F16" s="147"/>
      <c r="G16" s="147"/>
      <c r="H16" s="62"/>
      <c r="I16" s="76"/>
      <c r="J16" s="29"/>
      <c r="K16" s="29"/>
    </row>
    <row r="17" spans="1:18">
      <c r="A17" s="63" t="s">
        <v>249</v>
      </c>
      <c r="B17" s="52"/>
      <c r="C17" s="4"/>
      <c r="D17" s="52" t="s">
        <v>250</v>
      </c>
      <c r="E17" s="64"/>
      <c r="F17" s="147"/>
      <c r="G17" s="147"/>
      <c r="H17" s="65"/>
      <c r="I17" s="21"/>
      <c r="J17" s="29"/>
      <c r="K17" s="29"/>
    </row>
    <row r="18" spans="1:18">
      <c r="A18" s="148"/>
      <c r="B18" s="149"/>
      <c r="C18" s="150"/>
      <c r="D18" s="148"/>
      <c r="E18" s="150"/>
      <c r="F18" s="147"/>
      <c r="G18" s="147"/>
      <c r="H18" s="65"/>
      <c r="I18" s="21"/>
      <c r="J18" s="29"/>
      <c r="K18" s="29"/>
    </row>
    <row r="19" spans="1:18">
      <c r="A19" s="63" t="s">
        <v>20</v>
      </c>
      <c r="B19" s="56"/>
      <c r="C19" s="66"/>
      <c r="D19" s="52" t="s">
        <v>21</v>
      </c>
      <c r="E19" s="27"/>
      <c r="F19" s="21"/>
      <c r="G19" s="21"/>
      <c r="H19" s="21"/>
      <c r="I19" s="21"/>
      <c r="J19" s="29"/>
      <c r="K19" s="29"/>
    </row>
    <row r="20" spans="1:18">
      <c r="A20" s="148"/>
      <c r="B20" s="149"/>
      <c r="C20" s="150"/>
      <c r="D20" s="151"/>
      <c r="E20" s="152"/>
      <c r="F20" s="19"/>
      <c r="G20" s="19"/>
      <c r="H20" s="19"/>
      <c r="I20" s="19"/>
      <c r="J20" s="29"/>
      <c r="K20" s="29"/>
    </row>
    <row r="21" spans="1:18">
      <c r="A21" s="158" t="s">
        <v>251</v>
      </c>
      <c r="B21" s="158" t="s">
        <v>26</v>
      </c>
      <c r="C21" s="158" t="s">
        <v>25</v>
      </c>
      <c r="D21" s="158" t="s">
        <v>27</v>
      </c>
      <c r="E21" s="158"/>
      <c r="F21" s="159" t="s">
        <v>28</v>
      </c>
      <c r="G21" s="159" t="s">
        <v>29</v>
      </c>
      <c r="H21" s="68" t="s">
        <v>252</v>
      </c>
      <c r="I21" s="69" t="s">
        <v>253</v>
      </c>
      <c r="J21" s="160" t="s">
        <v>254</v>
      </c>
      <c r="K21" s="160" t="s">
        <v>37</v>
      </c>
    </row>
    <row r="22" spans="1:18">
      <c r="A22" s="158"/>
      <c r="B22" s="158"/>
      <c r="C22" s="158"/>
      <c r="D22" s="158"/>
      <c r="E22" s="158"/>
      <c r="F22" s="159"/>
      <c r="G22" s="159"/>
      <c r="H22" s="69" t="s">
        <v>255</v>
      </c>
      <c r="I22" s="69" t="s">
        <v>255</v>
      </c>
      <c r="J22" s="161"/>
      <c r="K22" s="161"/>
      <c r="L22" t="s">
        <v>256</v>
      </c>
      <c r="N22" t="s">
        <v>257</v>
      </c>
      <c r="O22" t="s">
        <v>258</v>
      </c>
    </row>
    <row r="23" spans="1:18">
      <c r="A23" s="70" t="s">
        <v>259</v>
      </c>
      <c r="B23" s="70" t="s">
        <v>41</v>
      </c>
      <c r="C23" s="70" t="s">
        <v>40</v>
      </c>
      <c r="D23" s="153" t="s">
        <v>42</v>
      </c>
      <c r="E23" s="153"/>
      <c r="F23" s="71">
        <v>10000</v>
      </c>
      <c r="G23" s="72" t="s">
        <v>43</v>
      </c>
      <c r="H23" s="73">
        <v>0.01</v>
      </c>
      <c r="I23" s="77">
        <v>0.15</v>
      </c>
      <c r="J23" s="78" t="s">
        <v>260</v>
      </c>
      <c r="K23" s="78" t="s">
        <v>48</v>
      </c>
      <c r="L23">
        <v>10000</v>
      </c>
      <c r="M23">
        <v>1</v>
      </c>
      <c r="N23">
        <v>0.01</v>
      </c>
      <c r="O23">
        <v>10000</v>
      </c>
      <c r="P23">
        <v>0</v>
      </c>
      <c r="Q23" s="79">
        <v>0.14000000000000001</v>
      </c>
      <c r="R23" t="s">
        <v>45</v>
      </c>
    </row>
    <row r="24" spans="1:18">
      <c r="A24" s="70" t="s">
        <v>259</v>
      </c>
      <c r="B24" s="70" t="s">
        <v>51</v>
      </c>
      <c r="C24" s="70" t="s">
        <v>50</v>
      </c>
      <c r="D24" s="153" t="s">
        <v>42</v>
      </c>
      <c r="E24" s="153"/>
      <c r="F24" s="71">
        <v>10000</v>
      </c>
      <c r="G24" s="72" t="s">
        <v>43</v>
      </c>
      <c r="H24" s="73">
        <v>8.0000000000000002E-3</v>
      </c>
      <c r="I24" s="77">
        <v>0.15</v>
      </c>
      <c r="J24" s="78" t="s">
        <v>260</v>
      </c>
      <c r="K24" s="78" t="s">
        <v>52</v>
      </c>
      <c r="L24">
        <v>10000</v>
      </c>
      <c r="M24">
        <v>1</v>
      </c>
      <c r="N24">
        <v>8.0000000000000002E-3</v>
      </c>
      <c r="O24">
        <v>10000</v>
      </c>
      <c r="P24">
        <v>0</v>
      </c>
      <c r="Q24" s="79">
        <v>0.14199999999999999</v>
      </c>
      <c r="R24" t="s">
        <v>45</v>
      </c>
    </row>
    <row r="25" spans="1:18">
      <c r="A25" s="70" t="s">
        <v>259</v>
      </c>
      <c r="B25" s="70" t="s">
        <v>55</v>
      </c>
      <c r="C25" s="70" t="s">
        <v>54</v>
      </c>
      <c r="D25" s="153" t="s">
        <v>42</v>
      </c>
      <c r="E25" s="153"/>
      <c r="F25" s="71">
        <v>20000</v>
      </c>
      <c r="G25" s="72" t="s">
        <v>43</v>
      </c>
      <c r="H25" s="73">
        <v>0.02</v>
      </c>
      <c r="I25" s="77">
        <v>0.3</v>
      </c>
      <c r="J25" s="78" t="s">
        <v>260</v>
      </c>
      <c r="K25" s="78" t="s">
        <v>56</v>
      </c>
      <c r="L25">
        <v>10000</v>
      </c>
      <c r="M25">
        <v>2</v>
      </c>
      <c r="N25">
        <v>0.02</v>
      </c>
      <c r="O25">
        <v>20000</v>
      </c>
      <c r="P25">
        <v>0</v>
      </c>
      <c r="Q25" s="79">
        <v>0.28000000000000003</v>
      </c>
      <c r="R25" t="s">
        <v>45</v>
      </c>
    </row>
    <row r="26" spans="1:18">
      <c r="A26" s="70" t="s">
        <v>259</v>
      </c>
      <c r="B26" s="70" t="s">
        <v>41</v>
      </c>
      <c r="C26" s="70" t="s">
        <v>58</v>
      </c>
      <c r="D26" s="153" t="s">
        <v>42</v>
      </c>
      <c r="E26" s="153"/>
      <c r="F26" s="71">
        <v>8000</v>
      </c>
      <c r="G26" s="72" t="s">
        <v>43</v>
      </c>
      <c r="H26" s="73">
        <v>9.6000000000000002E-2</v>
      </c>
      <c r="I26" s="77">
        <v>0.3</v>
      </c>
      <c r="J26" s="78" t="s">
        <v>260</v>
      </c>
      <c r="K26" s="78" t="s">
        <v>59</v>
      </c>
      <c r="L26">
        <v>4000</v>
      </c>
      <c r="M26">
        <v>2</v>
      </c>
      <c r="N26">
        <v>9.6000000000000002E-2</v>
      </c>
      <c r="O26">
        <v>8000</v>
      </c>
      <c r="P26">
        <v>0</v>
      </c>
      <c r="Q26" s="79">
        <v>0.20399999999999999</v>
      </c>
      <c r="R26" t="s">
        <v>45</v>
      </c>
    </row>
    <row r="27" spans="1:18">
      <c r="A27" s="70" t="s">
        <v>259</v>
      </c>
      <c r="B27" s="70" t="s">
        <v>62</v>
      </c>
      <c r="C27" s="70" t="s">
        <v>61</v>
      </c>
      <c r="D27" s="153" t="s">
        <v>42</v>
      </c>
      <c r="E27" s="153"/>
      <c r="F27" s="71">
        <v>9000</v>
      </c>
      <c r="G27" s="72" t="s">
        <v>43</v>
      </c>
      <c r="H27" s="73">
        <v>4.1000000000000002E-2</v>
      </c>
      <c r="I27" s="77">
        <v>0.45</v>
      </c>
      <c r="J27" s="78" t="s">
        <v>260</v>
      </c>
      <c r="K27" s="78" t="s">
        <v>63</v>
      </c>
      <c r="L27">
        <v>3000</v>
      </c>
      <c r="M27">
        <v>3</v>
      </c>
      <c r="N27">
        <v>6.7000000000000004E-2</v>
      </c>
      <c r="O27">
        <v>15000</v>
      </c>
      <c r="P27">
        <v>-6000</v>
      </c>
      <c r="Q27" s="79">
        <v>0.40899999999999997</v>
      </c>
      <c r="R27" t="s">
        <v>45</v>
      </c>
    </row>
    <row r="28" spans="1:18">
      <c r="A28" s="70" t="s">
        <v>259</v>
      </c>
      <c r="B28" s="70" t="s">
        <v>65</v>
      </c>
      <c r="C28" s="70" t="s">
        <v>61</v>
      </c>
      <c r="D28" s="153" t="s">
        <v>42</v>
      </c>
      <c r="E28" s="153"/>
      <c r="F28" s="71">
        <v>3000</v>
      </c>
      <c r="G28" s="72" t="s">
        <v>43</v>
      </c>
      <c r="H28" s="73">
        <v>1.2999999999999999E-2</v>
      </c>
      <c r="I28" s="77">
        <v>0.15</v>
      </c>
      <c r="J28" s="78" t="s">
        <v>260</v>
      </c>
      <c r="K28" s="78" t="s">
        <v>63</v>
      </c>
      <c r="L28">
        <v>3000</v>
      </c>
      <c r="M28">
        <v>1</v>
      </c>
      <c r="N28">
        <v>6.7000000000000004E-2</v>
      </c>
      <c r="O28">
        <v>15000</v>
      </c>
      <c r="P28">
        <v>-12000</v>
      </c>
      <c r="Q28" s="79">
        <v>0.13700000000000001</v>
      </c>
      <c r="R28" t="s">
        <v>45</v>
      </c>
    </row>
    <row r="29" spans="1:18">
      <c r="A29" s="70" t="s">
        <v>259</v>
      </c>
      <c r="B29" s="70" t="s">
        <v>67</v>
      </c>
      <c r="C29" s="70" t="s">
        <v>61</v>
      </c>
      <c r="D29" s="153" t="s">
        <v>42</v>
      </c>
      <c r="E29" s="153"/>
      <c r="F29" s="71">
        <v>3000</v>
      </c>
      <c r="G29" s="72" t="s">
        <v>43</v>
      </c>
      <c r="H29" s="73">
        <v>1.2999999999999999E-2</v>
      </c>
      <c r="I29" s="77">
        <v>0.15</v>
      </c>
      <c r="J29" s="78" t="s">
        <v>260</v>
      </c>
      <c r="K29" s="78" t="s">
        <v>63</v>
      </c>
      <c r="L29">
        <v>3000</v>
      </c>
      <c r="M29">
        <v>1</v>
      </c>
      <c r="N29">
        <v>6.7000000000000004E-2</v>
      </c>
      <c r="O29">
        <v>15000</v>
      </c>
      <c r="P29">
        <v>-12000</v>
      </c>
      <c r="Q29" s="79">
        <v>0.13700000000000001</v>
      </c>
      <c r="R29" t="s">
        <v>45</v>
      </c>
    </row>
    <row r="30" spans="1:18">
      <c r="A30" s="70" t="s">
        <v>259</v>
      </c>
      <c r="B30" s="70" t="s">
        <v>70</v>
      </c>
      <c r="C30" s="70" t="s">
        <v>69</v>
      </c>
      <c r="D30" s="153" t="s">
        <v>42</v>
      </c>
      <c r="E30" s="153"/>
      <c r="F30" s="71">
        <v>15000</v>
      </c>
      <c r="G30" s="72" t="s">
        <v>43</v>
      </c>
      <c r="H30" s="73">
        <v>3.0000000000000001E-3</v>
      </c>
      <c r="I30" s="77">
        <v>0.15</v>
      </c>
      <c r="J30" s="78" t="s">
        <v>260</v>
      </c>
      <c r="K30" s="78" t="s">
        <v>71</v>
      </c>
      <c r="L30">
        <v>15000</v>
      </c>
      <c r="M30">
        <v>1</v>
      </c>
      <c r="N30">
        <v>3.0000000000000001E-3</v>
      </c>
      <c r="O30">
        <v>15000</v>
      </c>
      <c r="P30">
        <v>0</v>
      </c>
      <c r="Q30" s="79">
        <v>0.14699999999999999</v>
      </c>
      <c r="R30" t="s">
        <v>45</v>
      </c>
    </row>
    <row r="31" spans="1:18">
      <c r="A31" s="70" t="s">
        <v>259</v>
      </c>
      <c r="B31" s="70" t="s">
        <v>70</v>
      </c>
      <c r="C31" s="70" t="s">
        <v>73</v>
      </c>
      <c r="D31" s="153" t="s">
        <v>42</v>
      </c>
      <c r="E31" s="153"/>
      <c r="F31" s="71">
        <v>15000</v>
      </c>
      <c r="G31" s="72" t="s">
        <v>43</v>
      </c>
      <c r="H31" s="73">
        <v>3.0000000000000001E-3</v>
      </c>
      <c r="I31" s="77">
        <v>0.15</v>
      </c>
      <c r="J31" s="78" t="s">
        <v>260</v>
      </c>
      <c r="K31" s="78" t="s">
        <v>74</v>
      </c>
      <c r="L31">
        <v>15000</v>
      </c>
      <c r="M31">
        <v>1</v>
      </c>
      <c r="N31">
        <v>3.0000000000000001E-3</v>
      </c>
      <c r="O31">
        <v>15000</v>
      </c>
      <c r="P31">
        <v>0</v>
      </c>
      <c r="Q31" s="79">
        <v>0.14699999999999999</v>
      </c>
      <c r="R31" t="s">
        <v>45</v>
      </c>
    </row>
    <row r="32" spans="1:18">
      <c r="A32" s="70" t="s">
        <v>259</v>
      </c>
      <c r="B32" s="70" t="s">
        <v>77</v>
      </c>
      <c r="C32" s="70" t="s">
        <v>76</v>
      </c>
      <c r="D32" s="153" t="s">
        <v>42</v>
      </c>
      <c r="E32" s="153"/>
      <c r="F32" s="71">
        <v>30000</v>
      </c>
      <c r="G32" s="72" t="s">
        <v>43</v>
      </c>
      <c r="H32" s="73">
        <v>5.0000000000000001E-3</v>
      </c>
      <c r="I32" s="77">
        <v>0.3</v>
      </c>
      <c r="J32" s="78" t="s">
        <v>260</v>
      </c>
      <c r="K32" s="78" t="s">
        <v>78</v>
      </c>
      <c r="L32">
        <v>15000</v>
      </c>
      <c r="M32">
        <v>2</v>
      </c>
      <c r="N32">
        <v>5.0000000000000001E-3</v>
      </c>
      <c r="O32">
        <v>30000</v>
      </c>
      <c r="P32">
        <v>0</v>
      </c>
      <c r="Q32" s="79">
        <v>0.29499999999999998</v>
      </c>
      <c r="R32" t="s">
        <v>45</v>
      </c>
    </row>
    <row r="33" spans="1:18">
      <c r="A33" s="70" t="s">
        <v>259</v>
      </c>
      <c r="B33" s="70" t="s">
        <v>67</v>
      </c>
      <c r="C33" s="70" t="s">
        <v>80</v>
      </c>
      <c r="D33" s="153" t="s">
        <v>42</v>
      </c>
      <c r="E33" s="153"/>
      <c r="F33" s="71">
        <v>15000</v>
      </c>
      <c r="G33" s="72" t="s">
        <v>43</v>
      </c>
      <c r="H33" s="73">
        <v>5.0000000000000001E-3</v>
      </c>
      <c r="I33" s="77">
        <v>0.15</v>
      </c>
      <c r="J33" s="78" t="s">
        <v>260</v>
      </c>
      <c r="K33" s="78" t="s">
        <v>81</v>
      </c>
      <c r="L33">
        <v>15000</v>
      </c>
      <c r="M33">
        <v>1</v>
      </c>
      <c r="N33">
        <v>5.0000000000000001E-3</v>
      </c>
      <c r="O33">
        <v>15000</v>
      </c>
      <c r="P33">
        <v>0</v>
      </c>
      <c r="Q33" s="79">
        <v>0.14499999999999999</v>
      </c>
      <c r="R33" t="s">
        <v>45</v>
      </c>
    </row>
    <row r="34" spans="1:18">
      <c r="A34" s="70" t="s">
        <v>259</v>
      </c>
      <c r="B34" s="70" t="s">
        <v>84</v>
      </c>
      <c r="C34" s="70" t="s">
        <v>83</v>
      </c>
      <c r="D34" s="153" t="s">
        <v>42</v>
      </c>
      <c r="E34" s="153"/>
      <c r="F34" s="71">
        <v>15000</v>
      </c>
      <c r="G34" s="72" t="s">
        <v>43</v>
      </c>
      <c r="H34" s="73">
        <v>1.0999999999999999E-2</v>
      </c>
      <c r="I34" s="77">
        <v>0.15</v>
      </c>
      <c r="J34" s="78" t="s">
        <v>260</v>
      </c>
      <c r="K34" s="78" t="s">
        <v>85</v>
      </c>
      <c r="L34">
        <v>15000</v>
      </c>
      <c r="M34">
        <v>1</v>
      </c>
      <c r="N34">
        <v>2.1999999999999999E-2</v>
      </c>
      <c r="O34">
        <v>30000</v>
      </c>
      <c r="P34">
        <v>-15000</v>
      </c>
      <c r="Q34" s="79">
        <v>0.13900000000000001</v>
      </c>
      <c r="R34" t="s">
        <v>45</v>
      </c>
    </row>
    <row r="35" spans="1:18">
      <c r="A35" s="70" t="s">
        <v>259</v>
      </c>
      <c r="B35" s="70" t="s">
        <v>77</v>
      </c>
      <c r="C35" s="70" t="s">
        <v>83</v>
      </c>
      <c r="D35" s="153" t="s">
        <v>42</v>
      </c>
      <c r="E35" s="153"/>
      <c r="F35" s="71">
        <v>15000</v>
      </c>
      <c r="G35" s="72" t="s">
        <v>43</v>
      </c>
      <c r="H35" s="73">
        <v>1.0999999999999999E-2</v>
      </c>
      <c r="I35" s="77">
        <v>0.15</v>
      </c>
      <c r="J35" s="78" t="s">
        <v>260</v>
      </c>
      <c r="K35" s="78" t="s">
        <v>85</v>
      </c>
      <c r="L35">
        <v>15000</v>
      </c>
      <c r="M35">
        <v>1</v>
      </c>
      <c r="N35">
        <v>2.1999999999999999E-2</v>
      </c>
      <c r="O35">
        <v>30000</v>
      </c>
      <c r="P35">
        <v>-15000</v>
      </c>
      <c r="Q35" s="79">
        <v>0.13900000000000001</v>
      </c>
      <c r="R35" t="s">
        <v>45</v>
      </c>
    </row>
    <row r="36" spans="1:18">
      <c r="A36" s="70" t="s">
        <v>259</v>
      </c>
      <c r="B36" s="70" t="s">
        <v>89</v>
      </c>
      <c r="C36" s="70" t="s">
        <v>88</v>
      </c>
      <c r="D36" s="153" t="s">
        <v>42</v>
      </c>
      <c r="E36" s="153"/>
      <c r="F36" s="71">
        <v>15000</v>
      </c>
      <c r="G36" s="72" t="s">
        <v>43</v>
      </c>
      <c r="H36" s="73">
        <v>3.0000000000000001E-3</v>
      </c>
      <c r="I36" s="77">
        <v>0.15</v>
      </c>
      <c r="J36" s="78" t="s">
        <v>260</v>
      </c>
      <c r="K36" s="78" t="s">
        <v>90</v>
      </c>
      <c r="L36">
        <v>15000</v>
      </c>
      <c r="M36">
        <v>1</v>
      </c>
      <c r="N36">
        <v>3.0000000000000001E-3</v>
      </c>
      <c r="O36">
        <v>15000</v>
      </c>
      <c r="P36">
        <v>0</v>
      </c>
      <c r="Q36" s="79">
        <v>0.14699999999999999</v>
      </c>
      <c r="R36" t="s">
        <v>45</v>
      </c>
    </row>
    <row r="37" spans="1:18">
      <c r="A37" s="70" t="s">
        <v>259</v>
      </c>
      <c r="B37" s="70" t="s">
        <v>84</v>
      </c>
      <c r="C37" s="70" t="s">
        <v>92</v>
      </c>
      <c r="D37" s="153" t="s">
        <v>42</v>
      </c>
      <c r="E37" s="153"/>
      <c r="F37" s="71">
        <v>15000</v>
      </c>
      <c r="G37" s="72" t="s">
        <v>43</v>
      </c>
      <c r="H37" s="73">
        <v>8.0000000000000002E-3</v>
      </c>
      <c r="I37" s="77">
        <v>0.15</v>
      </c>
      <c r="J37" s="78" t="s">
        <v>260</v>
      </c>
      <c r="K37" s="78" t="s">
        <v>93</v>
      </c>
      <c r="L37">
        <v>15000</v>
      </c>
      <c r="M37">
        <v>1</v>
      </c>
      <c r="N37">
        <v>8.0000000000000002E-3</v>
      </c>
      <c r="O37">
        <v>15000</v>
      </c>
      <c r="P37">
        <v>0</v>
      </c>
      <c r="Q37" s="79">
        <v>0.14199999999999999</v>
      </c>
      <c r="R37" t="s">
        <v>45</v>
      </c>
    </row>
    <row r="38" spans="1:18">
      <c r="A38" s="70" t="s">
        <v>259</v>
      </c>
      <c r="B38" s="70" t="s">
        <v>62</v>
      </c>
      <c r="C38" s="70" t="s">
        <v>95</v>
      </c>
      <c r="D38" s="153" t="s">
        <v>42</v>
      </c>
      <c r="E38" s="153"/>
      <c r="F38" s="71">
        <v>15000</v>
      </c>
      <c r="G38" s="72" t="s">
        <v>43</v>
      </c>
      <c r="H38" s="73">
        <v>3.0000000000000001E-3</v>
      </c>
      <c r="I38" s="77">
        <v>0.15</v>
      </c>
      <c r="J38" s="78" t="s">
        <v>260</v>
      </c>
      <c r="K38" s="78" t="s">
        <v>96</v>
      </c>
      <c r="L38">
        <v>15000</v>
      </c>
      <c r="M38">
        <v>1</v>
      </c>
      <c r="N38">
        <v>3.0000000000000001E-3</v>
      </c>
      <c r="O38">
        <v>15000</v>
      </c>
      <c r="P38">
        <v>0</v>
      </c>
      <c r="Q38" s="79">
        <v>0.14699999999999999</v>
      </c>
      <c r="R38" t="s">
        <v>45</v>
      </c>
    </row>
    <row r="39" spans="1:18">
      <c r="A39" s="70" t="s">
        <v>259</v>
      </c>
      <c r="B39" s="70" t="s">
        <v>67</v>
      </c>
      <c r="C39" s="70" t="s">
        <v>98</v>
      </c>
      <c r="D39" s="153" t="s">
        <v>42</v>
      </c>
      <c r="E39" s="153"/>
      <c r="F39" s="71">
        <v>15000</v>
      </c>
      <c r="G39" s="72" t="s">
        <v>43</v>
      </c>
      <c r="H39" s="73">
        <v>3.0000000000000001E-3</v>
      </c>
      <c r="I39" s="77">
        <v>0.15</v>
      </c>
      <c r="J39" s="78" t="s">
        <v>260</v>
      </c>
      <c r="K39" s="78" t="s">
        <v>99</v>
      </c>
      <c r="L39">
        <v>15000</v>
      </c>
      <c r="M39">
        <v>1</v>
      </c>
      <c r="N39">
        <v>6.0000000000000001E-3</v>
      </c>
      <c r="O39">
        <v>30000</v>
      </c>
      <c r="P39">
        <v>-15000</v>
      </c>
      <c r="Q39" s="79">
        <v>0.14699999999999999</v>
      </c>
      <c r="R39" t="s">
        <v>45</v>
      </c>
    </row>
    <row r="40" spans="1:18">
      <c r="A40" s="70" t="s">
        <v>259</v>
      </c>
      <c r="B40" s="70" t="s">
        <v>101</v>
      </c>
      <c r="C40" s="70" t="s">
        <v>98</v>
      </c>
      <c r="D40" s="153" t="s">
        <v>42</v>
      </c>
      <c r="E40" s="153"/>
      <c r="F40" s="71">
        <v>15000</v>
      </c>
      <c r="G40" s="72" t="s">
        <v>43</v>
      </c>
      <c r="H40" s="73">
        <v>3.0000000000000001E-3</v>
      </c>
      <c r="I40" s="77">
        <v>0.15</v>
      </c>
      <c r="J40" s="78" t="s">
        <v>260</v>
      </c>
      <c r="K40" s="78" t="s">
        <v>99</v>
      </c>
      <c r="L40">
        <v>15000</v>
      </c>
      <c r="M40">
        <v>1</v>
      </c>
      <c r="N40">
        <v>6.0000000000000001E-3</v>
      </c>
      <c r="O40">
        <v>30000</v>
      </c>
      <c r="P40">
        <v>-15000</v>
      </c>
      <c r="Q40" s="79">
        <v>0.14699999999999999</v>
      </c>
      <c r="R40" t="s">
        <v>45</v>
      </c>
    </row>
    <row r="41" spans="1:18">
      <c r="A41" s="70" t="s">
        <v>259</v>
      </c>
      <c r="B41" s="70" t="s">
        <v>77</v>
      </c>
      <c r="C41" s="70" t="s">
        <v>103</v>
      </c>
      <c r="D41" s="153" t="s">
        <v>42</v>
      </c>
      <c r="E41" s="153"/>
      <c r="F41" s="71">
        <v>30000</v>
      </c>
      <c r="G41" s="72" t="s">
        <v>43</v>
      </c>
      <c r="H41" s="73">
        <v>5.0000000000000001E-3</v>
      </c>
      <c r="I41" s="77">
        <v>0.3</v>
      </c>
      <c r="J41" s="78" t="s">
        <v>260</v>
      </c>
      <c r="K41" s="78" t="s">
        <v>104</v>
      </c>
      <c r="L41">
        <v>15000</v>
      </c>
      <c r="M41">
        <v>2</v>
      </c>
      <c r="N41">
        <v>0.01</v>
      </c>
      <c r="O41">
        <v>60000</v>
      </c>
      <c r="P41">
        <v>-30000</v>
      </c>
      <c r="Q41" s="79">
        <v>0.29499999999999998</v>
      </c>
      <c r="R41" t="s">
        <v>45</v>
      </c>
    </row>
    <row r="42" spans="1:18">
      <c r="A42" s="70" t="s">
        <v>259</v>
      </c>
      <c r="B42" s="70" t="s">
        <v>67</v>
      </c>
      <c r="C42" s="70" t="s">
        <v>103</v>
      </c>
      <c r="D42" s="153" t="s">
        <v>42</v>
      </c>
      <c r="E42" s="153"/>
      <c r="F42" s="71">
        <v>30000</v>
      </c>
      <c r="G42" s="72" t="s">
        <v>43</v>
      </c>
      <c r="H42" s="73">
        <v>5.0000000000000001E-3</v>
      </c>
      <c r="I42" s="77">
        <v>0.3</v>
      </c>
      <c r="J42" s="78" t="s">
        <v>260</v>
      </c>
      <c r="K42" s="78" t="s">
        <v>104</v>
      </c>
      <c r="L42">
        <v>15000</v>
      </c>
      <c r="M42">
        <v>2</v>
      </c>
      <c r="N42">
        <v>0.01</v>
      </c>
      <c r="O42">
        <v>60000</v>
      </c>
      <c r="P42">
        <v>-30000</v>
      </c>
      <c r="Q42" s="79">
        <v>0.29499999999999998</v>
      </c>
      <c r="R42" t="s">
        <v>45</v>
      </c>
    </row>
    <row r="43" spans="1:18">
      <c r="A43" s="70" t="s">
        <v>259</v>
      </c>
      <c r="B43" s="70" t="s">
        <v>77</v>
      </c>
      <c r="C43" s="70" t="s">
        <v>107</v>
      </c>
      <c r="D43" s="153" t="s">
        <v>42</v>
      </c>
      <c r="E43" s="153"/>
      <c r="F43" s="71">
        <v>45000</v>
      </c>
      <c r="G43" s="72" t="s">
        <v>43</v>
      </c>
      <c r="H43" s="73">
        <v>8.0000000000000002E-3</v>
      </c>
      <c r="I43" s="77">
        <v>0.45</v>
      </c>
      <c r="J43" s="78" t="s">
        <v>260</v>
      </c>
      <c r="K43" s="78" t="s">
        <v>108</v>
      </c>
      <c r="L43">
        <v>15000</v>
      </c>
      <c r="M43">
        <v>3</v>
      </c>
      <c r="N43">
        <v>8.0000000000000002E-3</v>
      </c>
      <c r="O43">
        <v>45000</v>
      </c>
      <c r="P43">
        <v>0</v>
      </c>
      <c r="Q43" s="79">
        <v>0.442</v>
      </c>
      <c r="R43" t="s">
        <v>45</v>
      </c>
    </row>
    <row r="44" spans="1:18">
      <c r="A44" s="70" t="s">
        <v>259</v>
      </c>
      <c r="B44" s="70" t="s">
        <v>77</v>
      </c>
      <c r="C44" s="70" t="s">
        <v>110</v>
      </c>
      <c r="D44" s="153" t="s">
        <v>42</v>
      </c>
      <c r="E44" s="153"/>
      <c r="F44" s="71">
        <v>75000</v>
      </c>
      <c r="G44" s="72" t="s">
        <v>43</v>
      </c>
      <c r="H44" s="73">
        <v>1.2999999999999999E-2</v>
      </c>
      <c r="I44" s="77">
        <v>0.75</v>
      </c>
      <c r="J44" s="78" t="s">
        <v>260</v>
      </c>
      <c r="K44" s="78" t="s">
        <v>111</v>
      </c>
      <c r="L44">
        <v>15000</v>
      </c>
      <c r="M44">
        <v>5</v>
      </c>
      <c r="N44">
        <v>1.6E-2</v>
      </c>
      <c r="O44">
        <v>90000</v>
      </c>
      <c r="P44">
        <v>-15000</v>
      </c>
      <c r="Q44" s="79">
        <v>0.73699999999999999</v>
      </c>
      <c r="R44" t="s">
        <v>45</v>
      </c>
    </row>
    <row r="45" spans="1:18">
      <c r="A45" s="70" t="s">
        <v>259</v>
      </c>
      <c r="B45" s="70" t="s">
        <v>101</v>
      </c>
      <c r="C45" s="70" t="s">
        <v>110</v>
      </c>
      <c r="D45" s="153" t="s">
        <v>42</v>
      </c>
      <c r="E45" s="153"/>
      <c r="F45" s="71">
        <v>15000</v>
      </c>
      <c r="G45" s="72" t="s">
        <v>43</v>
      </c>
      <c r="H45" s="73">
        <v>3.0000000000000001E-3</v>
      </c>
      <c r="I45" s="77">
        <v>0.15</v>
      </c>
      <c r="J45" s="78" t="s">
        <v>260</v>
      </c>
      <c r="K45" s="78" t="s">
        <v>111</v>
      </c>
      <c r="L45">
        <v>15000</v>
      </c>
      <c r="M45">
        <v>1</v>
      </c>
      <c r="N45">
        <v>1.6E-2</v>
      </c>
      <c r="O45">
        <v>90000</v>
      </c>
      <c r="P45">
        <v>-75000</v>
      </c>
      <c r="Q45" s="79">
        <v>0.14699999999999999</v>
      </c>
      <c r="R45" t="s">
        <v>45</v>
      </c>
    </row>
    <row r="46" spans="1:18">
      <c r="A46" s="70" t="s">
        <v>259</v>
      </c>
      <c r="B46" s="70" t="s">
        <v>115</v>
      </c>
      <c r="C46" s="70" t="s">
        <v>114</v>
      </c>
      <c r="D46" s="153" t="s">
        <v>42</v>
      </c>
      <c r="E46" s="153"/>
      <c r="F46" s="71">
        <v>60000</v>
      </c>
      <c r="G46" s="72" t="s">
        <v>43</v>
      </c>
      <c r="H46" s="73">
        <v>1.4E-2</v>
      </c>
      <c r="I46" s="77">
        <v>0.6</v>
      </c>
      <c r="J46" s="78" t="s">
        <v>260</v>
      </c>
      <c r="K46" s="78" t="s">
        <v>116</v>
      </c>
      <c r="L46">
        <v>15000</v>
      </c>
      <c r="M46">
        <v>4</v>
      </c>
      <c r="N46">
        <v>1.7999999999999999E-2</v>
      </c>
      <c r="O46">
        <v>75000</v>
      </c>
      <c r="P46">
        <v>-15000</v>
      </c>
      <c r="Q46" s="79">
        <v>0.58599999999999997</v>
      </c>
      <c r="R46" t="s">
        <v>45</v>
      </c>
    </row>
    <row r="47" spans="1:18">
      <c r="A47" s="70" t="s">
        <v>259</v>
      </c>
      <c r="B47" s="70" t="s">
        <v>115</v>
      </c>
      <c r="C47" s="70" t="s">
        <v>114</v>
      </c>
      <c r="D47" s="153" t="s">
        <v>42</v>
      </c>
      <c r="E47" s="153"/>
      <c r="F47" s="71">
        <v>15000</v>
      </c>
      <c r="G47" s="72" t="s">
        <v>43</v>
      </c>
      <c r="H47" s="73">
        <v>4.0000000000000001E-3</v>
      </c>
      <c r="I47" s="77">
        <v>0.15</v>
      </c>
      <c r="J47" s="78" t="s">
        <v>260</v>
      </c>
      <c r="K47" s="78" t="s">
        <v>116</v>
      </c>
      <c r="L47">
        <v>15000</v>
      </c>
      <c r="M47">
        <v>1</v>
      </c>
      <c r="N47">
        <v>1.7999999999999999E-2</v>
      </c>
      <c r="O47">
        <v>75000</v>
      </c>
      <c r="P47">
        <v>-60000</v>
      </c>
      <c r="Q47" s="79">
        <v>0.14599999999999999</v>
      </c>
      <c r="R47" t="s">
        <v>45</v>
      </c>
    </row>
    <row r="48" spans="1:18">
      <c r="A48" s="70" t="s">
        <v>261</v>
      </c>
      <c r="B48" s="70" t="s">
        <v>67</v>
      </c>
      <c r="C48" s="70" t="s">
        <v>119</v>
      </c>
      <c r="D48" s="153" t="s">
        <v>42</v>
      </c>
      <c r="E48" s="153"/>
      <c r="F48" s="71">
        <v>15000</v>
      </c>
      <c r="G48" s="72" t="s">
        <v>43</v>
      </c>
      <c r="H48" s="73">
        <v>3.0000000000000001E-3</v>
      </c>
      <c r="I48" s="77">
        <v>0.15</v>
      </c>
      <c r="J48" s="78" t="s">
        <v>260</v>
      </c>
      <c r="K48" s="78" t="s">
        <v>120</v>
      </c>
      <c r="L48">
        <v>15000</v>
      </c>
      <c r="M48">
        <v>1</v>
      </c>
      <c r="N48">
        <v>6.0000000000000001E-3</v>
      </c>
      <c r="O48">
        <v>30000</v>
      </c>
      <c r="P48">
        <v>-15000</v>
      </c>
      <c r="Q48" s="79">
        <v>0.14699999999999999</v>
      </c>
      <c r="R48" t="s">
        <v>45</v>
      </c>
    </row>
    <row r="49" spans="1:18">
      <c r="A49" s="70" t="s">
        <v>261</v>
      </c>
      <c r="B49" s="70" t="s">
        <v>51</v>
      </c>
      <c r="C49" s="70" t="s">
        <v>119</v>
      </c>
      <c r="D49" s="153" t="s">
        <v>42</v>
      </c>
      <c r="E49" s="153"/>
      <c r="F49" s="71">
        <v>15000</v>
      </c>
      <c r="G49" s="72" t="s">
        <v>43</v>
      </c>
      <c r="H49" s="73">
        <v>3.0000000000000001E-3</v>
      </c>
      <c r="I49" s="77">
        <v>0.15</v>
      </c>
      <c r="J49" s="78" t="s">
        <v>260</v>
      </c>
      <c r="K49" s="78" t="s">
        <v>120</v>
      </c>
      <c r="L49">
        <v>15000</v>
      </c>
      <c r="M49">
        <v>1</v>
      </c>
      <c r="N49">
        <v>6.0000000000000001E-3</v>
      </c>
      <c r="O49">
        <v>30000</v>
      </c>
      <c r="P49">
        <v>-15000</v>
      </c>
      <c r="Q49" s="79">
        <v>0.14699999999999999</v>
      </c>
      <c r="R49" t="s">
        <v>45</v>
      </c>
    </row>
    <row r="50" spans="1:18">
      <c r="A50" s="70" t="s">
        <v>261</v>
      </c>
      <c r="B50" s="70" t="s">
        <v>89</v>
      </c>
      <c r="C50" s="70" t="s">
        <v>123</v>
      </c>
      <c r="D50" s="153" t="s">
        <v>42</v>
      </c>
      <c r="E50" s="153"/>
      <c r="F50" s="71">
        <v>15000</v>
      </c>
      <c r="G50" s="72" t="s">
        <v>43</v>
      </c>
      <c r="H50" s="73">
        <v>3.0000000000000001E-3</v>
      </c>
      <c r="I50" s="77">
        <v>0.15</v>
      </c>
      <c r="J50" s="78" t="s">
        <v>260</v>
      </c>
      <c r="K50" s="78" t="s">
        <v>124</v>
      </c>
      <c r="L50">
        <v>15000</v>
      </c>
      <c r="M50">
        <v>1</v>
      </c>
      <c r="N50">
        <v>1.0999999999999999E-2</v>
      </c>
      <c r="O50">
        <v>60000</v>
      </c>
      <c r="P50">
        <v>-45000</v>
      </c>
      <c r="Q50" s="79">
        <v>0.14699999999999999</v>
      </c>
      <c r="R50" t="s">
        <v>45</v>
      </c>
    </row>
    <row r="51" spans="1:18">
      <c r="A51" s="70" t="s">
        <v>261</v>
      </c>
      <c r="B51" s="70" t="s">
        <v>115</v>
      </c>
      <c r="C51" s="70" t="s">
        <v>123</v>
      </c>
      <c r="D51" s="153" t="s">
        <v>42</v>
      </c>
      <c r="E51" s="153"/>
      <c r="F51" s="71">
        <v>45000</v>
      </c>
      <c r="G51" s="72" t="s">
        <v>43</v>
      </c>
      <c r="H51" s="73">
        <v>8.0000000000000002E-3</v>
      </c>
      <c r="I51" s="77">
        <v>0.45</v>
      </c>
      <c r="J51" s="78" t="s">
        <v>260</v>
      </c>
      <c r="K51" s="78" t="s">
        <v>124</v>
      </c>
      <c r="L51">
        <v>15000</v>
      </c>
      <c r="M51">
        <v>3</v>
      </c>
      <c r="N51">
        <v>1.0999999999999999E-2</v>
      </c>
      <c r="O51">
        <v>60000</v>
      </c>
      <c r="P51">
        <v>-15000</v>
      </c>
      <c r="Q51" s="79">
        <v>0.442</v>
      </c>
      <c r="R51" t="s">
        <v>45</v>
      </c>
    </row>
    <row r="52" spans="1:18">
      <c r="A52" s="70" t="s">
        <v>261</v>
      </c>
      <c r="B52" s="70" t="s">
        <v>77</v>
      </c>
      <c r="C52" s="70" t="s">
        <v>127</v>
      </c>
      <c r="D52" s="153" t="s">
        <v>42</v>
      </c>
      <c r="E52" s="153"/>
      <c r="F52" s="71">
        <v>15000</v>
      </c>
      <c r="G52" s="72" t="s">
        <v>43</v>
      </c>
      <c r="H52" s="73">
        <v>3.0000000000000001E-3</v>
      </c>
      <c r="I52" s="77">
        <v>0.15</v>
      </c>
      <c r="J52" s="78" t="s">
        <v>260</v>
      </c>
      <c r="K52" s="78" t="s">
        <v>128</v>
      </c>
      <c r="L52">
        <v>15000</v>
      </c>
      <c r="M52">
        <v>1</v>
      </c>
      <c r="N52">
        <v>3.0000000000000001E-3</v>
      </c>
      <c r="O52">
        <v>15000</v>
      </c>
      <c r="P52">
        <v>0</v>
      </c>
      <c r="Q52" s="79">
        <v>0.14699999999999999</v>
      </c>
      <c r="R52" t="s">
        <v>45</v>
      </c>
    </row>
    <row r="53" spans="1:18">
      <c r="A53" s="70" t="s">
        <v>261</v>
      </c>
      <c r="B53" s="70" t="s">
        <v>51</v>
      </c>
      <c r="C53" s="70" t="s">
        <v>130</v>
      </c>
      <c r="D53" s="153" t="s">
        <v>42</v>
      </c>
      <c r="E53" s="153"/>
      <c r="F53" s="71">
        <v>15000</v>
      </c>
      <c r="G53" s="72" t="s">
        <v>43</v>
      </c>
      <c r="H53" s="73">
        <v>3.0000000000000001E-3</v>
      </c>
      <c r="I53" s="77">
        <v>0.15</v>
      </c>
      <c r="J53" s="78" t="s">
        <v>260</v>
      </c>
      <c r="K53" s="78" t="s">
        <v>131</v>
      </c>
      <c r="L53">
        <v>15000</v>
      </c>
      <c r="M53">
        <v>1</v>
      </c>
      <c r="N53">
        <v>5.0000000000000001E-3</v>
      </c>
      <c r="O53">
        <v>30000</v>
      </c>
      <c r="P53">
        <v>-15000</v>
      </c>
      <c r="Q53" s="79">
        <v>0.14699999999999999</v>
      </c>
      <c r="R53" t="s">
        <v>45</v>
      </c>
    </row>
    <row r="54" spans="1:18">
      <c r="A54" s="70" t="s">
        <v>261</v>
      </c>
      <c r="B54" s="70" t="s">
        <v>133</v>
      </c>
      <c r="C54" s="70" t="s">
        <v>130</v>
      </c>
      <c r="D54" s="153" t="s">
        <v>42</v>
      </c>
      <c r="E54" s="153"/>
      <c r="F54" s="71">
        <v>15000</v>
      </c>
      <c r="G54" s="72" t="s">
        <v>43</v>
      </c>
      <c r="H54" s="73">
        <v>2E-3</v>
      </c>
      <c r="I54" s="77">
        <v>0.15</v>
      </c>
      <c r="J54" s="78" t="s">
        <v>260</v>
      </c>
      <c r="K54" s="78" t="s">
        <v>131</v>
      </c>
      <c r="L54">
        <v>15000</v>
      </c>
      <c r="M54">
        <v>1</v>
      </c>
      <c r="N54">
        <v>5.0000000000000001E-3</v>
      </c>
      <c r="O54">
        <v>30000</v>
      </c>
      <c r="P54">
        <v>-15000</v>
      </c>
      <c r="Q54" s="79">
        <v>0.14799999999999999</v>
      </c>
      <c r="R54" t="s">
        <v>45</v>
      </c>
    </row>
    <row r="55" spans="1:18">
      <c r="A55" s="70" t="s">
        <v>261</v>
      </c>
      <c r="B55" s="70" t="s">
        <v>136</v>
      </c>
      <c r="C55" s="70" t="s">
        <v>135</v>
      </c>
      <c r="D55" s="153" t="s">
        <v>42</v>
      </c>
      <c r="E55" s="153"/>
      <c r="F55" s="71">
        <v>15000</v>
      </c>
      <c r="G55" s="72" t="s">
        <v>43</v>
      </c>
      <c r="H55" s="73">
        <v>3.0000000000000001E-3</v>
      </c>
      <c r="I55" s="77">
        <v>0.15</v>
      </c>
      <c r="J55" s="78" t="s">
        <v>260</v>
      </c>
      <c r="K55" s="78" t="s">
        <v>137</v>
      </c>
      <c r="L55">
        <v>15000</v>
      </c>
      <c r="M55">
        <v>1</v>
      </c>
      <c r="N55">
        <v>8.9999999999999993E-3</v>
      </c>
      <c r="O55">
        <v>45000</v>
      </c>
      <c r="P55">
        <v>-30000</v>
      </c>
      <c r="Q55" s="79">
        <v>0.14699999999999999</v>
      </c>
      <c r="R55" t="s">
        <v>45</v>
      </c>
    </row>
    <row r="56" spans="1:18">
      <c r="A56" s="70" t="s">
        <v>261</v>
      </c>
      <c r="B56" s="70" t="s">
        <v>136</v>
      </c>
      <c r="C56" s="70" t="s">
        <v>135</v>
      </c>
      <c r="D56" s="153" t="s">
        <v>42</v>
      </c>
      <c r="E56" s="153"/>
      <c r="F56" s="71">
        <v>15000</v>
      </c>
      <c r="G56" s="72" t="s">
        <v>43</v>
      </c>
      <c r="H56" s="73">
        <v>3.0000000000000001E-3</v>
      </c>
      <c r="I56" s="77">
        <v>0.15</v>
      </c>
      <c r="J56" s="78" t="s">
        <v>260</v>
      </c>
      <c r="K56" s="78" t="s">
        <v>137</v>
      </c>
      <c r="L56">
        <v>15000</v>
      </c>
      <c r="M56">
        <v>1</v>
      </c>
      <c r="N56">
        <v>8.9999999999999993E-3</v>
      </c>
      <c r="O56">
        <v>45000</v>
      </c>
      <c r="P56">
        <v>-30000</v>
      </c>
      <c r="Q56" s="79">
        <v>0.14699999999999999</v>
      </c>
      <c r="R56" t="s">
        <v>45</v>
      </c>
    </row>
    <row r="57" spans="1:18">
      <c r="A57" s="70" t="s">
        <v>261</v>
      </c>
      <c r="B57" s="70" t="s">
        <v>140</v>
      </c>
      <c r="C57" s="70" t="s">
        <v>135</v>
      </c>
      <c r="D57" s="153" t="s">
        <v>42</v>
      </c>
      <c r="E57" s="153"/>
      <c r="F57" s="71">
        <v>15000</v>
      </c>
      <c r="G57" s="72" t="s">
        <v>43</v>
      </c>
      <c r="H57" s="73">
        <v>3.0000000000000001E-3</v>
      </c>
      <c r="I57" s="77">
        <v>0.15</v>
      </c>
      <c r="J57" s="78" t="s">
        <v>260</v>
      </c>
      <c r="K57" s="78" t="s">
        <v>137</v>
      </c>
      <c r="L57">
        <v>15000</v>
      </c>
      <c r="M57">
        <v>1</v>
      </c>
      <c r="N57">
        <v>8.9999999999999993E-3</v>
      </c>
      <c r="O57">
        <v>45000</v>
      </c>
      <c r="P57">
        <v>-30000</v>
      </c>
      <c r="Q57" s="79">
        <v>0.14699999999999999</v>
      </c>
      <c r="R57" t="s">
        <v>45</v>
      </c>
    </row>
    <row r="58" spans="1:18">
      <c r="A58" s="70" t="s">
        <v>261</v>
      </c>
      <c r="B58" s="70" t="s">
        <v>143</v>
      </c>
      <c r="C58" s="70" t="s">
        <v>142</v>
      </c>
      <c r="D58" s="153" t="s">
        <v>42</v>
      </c>
      <c r="E58" s="153"/>
      <c r="F58" s="71">
        <v>15000</v>
      </c>
      <c r="G58" s="72" t="s">
        <v>43</v>
      </c>
      <c r="H58" s="73">
        <v>1E-3</v>
      </c>
      <c r="I58" s="77">
        <v>0.15</v>
      </c>
      <c r="J58" s="78" t="s">
        <v>260</v>
      </c>
      <c r="K58" s="78" t="s">
        <v>144</v>
      </c>
      <c r="L58">
        <v>15000</v>
      </c>
      <c r="M58">
        <v>1</v>
      </c>
      <c r="N58">
        <v>1E-3</v>
      </c>
      <c r="O58">
        <v>15000</v>
      </c>
      <c r="P58">
        <v>0</v>
      </c>
      <c r="Q58" s="79">
        <v>0.14899999999999999</v>
      </c>
      <c r="R58" t="s">
        <v>45</v>
      </c>
    </row>
    <row r="59" spans="1:18">
      <c r="A59" s="70" t="s">
        <v>261</v>
      </c>
      <c r="B59" s="70" t="s">
        <v>84</v>
      </c>
      <c r="C59" s="70" t="s">
        <v>146</v>
      </c>
      <c r="D59" s="153" t="s">
        <v>42</v>
      </c>
      <c r="E59" s="153"/>
      <c r="F59" s="71">
        <v>15000</v>
      </c>
      <c r="G59" s="72" t="s">
        <v>43</v>
      </c>
      <c r="H59" s="73">
        <v>2E-3</v>
      </c>
      <c r="I59" s="77">
        <v>0.15</v>
      </c>
      <c r="J59" s="78" t="s">
        <v>260</v>
      </c>
      <c r="K59" s="78" t="s">
        <v>147</v>
      </c>
      <c r="L59">
        <v>15000</v>
      </c>
      <c r="M59">
        <v>1</v>
      </c>
      <c r="N59">
        <v>2E-3</v>
      </c>
      <c r="O59">
        <v>15000</v>
      </c>
      <c r="P59">
        <v>0</v>
      </c>
      <c r="Q59" s="79">
        <v>0.14799999999999999</v>
      </c>
      <c r="R59" t="s">
        <v>45</v>
      </c>
    </row>
    <row r="60" spans="1:18">
      <c r="A60" s="70" t="s">
        <v>261</v>
      </c>
      <c r="B60" s="70" t="s">
        <v>51</v>
      </c>
      <c r="C60" s="70" t="s">
        <v>149</v>
      </c>
      <c r="D60" s="153" t="s">
        <v>42</v>
      </c>
      <c r="E60" s="153"/>
      <c r="F60" s="71">
        <v>30000</v>
      </c>
      <c r="G60" s="72" t="s">
        <v>43</v>
      </c>
      <c r="H60" s="73">
        <v>5.0000000000000001E-3</v>
      </c>
      <c r="I60" s="77">
        <v>0.3</v>
      </c>
      <c r="J60" s="78" t="s">
        <v>260</v>
      </c>
      <c r="K60" s="78" t="s">
        <v>150</v>
      </c>
      <c r="L60">
        <v>15000</v>
      </c>
      <c r="M60">
        <v>2</v>
      </c>
      <c r="N60">
        <v>7.0000000000000001E-3</v>
      </c>
      <c r="O60">
        <v>45000</v>
      </c>
      <c r="P60">
        <v>-15000</v>
      </c>
      <c r="Q60" s="79">
        <v>0.29499999999999998</v>
      </c>
      <c r="R60" t="s">
        <v>45</v>
      </c>
    </row>
    <row r="61" spans="1:18">
      <c r="A61" s="70" t="s">
        <v>261</v>
      </c>
      <c r="B61" s="70" t="s">
        <v>133</v>
      </c>
      <c r="C61" s="70" t="s">
        <v>149</v>
      </c>
      <c r="D61" s="153" t="s">
        <v>42</v>
      </c>
      <c r="E61" s="153"/>
      <c r="F61" s="71">
        <v>15000</v>
      </c>
      <c r="G61" s="72" t="s">
        <v>43</v>
      </c>
      <c r="H61" s="73">
        <v>2E-3</v>
      </c>
      <c r="I61" s="77">
        <v>0.15</v>
      </c>
      <c r="J61" s="78" t="s">
        <v>260</v>
      </c>
      <c r="K61" s="78" t="s">
        <v>150</v>
      </c>
      <c r="L61">
        <v>15000</v>
      </c>
      <c r="M61">
        <v>1</v>
      </c>
      <c r="N61">
        <v>7.0000000000000001E-3</v>
      </c>
      <c r="O61">
        <v>45000</v>
      </c>
      <c r="P61">
        <v>-30000</v>
      </c>
      <c r="Q61" s="79">
        <v>0.14799999999999999</v>
      </c>
      <c r="R61" t="s">
        <v>45</v>
      </c>
    </row>
    <row r="62" spans="1:18">
      <c r="A62" s="70" t="s">
        <v>261</v>
      </c>
      <c r="B62" s="70" t="s">
        <v>133</v>
      </c>
      <c r="C62" s="70" t="s">
        <v>153</v>
      </c>
      <c r="D62" s="153" t="s">
        <v>42</v>
      </c>
      <c r="E62" s="153"/>
      <c r="F62" s="71">
        <v>15000</v>
      </c>
      <c r="G62" s="72" t="s">
        <v>43</v>
      </c>
      <c r="H62" s="73">
        <v>3.0000000000000001E-3</v>
      </c>
      <c r="I62" s="77">
        <v>0.15</v>
      </c>
      <c r="J62" s="78" t="s">
        <v>260</v>
      </c>
      <c r="K62" s="78" t="s">
        <v>154</v>
      </c>
      <c r="L62">
        <v>15000</v>
      </c>
      <c r="M62">
        <v>1</v>
      </c>
      <c r="N62">
        <v>3.0000000000000001E-3</v>
      </c>
      <c r="O62">
        <v>15000</v>
      </c>
      <c r="P62">
        <v>0</v>
      </c>
      <c r="Q62" s="79">
        <v>0.14699999999999999</v>
      </c>
      <c r="R62" t="s">
        <v>45</v>
      </c>
    </row>
    <row r="63" spans="1:18">
      <c r="A63" s="70" t="s">
        <v>261</v>
      </c>
      <c r="B63" s="70" t="s">
        <v>115</v>
      </c>
      <c r="C63" s="70" t="s">
        <v>156</v>
      </c>
      <c r="D63" s="153" t="s">
        <v>42</v>
      </c>
      <c r="E63" s="153"/>
      <c r="F63" s="71">
        <v>30000</v>
      </c>
      <c r="G63" s="72" t="s">
        <v>43</v>
      </c>
      <c r="H63" s="73">
        <v>6.0000000000000001E-3</v>
      </c>
      <c r="I63" s="77">
        <v>0.3</v>
      </c>
      <c r="J63" s="78" t="s">
        <v>260</v>
      </c>
      <c r="K63" s="78" t="s">
        <v>157</v>
      </c>
      <c r="L63">
        <v>15000</v>
      </c>
      <c r="M63">
        <v>2</v>
      </c>
      <c r="N63">
        <v>6.0000000000000001E-3</v>
      </c>
      <c r="O63">
        <v>30000</v>
      </c>
      <c r="P63">
        <v>0</v>
      </c>
      <c r="Q63" s="79">
        <v>0.29399999999999998</v>
      </c>
      <c r="R63" t="s">
        <v>45</v>
      </c>
    </row>
    <row r="64" spans="1:18">
      <c r="A64" s="70" t="s">
        <v>261</v>
      </c>
      <c r="B64" s="70" t="s">
        <v>160</v>
      </c>
      <c r="C64" s="70" t="s">
        <v>159</v>
      </c>
      <c r="D64" s="153" t="s">
        <v>42</v>
      </c>
      <c r="E64" s="153"/>
      <c r="F64" s="71">
        <v>15000</v>
      </c>
      <c r="G64" s="72" t="s">
        <v>43</v>
      </c>
      <c r="H64" s="73">
        <v>3.0000000000000001E-3</v>
      </c>
      <c r="I64" s="77">
        <v>0.15</v>
      </c>
      <c r="J64" s="78" t="s">
        <v>260</v>
      </c>
      <c r="K64" s="78" t="s">
        <v>161</v>
      </c>
      <c r="L64">
        <v>15000</v>
      </c>
      <c r="M64">
        <v>1</v>
      </c>
      <c r="N64">
        <v>6.0000000000000001E-3</v>
      </c>
      <c r="O64">
        <v>30000</v>
      </c>
      <c r="P64">
        <v>-15000</v>
      </c>
      <c r="Q64" s="79">
        <v>0.14699999999999999</v>
      </c>
      <c r="R64" t="s">
        <v>45</v>
      </c>
    </row>
    <row r="65" spans="1:18">
      <c r="A65" s="70" t="s">
        <v>261</v>
      </c>
      <c r="B65" s="70" t="s">
        <v>65</v>
      </c>
      <c r="C65" s="70" t="s">
        <v>159</v>
      </c>
      <c r="D65" s="153" t="s">
        <v>42</v>
      </c>
      <c r="E65" s="153"/>
      <c r="F65" s="71">
        <v>15000</v>
      </c>
      <c r="G65" s="72" t="s">
        <v>43</v>
      </c>
      <c r="H65" s="73">
        <v>3.0000000000000001E-3</v>
      </c>
      <c r="I65" s="77">
        <v>0.15</v>
      </c>
      <c r="J65" s="78" t="s">
        <v>260</v>
      </c>
      <c r="K65" s="78" t="s">
        <v>161</v>
      </c>
      <c r="L65">
        <v>15000</v>
      </c>
      <c r="M65">
        <v>1</v>
      </c>
      <c r="N65">
        <v>6.0000000000000001E-3</v>
      </c>
      <c r="O65">
        <v>30000</v>
      </c>
      <c r="P65">
        <v>-15000</v>
      </c>
      <c r="Q65" s="79">
        <v>0.14699999999999999</v>
      </c>
      <c r="R65" t="s">
        <v>45</v>
      </c>
    </row>
    <row r="66" spans="1:18">
      <c r="A66" s="70" t="s">
        <v>261</v>
      </c>
      <c r="B66" s="70" t="s">
        <v>165</v>
      </c>
      <c r="C66" s="70" t="s">
        <v>164</v>
      </c>
      <c r="D66" s="153" t="s">
        <v>42</v>
      </c>
      <c r="E66" s="153"/>
      <c r="F66" s="71">
        <v>15000</v>
      </c>
      <c r="G66" s="72" t="s">
        <v>43</v>
      </c>
      <c r="H66" s="73">
        <v>3.0000000000000001E-3</v>
      </c>
      <c r="I66" s="77">
        <v>0.15</v>
      </c>
      <c r="J66" s="78" t="s">
        <v>260</v>
      </c>
      <c r="K66" s="78" t="s">
        <v>166</v>
      </c>
      <c r="L66">
        <v>15000</v>
      </c>
      <c r="M66">
        <v>1</v>
      </c>
      <c r="N66">
        <v>3.0000000000000001E-3</v>
      </c>
      <c r="O66">
        <v>15000</v>
      </c>
      <c r="P66">
        <v>0</v>
      </c>
      <c r="Q66" s="79">
        <v>0.14699999999999999</v>
      </c>
      <c r="R66" t="s">
        <v>45</v>
      </c>
    </row>
    <row r="67" spans="1:18">
      <c r="A67" s="70" t="s">
        <v>261</v>
      </c>
      <c r="B67" s="70" t="s">
        <v>101</v>
      </c>
      <c r="C67" s="70" t="s">
        <v>168</v>
      </c>
      <c r="D67" s="153" t="s">
        <v>42</v>
      </c>
      <c r="E67" s="153"/>
      <c r="F67" s="71">
        <v>15000</v>
      </c>
      <c r="G67" s="72" t="s">
        <v>43</v>
      </c>
      <c r="H67" s="73">
        <v>3.0000000000000001E-3</v>
      </c>
      <c r="I67" s="77">
        <v>0.15</v>
      </c>
      <c r="J67" s="78" t="s">
        <v>260</v>
      </c>
      <c r="K67" s="78" t="s">
        <v>169</v>
      </c>
      <c r="L67">
        <v>15000</v>
      </c>
      <c r="M67">
        <v>1</v>
      </c>
      <c r="N67">
        <v>6.0000000000000001E-3</v>
      </c>
      <c r="O67">
        <v>30000</v>
      </c>
      <c r="P67">
        <v>-15000</v>
      </c>
      <c r="Q67" s="79">
        <v>0.14699999999999999</v>
      </c>
      <c r="R67" t="s">
        <v>45</v>
      </c>
    </row>
    <row r="68" spans="1:18">
      <c r="A68" s="70" t="s">
        <v>261</v>
      </c>
      <c r="B68" s="70" t="s">
        <v>171</v>
      </c>
      <c r="C68" s="70" t="s">
        <v>168</v>
      </c>
      <c r="D68" s="153" t="s">
        <v>42</v>
      </c>
      <c r="E68" s="153"/>
      <c r="F68" s="71">
        <v>15000</v>
      </c>
      <c r="G68" s="72" t="s">
        <v>43</v>
      </c>
      <c r="H68" s="73">
        <v>3.0000000000000001E-3</v>
      </c>
      <c r="I68" s="77">
        <v>0.15</v>
      </c>
      <c r="J68" s="78" t="s">
        <v>260</v>
      </c>
      <c r="K68" s="78" t="s">
        <v>169</v>
      </c>
      <c r="L68">
        <v>15000</v>
      </c>
      <c r="M68">
        <v>1</v>
      </c>
      <c r="N68">
        <v>6.0000000000000001E-3</v>
      </c>
      <c r="O68">
        <v>30000</v>
      </c>
      <c r="P68">
        <v>-15000</v>
      </c>
      <c r="Q68" s="79">
        <v>0.14699999999999999</v>
      </c>
      <c r="R68" t="s">
        <v>45</v>
      </c>
    </row>
    <row r="69" spans="1:18">
      <c r="A69" s="70" t="s">
        <v>261</v>
      </c>
      <c r="B69" s="70" t="s">
        <v>174</v>
      </c>
      <c r="C69" s="70" t="s">
        <v>173</v>
      </c>
      <c r="D69" s="153" t="s">
        <v>42</v>
      </c>
      <c r="E69" s="153"/>
      <c r="F69" s="71">
        <v>15000</v>
      </c>
      <c r="G69" s="72" t="s">
        <v>43</v>
      </c>
      <c r="H69" s="73">
        <v>3.0000000000000001E-3</v>
      </c>
      <c r="I69" s="77">
        <v>0.15</v>
      </c>
      <c r="J69" s="78" t="s">
        <v>260</v>
      </c>
      <c r="K69" s="78" t="s">
        <v>175</v>
      </c>
      <c r="L69">
        <v>15000</v>
      </c>
      <c r="M69">
        <v>1</v>
      </c>
      <c r="N69">
        <v>3.0000000000000001E-3</v>
      </c>
      <c r="O69">
        <v>15000</v>
      </c>
      <c r="P69">
        <v>0</v>
      </c>
      <c r="Q69" s="79">
        <v>0.14699999999999999</v>
      </c>
      <c r="R69" t="s">
        <v>45</v>
      </c>
    </row>
    <row r="70" spans="1:18">
      <c r="A70" s="70" t="s">
        <v>261</v>
      </c>
      <c r="B70" s="70" t="s">
        <v>178</v>
      </c>
      <c r="C70" s="70" t="s">
        <v>177</v>
      </c>
      <c r="D70" s="153" t="s">
        <v>42</v>
      </c>
      <c r="E70" s="153"/>
      <c r="F70" s="71">
        <v>10000</v>
      </c>
      <c r="G70" s="72" t="s">
        <v>43</v>
      </c>
      <c r="H70" s="73">
        <v>8.9999999999999993E-3</v>
      </c>
      <c r="I70" s="77">
        <v>0.15</v>
      </c>
      <c r="J70" s="78" t="s">
        <v>260</v>
      </c>
      <c r="K70" s="78" t="s">
        <v>179</v>
      </c>
      <c r="L70">
        <v>10000</v>
      </c>
      <c r="M70">
        <v>1</v>
      </c>
      <c r="N70">
        <v>8.9999999999999993E-3</v>
      </c>
      <c r="O70">
        <v>10000</v>
      </c>
      <c r="P70">
        <v>0</v>
      </c>
      <c r="Q70" s="79">
        <v>0.14099999999999999</v>
      </c>
      <c r="R70" t="s">
        <v>45</v>
      </c>
    </row>
    <row r="71" spans="1:18">
      <c r="A71" s="70" t="s">
        <v>261</v>
      </c>
      <c r="B71" s="70" t="s">
        <v>178</v>
      </c>
      <c r="C71" s="70" t="s">
        <v>181</v>
      </c>
      <c r="D71" s="153" t="s">
        <v>42</v>
      </c>
      <c r="E71" s="153"/>
      <c r="F71" s="71">
        <v>10000</v>
      </c>
      <c r="G71" s="72" t="s">
        <v>43</v>
      </c>
      <c r="H71" s="73">
        <v>8.0000000000000002E-3</v>
      </c>
      <c r="I71" s="77">
        <v>0.15</v>
      </c>
      <c r="J71" s="78" t="s">
        <v>260</v>
      </c>
      <c r="K71" s="78" t="s">
        <v>183</v>
      </c>
      <c r="L71">
        <v>10000</v>
      </c>
      <c r="M71">
        <v>1</v>
      </c>
      <c r="N71">
        <v>8.0000000000000002E-3</v>
      </c>
      <c r="O71">
        <v>10000</v>
      </c>
      <c r="P71">
        <v>0</v>
      </c>
      <c r="Q71" s="79">
        <v>0.14199999999999999</v>
      </c>
      <c r="R71" t="s">
        <v>182</v>
      </c>
    </row>
    <row r="72" spans="1:18">
      <c r="A72" s="70" t="s">
        <v>261</v>
      </c>
      <c r="B72" s="70" t="s">
        <v>186</v>
      </c>
      <c r="C72" s="70" t="s">
        <v>185</v>
      </c>
      <c r="D72" s="153" t="s">
        <v>42</v>
      </c>
      <c r="E72" s="153"/>
      <c r="F72" s="71">
        <v>10000</v>
      </c>
      <c r="G72" s="72" t="s">
        <v>43</v>
      </c>
      <c r="H72" s="73">
        <v>8.0000000000000002E-3</v>
      </c>
      <c r="I72" s="77">
        <v>0.15</v>
      </c>
      <c r="J72" s="78" t="s">
        <v>260</v>
      </c>
      <c r="K72" s="78" t="s">
        <v>187</v>
      </c>
      <c r="L72">
        <v>10000</v>
      </c>
      <c r="M72">
        <v>1</v>
      </c>
      <c r="N72">
        <v>1.4999999999999999E-2</v>
      </c>
      <c r="O72">
        <v>20000</v>
      </c>
      <c r="P72">
        <v>-10000</v>
      </c>
      <c r="Q72" s="79">
        <v>0.14199999999999999</v>
      </c>
      <c r="R72" t="s">
        <v>182</v>
      </c>
    </row>
    <row r="73" spans="1:18">
      <c r="A73" s="70" t="s">
        <v>261</v>
      </c>
      <c r="B73" s="70" t="s">
        <v>189</v>
      </c>
      <c r="C73" s="70" t="s">
        <v>185</v>
      </c>
      <c r="D73" s="153" t="s">
        <v>42</v>
      </c>
      <c r="E73" s="153"/>
      <c r="F73" s="71">
        <v>10000</v>
      </c>
      <c r="G73" s="72" t="s">
        <v>43</v>
      </c>
      <c r="H73" s="73">
        <v>7.0000000000000001E-3</v>
      </c>
      <c r="I73" s="77">
        <v>0.15</v>
      </c>
      <c r="J73" s="78" t="s">
        <v>260</v>
      </c>
      <c r="K73" s="78" t="s">
        <v>187</v>
      </c>
      <c r="L73">
        <v>10000</v>
      </c>
      <c r="M73">
        <v>1</v>
      </c>
      <c r="N73">
        <v>1.4999999999999999E-2</v>
      </c>
      <c r="O73">
        <v>20000</v>
      </c>
      <c r="P73">
        <v>-10000</v>
      </c>
      <c r="Q73" s="79">
        <v>0.14299999999999999</v>
      </c>
      <c r="R73" t="s">
        <v>182</v>
      </c>
    </row>
    <row r="74" spans="1:18">
      <c r="A74" s="70" t="s">
        <v>261</v>
      </c>
      <c r="B74" s="70" t="s">
        <v>77</v>
      </c>
      <c r="C74" s="70" t="s">
        <v>191</v>
      </c>
      <c r="D74" s="153" t="s">
        <v>42</v>
      </c>
      <c r="E74" s="153"/>
      <c r="F74" s="71">
        <v>10000</v>
      </c>
      <c r="G74" s="72" t="s">
        <v>43</v>
      </c>
      <c r="H74" s="73">
        <v>8.0000000000000002E-3</v>
      </c>
      <c r="I74" s="77">
        <v>0.15</v>
      </c>
      <c r="J74" s="78" t="s">
        <v>260</v>
      </c>
      <c r="K74" s="78" t="s">
        <v>192</v>
      </c>
      <c r="L74">
        <v>10000</v>
      </c>
      <c r="M74">
        <v>1</v>
      </c>
      <c r="N74">
        <v>8.0000000000000002E-3</v>
      </c>
      <c r="O74">
        <v>10000</v>
      </c>
      <c r="P74">
        <v>0</v>
      </c>
      <c r="Q74" s="79">
        <v>0.14199999999999999</v>
      </c>
      <c r="R74" t="s">
        <v>182</v>
      </c>
    </row>
    <row r="75" spans="1:18" ht="26.4">
      <c r="A75" s="70" t="s">
        <v>261</v>
      </c>
      <c r="B75" s="70" t="s">
        <v>195</v>
      </c>
      <c r="C75" s="70" t="s">
        <v>194</v>
      </c>
      <c r="D75" s="153" t="s">
        <v>196</v>
      </c>
      <c r="E75" s="153"/>
      <c r="F75" s="71">
        <v>16000</v>
      </c>
      <c r="G75" s="72" t="s">
        <v>43</v>
      </c>
      <c r="H75" s="73">
        <v>7.6999999999999999E-2</v>
      </c>
      <c r="I75" s="77">
        <v>0.6</v>
      </c>
      <c r="J75" s="78" t="s">
        <v>260</v>
      </c>
      <c r="K75" s="78" t="s">
        <v>197</v>
      </c>
      <c r="L75">
        <v>4000</v>
      </c>
      <c r="M75">
        <v>4</v>
      </c>
      <c r="N75">
        <v>7.6999999999999999E-2</v>
      </c>
      <c r="O75">
        <v>16000</v>
      </c>
      <c r="P75">
        <v>0</v>
      </c>
      <c r="Q75" s="79">
        <v>0.52300000000000002</v>
      </c>
      <c r="R75" t="s">
        <v>45</v>
      </c>
    </row>
    <row r="76" spans="1:18" ht="26.4">
      <c r="A76" s="70" t="s">
        <v>261</v>
      </c>
      <c r="B76" s="70" t="s">
        <v>200</v>
      </c>
      <c r="C76" s="70" t="s">
        <v>199</v>
      </c>
      <c r="D76" s="153" t="s">
        <v>196</v>
      </c>
      <c r="E76" s="153"/>
      <c r="F76" s="71">
        <v>15000</v>
      </c>
      <c r="G76" s="72" t="s">
        <v>43</v>
      </c>
      <c r="H76" s="73">
        <v>5.0000000000000001E-3</v>
      </c>
      <c r="I76" s="77">
        <v>0.15</v>
      </c>
      <c r="J76" s="78" t="s">
        <v>260</v>
      </c>
      <c r="K76" s="78" t="s">
        <v>201</v>
      </c>
      <c r="L76">
        <v>15000</v>
      </c>
      <c r="M76">
        <v>1</v>
      </c>
      <c r="N76">
        <v>5.0000000000000001E-3</v>
      </c>
      <c r="O76">
        <v>15000</v>
      </c>
      <c r="P76">
        <v>0</v>
      </c>
      <c r="Q76" s="79">
        <v>0.14499999999999999</v>
      </c>
      <c r="R76" t="s">
        <v>45</v>
      </c>
    </row>
    <row r="77" spans="1:18" ht="26.4">
      <c r="A77" s="70" t="s">
        <v>261</v>
      </c>
      <c r="B77" s="70" t="s">
        <v>200</v>
      </c>
      <c r="C77" s="70" t="s">
        <v>203</v>
      </c>
      <c r="D77" s="153" t="s">
        <v>196</v>
      </c>
      <c r="E77" s="153"/>
      <c r="F77" s="71">
        <v>15000</v>
      </c>
      <c r="G77" s="72" t="s">
        <v>43</v>
      </c>
      <c r="H77" s="73">
        <v>5.0000000000000001E-3</v>
      </c>
      <c r="I77" s="77">
        <v>0.15</v>
      </c>
      <c r="J77" s="78" t="s">
        <v>260</v>
      </c>
      <c r="K77" s="78" t="s">
        <v>204</v>
      </c>
      <c r="L77">
        <v>15000</v>
      </c>
      <c r="M77">
        <v>1</v>
      </c>
      <c r="N77">
        <v>5.0000000000000001E-3</v>
      </c>
      <c r="O77">
        <v>15000</v>
      </c>
      <c r="P77">
        <v>0</v>
      </c>
      <c r="Q77" s="79">
        <v>0.14499999999999999</v>
      </c>
      <c r="R77" t="s">
        <v>45</v>
      </c>
    </row>
    <row r="78" spans="1:18" ht="26.4">
      <c r="A78" s="70" t="s">
        <v>261</v>
      </c>
      <c r="B78" s="70" t="s">
        <v>207</v>
      </c>
      <c r="C78" s="70" t="s">
        <v>206</v>
      </c>
      <c r="D78" s="153" t="s">
        <v>196</v>
      </c>
      <c r="E78" s="153"/>
      <c r="F78" s="71">
        <v>8000</v>
      </c>
      <c r="G78" s="72" t="s">
        <v>43</v>
      </c>
      <c r="H78" s="73">
        <v>2.4E-2</v>
      </c>
      <c r="I78" s="77">
        <v>0.3</v>
      </c>
      <c r="J78" s="78" t="s">
        <v>260</v>
      </c>
      <c r="K78" s="78" t="s">
        <v>208</v>
      </c>
      <c r="L78">
        <v>4000</v>
      </c>
      <c r="M78">
        <v>2</v>
      </c>
      <c r="N78">
        <v>2.4E-2</v>
      </c>
      <c r="O78">
        <v>8000</v>
      </c>
      <c r="P78">
        <v>0</v>
      </c>
      <c r="Q78" s="79">
        <v>0.27600000000000002</v>
      </c>
      <c r="R78" t="s">
        <v>45</v>
      </c>
    </row>
    <row r="79" spans="1:18" ht="26.4">
      <c r="A79" s="70" t="s">
        <v>261</v>
      </c>
      <c r="B79" s="70" t="s">
        <v>211</v>
      </c>
      <c r="C79" s="70" t="s">
        <v>210</v>
      </c>
      <c r="D79" s="153" t="s">
        <v>196</v>
      </c>
      <c r="E79" s="153"/>
      <c r="F79" s="71">
        <v>32000</v>
      </c>
      <c r="G79" s="72" t="s">
        <v>43</v>
      </c>
      <c r="H79" s="73">
        <v>0.224</v>
      </c>
      <c r="I79" s="77">
        <v>1.2</v>
      </c>
      <c r="J79" s="78" t="s">
        <v>260</v>
      </c>
      <c r="K79" s="78" t="s">
        <v>212</v>
      </c>
      <c r="L79">
        <v>4000</v>
      </c>
      <c r="M79">
        <v>8</v>
      </c>
      <c r="N79">
        <v>0.36399999999999999</v>
      </c>
      <c r="O79">
        <v>52000</v>
      </c>
      <c r="P79">
        <v>-20000</v>
      </c>
      <c r="Q79" s="79">
        <v>0.97599999999999998</v>
      </c>
      <c r="R79" t="s">
        <v>45</v>
      </c>
    </row>
    <row r="80" spans="1:18" ht="26.4">
      <c r="A80" s="70" t="s">
        <v>261</v>
      </c>
      <c r="B80" s="70" t="s">
        <v>211</v>
      </c>
      <c r="C80" s="70" t="s">
        <v>210</v>
      </c>
      <c r="D80" s="153" t="s">
        <v>196</v>
      </c>
      <c r="E80" s="153"/>
      <c r="F80" s="71">
        <v>8000</v>
      </c>
      <c r="G80" s="72" t="s">
        <v>43</v>
      </c>
      <c r="H80" s="73">
        <v>5.6000000000000001E-2</v>
      </c>
      <c r="I80" s="77">
        <v>0.3</v>
      </c>
      <c r="J80" s="78" t="s">
        <v>260</v>
      </c>
      <c r="K80" s="78" t="s">
        <v>212</v>
      </c>
      <c r="L80">
        <v>4000</v>
      </c>
      <c r="M80">
        <v>2</v>
      </c>
      <c r="N80">
        <v>0.36399999999999999</v>
      </c>
      <c r="O80">
        <v>52000</v>
      </c>
      <c r="P80">
        <v>-44000</v>
      </c>
      <c r="Q80" s="79">
        <v>0.24399999999999999</v>
      </c>
      <c r="R80" t="s">
        <v>45</v>
      </c>
    </row>
    <row r="81" spans="1:18" ht="26.4">
      <c r="A81" s="70" t="s">
        <v>261</v>
      </c>
      <c r="B81" s="70" t="s">
        <v>211</v>
      </c>
      <c r="C81" s="70" t="s">
        <v>210</v>
      </c>
      <c r="D81" s="153" t="s">
        <v>196</v>
      </c>
      <c r="E81" s="153"/>
      <c r="F81" s="71">
        <v>8000</v>
      </c>
      <c r="G81" s="72" t="s">
        <v>43</v>
      </c>
      <c r="H81" s="73">
        <v>5.6000000000000001E-2</v>
      </c>
      <c r="I81" s="77">
        <v>0.3</v>
      </c>
      <c r="J81" s="78" t="s">
        <v>260</v>
      </c>
      <c r="K81" s="78" t="s">
        <v>212</v>
      </c>
      <c r="L81">
        <v>4000</v>
      </c>
      <c r="M81">
        <v>2</v>
      </c>
      <c r="N81">
        <v>0.36399999999999999</v>
      </c>
      <c r="O81">
        <v>52000</v>
      </c>
      <c r="P81">
        <v>-44000</v>
      </c>
      <c r="Q81" s="79">
        <v>0.24399999999999999</v>
      </c>
      <c r="R81" t="s">
        <v>45</v>
      </c>
    </row>
    <row r="82" spans="1:18" ht="26.4">
      <c r="A82" s="70" t="s">
        <v>261</v>
      </c>
      <c r="B82" s="70" t="s">
        <v>216</v>
      </c>
      <c r="C82" s="70" t="s">
        <v>210</v>
      </c>
      <c r="D82" s="153" t="s">
        <v>196</v>
      </c>
      <c r="E82" s="153"/>
      <c r="F82" s="71">
        <v>4000</v>
      </c>
      <c r="G82" s="72" t="s">
        <v>43</v>
      </c>
      <c r="H82" s="73">
        <v>2.8000000000000001E-2</v>
      </c>
      <c r="I82" s="77">
        <v>0.15</v>
      </c>
      <c r="J82" s="78" t="s">
        <v>260</v>
      </c>
      <c r="K82" s="78" t="s">
        <v>212</v>
      </c>
      <c r="L82">
        <v>4000</v>
      </c>
      <c r="M82">
        <v>1</v>
      </c>
      <c r="N82">
        <v>0.36399999999999999</v>
      </c>
      <c r="O82">
        <v>52000</v>
      </c>
      <c r="P82">
        <v>-48000</v>
      </c>
      <c r="Q82" s="79">
        <v>0.122</v>
      </c>
      <c r="R82" t="s">
        <v>45</v>
      </c>
    </row>
    <row r="83" spans="1:18" ht="26.4">
      <c r="A83" s="70" t="s">
        <v>261</v>
      </c>
      <c r="B83" s="70" t="s">
        <v>219</v>
      </c>
      <c r="C83" s="70" t="s">
        <v>218</v>
      </c>
      <c r="D83" s="153" t="s">
        <v>220</v>
      </c>
      <c r="E83" s="153"/>
      <c r="F83" s="71">
        <v>10000</v>
      </c>
      <c r="G83" s="72" t="s">
        <v>43</v>
      </c>
      <c r="H83" s="73">
        <v>8.0000000000000002E-3</v>
      </c>
      <c r="I83" s="77">
        <v>0.15</v>
      </c>
      <c r="J83" s="78" t="s">
        <v>260</v>
      </c>
      <c r="K83" s="78" t="s">
        <v>221</v>
      </c>
      <c r="L83">
        <v>10000</v>
      </c>
      <c r="M83">
        <v>1</v>
      </c>
      <c r="N83">
        <v>8.0000000000000002E-3</v>
      </c>
      <c r="O83">
        <v>10000</v>
      </c>
      <c r="P83">
        <v>0</v>
      </c>
      <c r="Q83" s="79">
        <v>0.14199999999999999</v>
      </c>
      <c r="R83" t="s">
        <v>45</v>
      </c>
    </row>
    <row r="84" spans="1:18" ht="26.4">
      <c r="A84" s="70" t="s">
        <v>261</v>
      </c>
      <c r="B84" s="70" t="s">
        <v>219</v>
      </c>
      <c r="C84" s="70" t="s">
        <v>223</v>
      </c>
      <c r="D84" s="153" t="s">
        <v>220</v>
      </c>
      <c r="E84" s="153"/>
      <c r="F84" s="71">
        <v>10000</v>
      </c>
      <c r="G84" s="72" t="s">
        <v>43</v>
      </c>
      <c r="H84" s="73">
        <v>8.0000000000000002E-3</v>
      </c>
      <c r="I84" s="77">
        <v>0.15</v>
      </c>
      <c r="J84" s="78" t="s">
        <v>260</v>
      </c>
      <c r="K84" s="78" t="s">
        <v>224</v>
      </c>
      <c r="L84">
        <v>10000</v>
      </c>
      <c r="M84">
        <v>1</v>
      </c>
      <c r="N84">
        <v>8.0000000000000002E-3</v>
      </c>
      <c r="O84">
        <v>10000</v>
      </c>
      <c r="P84">
        <v>0</v>
      </c>
      <c r="Q84" s="79">
        <v>0.14199999999999999</v>
      </c>
      <c r="R84" t="s">
        <v>45</v>
      </c>
    </row>
    <row r="85" spans="1:18" ht="26.4">
      <c r="A85" s="70" t="s">
        <v>261</v>
      </c>
      <c r="B85" s="70" t="s">
        <v>227</v>
      </c>
      <c r="C85" s="70" t="s">
        <v>226</v>
      </c>
      <c r="D85" s="153" t="s">
        <v>228</v>
      </c>
      <c r="E85" s="153"/>
      <c r="F85" s="71">
        <v>10000</v>
      </c>
      <c r="G85" s="72" t="s">
        <v>43</v>
      </c>
      <c r="H85" s="73">
        <v>0.51900000000000002</v>
      </c>
      <c r="I85" s="77">
        <v>0.6</v>
      </c>
      <c r="J85" s="78" t="s">
        <v>260</v>
      </c>
      <c r="K85" s="78" t="s">
        <v>229</v>
      </c>
      <c r="L85">
        <v>10000</v>
      </c>
      <c r="M85">
        <v>1</v>
      </c>
      <c r="N85">
        <v>1.038</v>
      </c>
      <c r="O85">
        <v>20000</v>
      </c>
      <c r="P85">
        <v>-10000</v>
      </c>
      <c r="Q85" s="79">
        <v>8.1000000000000003E-2</v>
      </c>
      <c r="R85" t="s">
        <v>45</v>
      </c>
    </row>
    <row r="86" spans="1:18" ht="26.4">
      <c r="A86" s="70" t="s">
        <v>261</v>
      </c>
      <c r="B86" s="70" t="s">
        <v>231</v>
      </c>
      <c r="C86" s="70" t="s">
        <v>226</v>
      </c>
      <c r="D86" s="153" t="s">
        <v>228</v>
      </c>
      <c r="E86" s="153"/>
      <c r="F86" s="71">
        <v>10000</v>
      </c>
      <c r="G86" s="72" t="s">
        <v>43</v>
      </c>
      <c r="H86" s="73">
        <v>0.51900000000000002</v>
      </c>
      <c r="I86" s="77">
        <v>0.6</v>
      </c>
      <c r="J86" s="78" t="s">
        <v>260</v>
      </c>
      <c r="K86" s="78" t="s">
        <v>229</v>
      </c>
      <c r="L86">
        <v>10000</v>
      </c>
      <c r="M86">
        <v>1</v>
      </c>
      <c r="N86">
        <v>1.038</v>
      </c>
      <c r="O86">
        <v>20000</v>
      </c>
      <c r="P86">
        <v>-10000</v>
      </c>
      <c r="Q86" s="79">
        <v>8.1000000000000003E-2</v>
      </c>
      <c r="R86" t="s">
        <v>45</v>
      </c>
    </row>
    <row r="87" spans="1:18" ht="26.4">
      <c r="A87" s="70" t="s">
        <v>261</v>
      </c>
      <c r="B87" s="70" t="s">
        <v>227</v>
      </c>
      <c r="C87" s="70" t="s">
        <v>233</v>
      </c>
      <c r="D87" s="153" t="s">
        <v>228</v>
      </c>
      <c r="E87" s="153"/>
      <c r="F87" s="71">
        <v>10000</v>
      </c>
      <c r="G87" s="72" t="s">
        <v>43</v>
      </c>
      <c r="H87" s="73">
        <v>4.0000000000000001E-3</v>
      </c>
      <c r="I87" s="77">
        <v>0.15</v>
      </c>
      <c r="J87" s="78" t="s">
        <v>260</v>
      </c>
      <c r="K87" s="78" t="s">
        <v>234</v>
      </c>
      <c r="L87">
        <v>10000</v>
      </c>
      <c r="M87">
        <v>1</v>
      </c>
      <c r="N87">
        <v>4.0000000000000001E-3</v>
      </c>
      <c r="O87">
        <v>10000</v>
      </c>
      <c r="P87">
        <v>0</v>
      </c>
      <c r="Q87" s="79">
        <v>0.14599999999999999</v>
      </c>
      <c r="R87" t="s">
        <v>45</v>
      </c>
    </row>
    <row r="88" spans="1:18">
      <c r="A88" s="70" t="s">
        <v>261</v>
      </c>
      <c r="B88" s="70"/>
      <c r="C88" s="70"/>
      <c r="D88" s="154"/>
      <c r="E88" s="155"/>
      <c r="F88" s="71"/>
      <c r="G88" s="72"/>
      <c r="H88" s="77"/>
      <c r="I88" s="77"/>
      <c r="J88" s="78"/>
      <c r="K88" s="78"/>
    </row>
    <row r="89" spans="1:18">
      <c r="A89" s="80"/>
      <c r="B89" s="80"/>
      <c r="C89" s="81"/>
      <c r="D89" s="156"/>
      <c r="E89" s="157"/>
      <c r="F89" s="82"/>
      <c r="G89" s="81"/>
      <c r="H89" s="83"/>
      <c r="I89" s="99"/>
      <c r="J89" s="99"/>
      <c r="K89" s="99"/>
    </row>
    <row r="90" spans="1:18">
      <c r="A90" s="84">
        <v>3</v>
      </c>
      <c r="B90" s="21"/>
      <c r="C90" s="56"/>
      <c r="D90" s="85"/>
      <c r="E90" s="86" t="s">
        <v>262</v>
      </c>
      <c r="F90" s="87">
        <v>1109000</v>
      </c>
      <c r="G90" s="88"/>
      <c r="H90" s="89">
        <v>1.9550000000000001</v>
      </c>
      <c r="I90" s="100">
        <v>15.6</v>
      </c>
      <c r="J90" s="101" t="s">
        <v>263</v>
      </c>
      <c r="K90" s="101"/>
    </row>
    <row r="91" spans="1:18">
      <c r="A91" s="90"/>
      <c r="E91" s="91" t="s">
        <v>264</v>
      </c>
      <c r="F91" s="92" t="s">
        <v>265</v>
      </c>
      <c r="J91" s="102"/>
      <c r="K91" s="102"/>
    </row>
    <row r="92" spans="1:18">
      <c r="A92" s="90"/>
      <c r="E92" s="93" t="s">
        <v>266</v>
      </c>
      <c r="F92" s="94" t="s">
        <v>267</v>
      </c>
      <c r="J92" s="102"/>
      <c r="K92" s="102"/>
    </row>
    <row r="93" spans="1:18">
      <c r="A93" s="90"/>
      <c r="E93" s="93" t="s">
        <v>268</v>
      </c>
      <c r="F93" s="94" t="s">
        <v>269</v>
      </c>
      <c r="J93" s="102"/>
      <c r="K93" s="102"/>
    </row>
    <row r="94" spans="1:18">
      <c r="A94" s="95"/>
      <c r="B94" s="96"/>
      <c r="C94" s="96"/>
      <c r="D94" s="96"/>
      <c r="E94" s="96"/>
      <c r="F94" s="96"/>
      <c r="G94" s="96"/>
      <c r="H94" s="96"/>
      <c r="I94" s="96"/>
      <c r="J94" s="103"/>
      <c r="K94" s="103"/>
    </row>
    <row r="97" spans="1:8" ht="22.2">
      <c r="A97" s="25" t="s">
        <v>236</v>
      </c>
      <c r="B97" s="1"/>
      <c r="C97" s="1"/>
      <c r="D97" s="1"/>
      <c r="E97" s="1"/>
      <c r="F97" s="1"/>
      <c r="G97" s="1"/>
      <c r="H97" s="1"/>
    </row>
    <row r="98" spans="1:8" ht="22.2">
      <c r="A98" s="25" t="s">
        <v>237</v>
      </c>
      <c r="B98" s="1"/>
      <c r="C98" s="1"/>
      <c r="D98" s="1"/>
      <c r="E98" s="1"/>
      <c r="F98" s="1"/>
      <c r="G98" s="1"/>
      <c r="H98" s="1"/>
    </row>
    <row r="99" spans="1:8" ht="22.2">
      <c r="A99" s="25" t="s">
        <v>238</v>
      </c>
      <c r="B99" s="1"/>
      <c r="C99" s="1"/>
      <c r="D99" s="1"/>
      <c r="E99" s="1"/>
      <c r="F99" s="1"/>
      <c r="G99" s="1"/>
      <c r="H99" s="1"/>
    </row>
    <row r="100" spans="1:8" ht="22.2">
      <c r="A100" s="25" t="s">
        <v>239</v>
      </c>
      <c r="B100" s="1"/>
      <c r="C100" s="1"/>
      <c r="D100" s="97" t="s">
        <v>240</v>
      </c>
      <c r="E100" s="98" t="s">
        <v>241</v>
      </c>
      <c r="F100" s="1"/>
      <c r="G100" s="1"/>
      <c r="H100" s="1"/>
    </row>
    <row r="101" spans="1:8" ht="22.2">
      <c r="A101" s="25" t="s">
        <v>242</v>
      </c>
      <c r="B101" s="1"/>
      <c r="C101" s="1"/>
      <c r="D101" s="1"/>
      <c r="E101" s="1"/>
      <c r="F101" s="1"/>
      <c r="G101" s="1"/>
      <c r="H101" s="1"/>
    </row>
    <row r="102" spans="1:8" ht="22.2">
      <c r="A102" s="25" t="s">
        <v>243</v>
      </c>
      <c r="B102" s="1"/>
      <c r="C102" s="1"/>
      <c r="D102" s="1"/>
      <c r="E102" s="1"/>
      <c r="F102" s="1"/>
      <c r="G102" s="1"/>
      <c r="H102" s="1"/>
    </row>
  </sheetData>
  <autoFilter ref="A22:Q88" xr:uid="{00000000-0009-0000-0000-000001000000}"/>
  <mergeCells count="85">
    <mergeCell ref="F21:F22"/>
    <mergeCell ref="G21:G22"/>
    <mergeCell ref="J21:J22"/>
    <mergeCell ref="K21:K22"/>
    <mergeCell ref="D21:E22"/>
    <mergeCell ref="D86:E86"/>
    <mergeCell ref="D87:E87"/>
    <mergeCell ref="D88:E88"/>
    <mergeCell ref="D89:E89"/>
    <mergeCell ref="A21:A22"/>
    <mergeCell ref="B21:B22"/>
    <mergeCell ref="C21:C22"/>
    <mergeCell ref="D81:E81"/>
    <mergeCell ref="D82:E82"/>
    <mergeCell ref="D83:E83"/>
    <mergeCell ref="D84:E84"/>
    <mergeCell ref="D85:E85"/>
    <mergeCell ref="D76:E76"/>
    <mergeCell ref="D77:E77"/>
    <mergeCell ref="D78:E78"/>
    <mergeCell ref="D79:E79"/>
    <mergeCell ref="D80:E80"/>
    <mergeCell ref="D71:E71"/>
    <mergeCell ref="D72:E72"/>
    <mergeCell ref="D73:E73"/>
    <mergeCell ref="D74:E74"/>
    <mergeCell ref="D75:E75"/>
    <mergeCell ref="D66:E66"/>
    <mergeCell ref="D67:E67"/>
    <mergeCell ref="D68:E68"/>
    <mergeCell ref="D69:E69"/>
    <mergeCell ref="D70:E70"/>
    <mergeCell ref="D61:E61"/>
    <mergeCell ref="D62:E62"/>
    <mergeCell ref="D63:E63"/>
    <mergeCell ref="D64:E64"/>
    <mergeCell ref="D65:E65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A20:C20"/>
    <mergeCell ref="D20:E20"/>
    <mergeCell ref="D23:E23"/>
    <mergeCell ref="D24:E24"/>
    <mergeCell ref="D25:E25"/>
    <mergeCell ref="A1:J1"/>
    <mergeCell ref="F16:G16"/>
    <mergeCell ref="F17:G17"/>
    <mergeCell ref="A18:C18"/>
    <mergeCell ref="D18:E18"/>
    <mergeCell ref="F18:G18"/>
    <mergeCell ref="A5:E6"/>
    <mergeCell ref="A10:E11"/>
  </mergeCells>
  <phoneticPr fontId="22" type="noConversion"/>
  <pageMargins left="0.75138888888888899" right="0.75138888888888899" top="0.60555555555555596" bottom="0.60555555555555596" header="0.5" footer="0.5"/>
  <pageSetup paperSize="9" scale="62" fitToHeight="0" orientation="portrait" r:id="rId1"/>
  <headerFooter>
    <oddFooter>&amp;C第 &amp;P 页，共 &amp;N 页</oddFooter>
  </headerFooter>
  <rowBreaks count="1" manualBreakCount="1">
    <brk id="75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INVOICE</vt:lpstr>
      <vt:lpstr>PACKING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Alex Liou</cp:lastModifiedBy>
  <cp:lastPrinted>2025-08-20T19:01:47Z</cp:lastPrinted>
  <dcterms:created xsi:type="dcterms:W3CDTF">2025-07-17T08:11:00Z</dcterms:created>
  <dcterms:modified xsi:type="dcterms:W3CDTF">2025-08-20T19:17:46Z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2052-10.8.2.6837</vt:lpwstr>
  </property>
  <property fmtid="{D5CDD505-2E9C-101B-9397-08002B2CF9AE}" pid="4" name="KSOReadingLayout">
    <vt:bool>true</vt:bool>
  </property>
</Properties>
</file>