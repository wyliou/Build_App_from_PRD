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Y:\peter\中磊蘇州SN\EXCEL\"/>
    </mc:Choice>
  </mc:AlternateContent>
  <xr:revisionPtr revIDLastSave="0" documentId="13_ncr:1_{064A6916-98ED-46E9-9B93-D21C4FE53E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OICE" sheetId="1" r:id="rId1"/>
    <sheet name="PACKING" sheetId="2" r:id="rId2"/>
  </sheets>
  <definedNames>
    <definedName name="_xlnm.Print_Area" localSheetId="0">INVOICE!$A$1:$O$49</definedName>
    <definedName name="_xlnm.Print_Area" localSheetId="1">PACKING!$A$1:$J$42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2" l="1"/>
  <c r="H38" i="2"/>
  <c r="F38" i="2"/>
  <c r="I27" i="1"/>
  <c r="I26" i="1"/>
  <c r="I25" i="1"/>
  <c r="I24" i="1"/>
  <c r="I23" i="1"/>
  <c r="I29" i="1"/>
  <c r="I28" i="1"/>
  <c r="I22" i="1"/>
  <c r="F5" i="2"/>
  <c r="F4" i="2"/>
  <c r="I30" i="1"/>
  <c r="I31" i="1"/>
  <c r="I32" i="1"/>
  <c r="O34" i="1" l="1"/>
  <c r="E34" i="1"/>
  <c r="I21" i="1"/>
  <c r="I34" i="1" l="1"/>
</calcChain>
</file>

<file path=xl/sharedStrings.xml><?xml version="1.0" encoding="utf-8"?>
<sst xmlns="http://schemas.openxmlformats.org/spreadsheetml/2006/main" count="238" uniqueCount="103">
  <si>
    <t>COMMERCIAL INVOICE</t>
  </si>
  <si>
    <t>Shipper/Exporter</t>
  </si>
  <si>
    <t>No. &amp; Date of Invoice</t>
  </si>
  <si>
    <t>Bill To:</t>
  </si>
  <si>
    <t xml:space="preserve"> Payment Term</t>
  </si>
  <si>
    <t>Ship To:</t>
  </si>
  <si>
    <t xml:space="preserve"> Trade Term</t>
  </si>
  <si>
    <t>Port of Loading</t>
  </si>
  <si>
    <t>Port of Discharge</t>
  </si>
  <si>
    <t xml:space="preserve"> Remarks:</t>
  </si>
  <si>
    <t>Carrier</t>
  </si>
  <si>
    <t>Sailing on/or About</t>
  </si>
  <si>
    <t>ITEM</t>
  </si>
  <si>
    <t>Part No.</t>
  </si>
  <si>
    <t>PO No.</t>
  </si>
  <si>
    <t>Description of Goods</t>
  </si>
  <si>
    <t>Quantity</t>
  </si>
  <si>
    <t>Unit</t>
  </si>
  <si>
    <t>Unit Price</t>
  </si>
  <si>
    <t>Amount</t>
  </si>
  <si>
    <t>COO</t>
  </si>
  <si>
    <t>COD</t>
  </si>
  <si>
    <t>品牌</t>
  </si>
  <si>
    <t>品牌类型</t>
  </si>
  <si>
    <t>型号</t>
  </si>
  <si>
    <t>PCS</t>
  </si>
  <si>
    <t>USD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</si>
  <si>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</si>
  <si>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</si>
  <si>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</si>
  <si>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</si>
  <si>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</si>
  <si>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</si>
  <si>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</si>
  <si>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</si>
  <si>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</si>
  <si>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</si>
  <si>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</si>
  <si>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TOTAL</t>
  </si>
  <si>
    <t>件数</t>
  </si>
  <si>
    <t>包装种类</t>
  </si>
  <si>
    <t>托盘材质</t>
  </si>
  <si>
    <t>SERNET(SUZHOU) TECHNOLOGIES CORPORATION</t>
  </si>
  <si>
    <t>NO.8 TANGZHUANG ROAD, SUZHOU INDUSTRIAL PARK, JIANGSU, CHINA</t>
  </si>
  <si>
    <t xml:space="preserve">貿易國: </t>
    <phoneticPr fontId="9" type="noConversion"/>
  </si>
  <si>
    <t>中國臺灣</t>
    <phoneticPr fontId="9" type="noConversion"/>
  </si>
  <si>
    <t>中國</t>
  </si>
  <si>
    <t>Mingtek/敏洲牌</t>
  </si>
  <si>
    <t>境外品牌（其他）</t>
  </si>
  <si>
    <t>Net WT (KGS)</t>
    <phoneticPr fontId="9" type="noConversion"/>
  </si>
  <si>
    <r>
      <t>CIF-</t>
    </r>
    <r>
      <rPr>
        <sz val="12"/>
        <rFont val="細明體"/>
        <family val="2"/>
        <charset val="136"/>
      </rPr>
      <t>物流園</t>
    </r>
    <phoneticPr fontId="9" type="noConversion"/>
  </si>
  <si>
    <t>Bill To:</t>
    <phoneticPr fontId="9" type="noConversion"/>
  </si>
  <si>
    <t>Ship To:</t>
    <phoneticPr fontId="9" type="noConversion"/>
  </si>
  <si>
    <t>35.5*35*25</t>
  </si>
  <si>
    <t>塑膠</t>
    <phoneticPr fontId="9" type="noConversion"/>
  </si>
  <si>
    <t>MINGTEK  Technology  Corp.</t>
    <phoneticPr fontId="9" type="noConversion"/>
  </si>
  <si>
    <r>
      <rPr>
        <sz val="12"/>
        <rFont val="Arial"/>
        <family val="2"/>
        <charset val="134"/>
      </rPr>
      <t>敏洲科技有限公司</t>
    </r>
  </si>
  <si>
    <t>SERNET(SUZHOU) TECHNOLOGIES CORPORATION</t>
    <phoneticPr fontId="9" type="noConversion"/>
  </si>
  <si>
    <t>NO.8 TANGZHUANG ROAD, SUZHOU INDUSTRIAL PARK, JIANGSU, CHINA</t>
    <phoneticPr fontId="9" type="noConversion"/>
  </si>
  <si>
    <t>Currency</t>
    <phoneticPr fontId="9" type="noConversion"/>
  </si>
  <si>
    <t xml:space="preserve">ASN NO :  </t>
    <phoneticPr fontId="28" type="noConversion"/>
  </si>
  <si>
    <t>進境口岸關別代碼: 2358 蘇園保稅</t>
    <phoneticPr fontId="28" type="noConversion"/>
  </si>
  <si>
    <t>申報地口岸關別代碼: 2358 蘇園保稅</t>
    <phoneticPr fontId="28" type="noConversion"/>
  </si>
  <si>
    <t>MINGTEK TECHNOLOGY CORP.</t>
    <phoneticPr fontId="28" type="noConversion"/>
  </si>
  <si>
    <t>Sales Manager</t>
    <phoneticPr fontId="28" type="noConversion"/>
  </si>
  <si>
    <t>貿易國: 中國臺灣</t>
    <phoneticPr fontId="28" type="noConversion"/>
  </si>
  <si>
    <t>原產國: 中國</t>
    <phoneticPr fontId="28" type="noConversion"/>
  </si>
  <si>
    <t>運輸方式: 保稅港區</t>
    <phoneticPr fontId="28" type="noConversion"/>
  </si>
  <si>
    <t>TEL:+86-512-67613993#7588</t>
    <phoneticPr fontId="28" type="noConversion"/>
  </si>
  <si>
    <t>托盘</t>
    <phoneticPr fontId="9" type="noConversion"/>
  </si>
  <si>
    <r>
      <rPr>
        <sz val="12"/>
        <rFont val="細明體"/>
        <family val="3"/>
        <charset val="136"/>
      </rPr>
      <t>報關行名稱及代碼</t>
    </r>
    <r>
      <rPr>
        <sz val="12"/>
        <rFont val="Times New Roman"/>
        <family val="1"/>
      </rPr>
      <t xml:space="preserve">: 3201980175  </t>
    </r>
    <r>
      <rPr>
        <sz val="12"/>
        <rFont val="細明體"/>
        <family val="3"/>
        <charset val="136"/>
      </rPr>
      <t>江蘇眾誠報關代理有限公司</t>
    </r>
    <phoneticPr fontId="28" type="noConversion"/>
  </si>
  <si>
    <r>
      <rPr>
        <sz val="12"/>
        <rFont val="新細明體"/>
        <family val="1"/>
        <charset val="136"/>
      </rPr>
      <t>關聯手冊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帳冊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6"/>
      </rPr>
      <t>編號</t>
    </r>
    <r>
      <rPr>
        <sz val="12"/>
        <rFont val="Times New Roman"/>
        <family val="1"/>
      </rPr>
      <t>: T2358W000197</t>
    </r>
  </si>
  <si>
    <r>
      <rPr>
        <sz val="12"/>
        <rFont val="細明體"/>
        <family val="3"/>
        <charset val="136"/>
      </rPr>
      <t>包裝種類</t>
    </r>
    <r>
      <rPr>
        <sz val="12"/>
        <rFont val="Times New Roman"/>
        <family val="1"/>
      </rPr>
      <t xml:space="preserve">: </t>
    </r>
    <r>
      <rPr>
        <sz val="12"/>
        <rFont val="細明體"/>
        <family val="3"/>
        <charset val="136"/>
      </rPr>
      <t>塑膠託盤</t>
    </r>
    <phoneticPr fontId="28" type="noConversion"/>
  </si>
  <si>
    <r>
      <rPr>
        <sz val="12"/>
        <rFont val="細明體"/>
        <family val="3"/>
        <charset val="136"/>
      </rPr>
      <t>成交方式</t>
    </r>
    <r>
      <rPr>
        <sz val="12"/>
        <rFont val="Times New Roman"/>
        <family val="1"/>
      </rPr>
      <t>: CIF-</t>
    </r>
    <r>
      <rPr>
        <sz val="12"/>
        <rFont val="細明體"/>
        <family val="3"/>
        <charset val="136"/>
      </rPr>
      <t>物流園</t>
    </r>
    <phoneticPr fontId="28" type="noConversion"/>
  </si>
  <si>
    <r>
      <rPr>
        <sz val="12"/>
        <rFont val="細明體"/>
        <family val="3"/>
        <charset val="136"/>
      </rPr>
      <t>交貨地址</t>
    </r>
    <r>
      <rPr>
        <sz val="12"/>
        <rFont val="Times New Roman"/>
        <family val="1"/>
      </rPr>
      <t xml:space="preserve">: </t>
    </r>
    <r>
      <rPr>
        <sz val="12"/>
        <rFont val="細明體"/>
        <family val="3"/>
        <charset val="136"/>
      </rPr>
      <t>蘇州工業園區唐莊路</t>
    </r>
    <r>
      <rPr>
        <sz val="12"/>
        <rFont val="Times New Roman"/>
        <family val="1"/>
      </rPr>
      <t>8</t>
    </r>
    <r>
      <rPr>
        <sz val="12"/>
        <rFont val="細明體"/>
        <family val="3"/>
        <charset val="136"/>
      </rPr>
      <t>號</t>
    </r>
    <r>
      <rPr>
        <sz val="12"/>
        <rFont val="Times New Roman"/>
        <family val="1"/>
      </rPr>
      <t xml:space="preserve">  </t>
    </r>
    <r>
      <rPr>
        <sz val="12"/>
        <rFont val="細明體"/>
        <family val="3"/>
        <charset val="136"/>
      </rPr>
      <t>倉庫收料區</t>
    </r>
    <r>
      <rPr>
        <sz val="12"/>
        <rFont val="Times New Roman"/>
        <family val="1"/>
      </rPr>
      <t xml:space="preserve">  </t>
    </r>
    <r>
      <rPr>
        <sz val="12"/>
        <rFont val="細明體"/>
        <family val="3"/>
        <charset val="136"/>
      </rPr>
      <t>羅豪君</t>
    </r>
    <phoneticPr fontId="28" type="noConversion"/>
  </si>
  <si>
    <t>363000V0MT</t>
  </si>
  <si>
    <t>HN4821CG T/R</t>
  </si>
  <si>
    <t>35.5*35*28</t>
  </si>
  <si>
    <t>35.5*35*8</t>
  </si>
  <si>
    <t>B202508008</t>
    <phoneticPr fontId="9" type="noConversion"/>
  </si>
  <si>
    <t>363002M0MT</t>
  </si>
  <si>
    <t>3630034VMT</t>
  </si>
  <si>
    <t>3630035BMT</t>
  </si>
  <si>
    <t>3630038NMT</t>
  </si>
  <si>
    <t>3630038QMT</t>
  </si>
  <si>
    <t>HN16022CG T/R</t>
  </si>
  <si>
    <t>HN3674CG</t>
  </si>
  <si>
    <t>HN4843CG</t>
  </si>
  <si>
    <t>HNT1060G T/R</t>
  </si>
  <si>
    <t>HN24726CG T/R</t>
  </si>
  <si>
    <t>小容量非液体介质变压器</t>
    <phoneticPr fontId="9" type="noConversion"/>
  </si>
  <si>
    <t>PQDMZ001-USD2025081900001</t>
    <phoneticPr fontId="28" type="noConversion"/>
  </si>
  <si>
    <t>2--4</t>
    <phoneticPr fontId="9" type="noConversion"/>
  </si>
  <si>
    <t>58.2*33.2*9.5</t>
  </si>
  <si>
    <t>56.7*37.2*14.4</t>
  </si>
  <si>
    <t>56*16*8.5</t>
  </si>
  <si>
    <t>6--12</t>
    <phoneticPr fontId="9" type="noConversion"/>
  </si>
  <si>
    <t>58.2*33.2*17.4</t>
  </si>
  <si>
    <t>13--15</t>
  </si>
  <si>
    <t>1.38m³</t>
    <phoneticPr fontId="9" type="noConversion"/>
  </si>
  <si>
    <t>17--29</t>
    <phoneticPr fontId="9" type="noConversion"/>
  </si>
  <si>
    <t>35.5*35*25</t>
    <phoneticPr fontId="9" type="noConversion"/>
  </si>
  <si>
    <t>35.5*35*10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</si>
</sst>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yyyy/m/d;@"/>
    <numFmt numFmtId="177" formatCode="0.00_ "/>
    <numFmt numFmtId="178" formatCode="0.00_);[Red]\(0.00\)"/>
    <numFmt numFmtId="179" formatCode="0_ "/>
    <numFmt numFmtId="180" formatCode="0.000_ "/>
    <numFmt numFmtId="181" formatCode="#,##0.00_ "/>
    <numFmt numFmtId="182" formatCode="0.0000_);[Red]\(0.0000\)"/>
    <numFmt numFmtId="183" formatCode="#,##0_);[Red]\(#,##0\)"/>
    <numFmt numFmtId="184" formatCode="#,##0_ "/>
  </numFmts>
  <fonts count="32">
    <font>
      <sz val="11"/>
      <color theme="1"/>
      <name val="新細明體"/>
      <charset val="134"/>
      <scheme val="minor"/>
    </font>
    <font>
      <b/>
      <sz val="10"/>
      <name val="Arial"/>
      <family val="2"/>
    </font>
    <font>
      <sz val="10"/>
      <color theme="1"/>
      <name val="新細明體"/>
      <family val="1"/>
      <charset val="136"/>
      <scheme val="minor"/>
    </font>
    <font>
      <sz val="10"/>
      <name val="Arial"/>
      <family val="2"/>
    </font>
    <font>
      <b/>
      <sz val="10"/>
      <name val="宋体"/>
      <family val="3"/>
      <charset val="136"/>
    </font>
    <font>
      <b/>
      <sz val="10"/>
      <name val="新細明體"/>
      <family val="1"/>
      <charset val="136"/>
    </font>
    <font>
      <b/>
      <sz val="18"/>
      <name val="Arial"/>
      <family val="2"/>
    </font>
    <font>
      <sz val="12"/>
      <name val="宋体"/>
      <charset val="136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name val="Arial"/>
      <family val="2"/>
      <charset val="134"/>
    </font>
    <font>
      <sz val="12"/>
      <name val="Arial"/>
      <family val="2"/>
    </font>
    <font>
      <sz val="12"/>
      <name val="宋体"/>
      <family val="2"/>
      <charset val="134"/>
    </font>
    <font>
      <b/>
      <sz val="12"/>
      <name val="Arial"/>
      <family val="2"/>
    </font>
    <font>
      <sz val="12"/>
      <name val="微軟正黑體"/>
      <family val="2"/>
      <charset val="136"/>
    </font>
    <font>
      <sz val="10"/>
      <name val="細明體"/>
      <family val="3"/>
      <charset val="136"/>
    </font>
    <font>
      <sz val="12"/>
      <name val="細明體"/>
      <family val="2"/>
      <charset val="136"/>
    </font>
    <font>
      <sz val="12"/>
      <name val="Arial"/>
      <family val="2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rgb="FFFF0000"/>
      <name val="宋体"/>
      <charset val="136"/>
    </font>
    <font>
      <sz val="12"/>
      <name val="微软雅黑"/>
      <family val="2"/>
    </font>
    <font>
      <sz val="12"/>
      <color rgb="FFFF0000"/>
      <name val="Arial"/>
      <family val="2"/>
    </font>
    <font>
      <b/>
      <sz val="12"/>
      <name val="宋体"/>
      <charset val="136"/>
    </font>
    <font>
      <b/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12"/>
      <name val="細明體"/>
      <family val="3"/>
      <charset val="136"/>
    </font>
    <font>
      <u/>
      <sz val="11"/>
      <color theme="10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i/>
      <sz val="12"/>
      <name val="Times New Roman"/>
      <family val="1"/>
    </font>
    <font>
      <sz val="12"/>
      <color rgb="FFFF0000"/>
      <name val="Times New Roman"/>
      <family val="1"/>
    </font>
    <font>
      <sz val="12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18" fillId="0" borderId="0" xfId="5" applyFont="1" applyFill="1" applyAlignment="1" applyProtection="1">
      <alignment horizontal="left"/>
    </xf>
    <xf numFmtId="0" fontId="19" fillId="0" borderId="0" xfId="0" applyFont="1">
      <alignment vertical="center"/>
    </xf>
    <xf numFmtId="0" fontId="13" fillId="0" borderId="6" xfId="2" applyFont="1" applyBorder="1" applyAlignment="1">
      <alignment horizontal="center"/>
    </xf>
    <xf numFmtId="0" fontId="13" fillId="0" borderId="7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0" fontId="13" fillId="0" borderId="3" xfId="2" applyFont="1" applyBorder="1"/>
    <xf numFmtId="0" fontId="20" fillId="0" borderId="5" xfId="1" applyFont="1" applyBorder="1"/>
    <xf numFmtId="0" fontId="8" fillId="0" borderId="5" xfId="0" applyFont="1" applyBorder="1" applyAlignment="1"/>
    <xf numFmtId="0" fontId="18" fillId="0" borderId="3" xfId="0" applyFont="1" applyBorder="1" applyAlignment="1"/>
    <xf numFmtId="0" fontId="11" fillId="0" borderId="0" xfId="1" applyFont="1" applyAlignment="1">
      <alignment horizontal="left"/>
    </xf>
    <xf numFmtId="0" fontId="11" fillId="0" borderId="5" xfId="2" applyFont="1" applyBorder="1"/>
    <xf numFmtId="0" fontId="18" fillId="0" borderId="3" xfId="0" applyFont="1" applyBorder="1" applyAlignment="1">
      <alignment vertical="top"/>
    </xf>
    <xf numFmtId="0" fontId="10" fillId="0" borderId="3" xfId="0" applyFont="1" applyBorder="1" applyAlignment="1"/>
    <xf numFmtId="0" fontId="11" fillId="0" borderId="3" xfId="2" applyFont="1" applyBorder="1"/>
    <xf numFmtId="0" fontId="11" fillId="0" borderId="6" xfId="2" applyFont="1" applyBorder="1" applyAlignment="1">
      <alignment horizontal="left"/>
    </xf>
    <xf numFmtId="0" fontId="11" fillId="0" borderId="7" xfId="2" applyFont="1" applyBorder="1" applyAlignment="1">
      <alignment horizontal="left"/>
    </xf>
    <xf numFmtId="0" fontId="11" fillId="0" borderId="7" xfId="2" applyFont="1" applyBorder="1"/>
    <xf numFmtId="0" fontId="11" fillId="0" borderId="8" xfId="2" applyFont="1" applyBorder="1"/>
    <xf numFmtId="0" fontId="11" fillId="0" borderId="6" xfId="2" applyFont="1" applyBorder="1"/>
    <xf numFmtId="0" fontId="8" fillId="0" borderId="7" xfId="0" applyFont="1" applyBorder="1">
      <alignment vertical="center"/>
    </xf>
    <xf numFmtId="0" fontId="25" fillId="0" borderId="8" xfId="0" applyFont="1" applyBorder="1">
      <alignment vertical="center"/>
    </xf>
    <xf numFmtId="0" fontId="13" fillId="0" borderId="1" xfId="2" applyFont="1" applyBorder="1"/>
    <xf numFmtId="0" fontId="13" fillId="0" borderId="2" xfId="2" applyFont="1" applyBorder="1"/>
    <xf numFmtId="0" fontId="11" fillId="0" borderId="2" xfId="2" applyFont="1" applyBorder="1"/>
    <xf numFmtId="0" fontId="11" fillId="0" borderId="4" xfId="2" applyFont="1" applyBorder="1"/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11" fillId="0" borderId="3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5" xfId="1" applyFont="1" applyBorder="1" applyAlignment="1">
      <alignment horizontal="left"/>
    </xf>
    <xf numFmtId="0" fontId="25" fillId="0" borderId="5" xfId="0" applyFont="1" applyBorder="1">
      <alignment vertical="center"/>
    </xf>
    <xf numFmtId="0" fontId="20" fillId="0" borderId="7" xfId="1" applyFont="1" applyBorder="1"/>
    <xf numFmtId="0" fontId="11" fillId="0" borderId="0" xfId="1" applyFont="1"/>
    <xf numFmtId="0" fontId="8" fillId="0" borderId="2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7" fillId="0" borderId="6" xfId="0" applyFont="1" applyBorder="1" applyAlignment="1"/>
    <xf numFmtId="0" fontId="22" fillId="0" borderId="5" xfId="1" applyFont="1" applyBorder="1" applyAlignment="1">
      <alignment horizontal="right"/>
    </xf>
    <xf numFmtId="0" fontId="1" fillId="0" borderId="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181" fontId="3" fillId="0" borderId="0" xfId="0" applyNumberFormat="1" applyFont="1" applyAlignment="1">
      <alignment horizontal="center" vertical="center" wrapText="1" shrinkToFit="1"/>
    </xf>
    <xf numFmtId="182" fontId="11" fillId="0" borderId="0" xfId="0" applyNumberFormat="1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178" fontId="11" fillId="0" borderId="0" xfId="0" applyNumberFormat="1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0" fontId="19" fillId="0" borderId="8" xfId="0" applyFont="1" applyBorder="1">
      <alignment vertical="center"/>
    </xf>
    <xf numFmtId="0" fontId="11" fillId="0" borderId="12" xfId="2" applyFont="1" applyBorder="1"/>
    <xf numFmtId="0" fontId="11" fillId="0" borderId="13" xfId="2" applyFont="1" applyBorder="1"/>
    <xf numFmtId="179" fontId="13" fillId="0" borderId="13" xfId="2" applyNumberFormat="1" applyFont="1" applyBorder="1" applyAlignment="1">
      <alignment horizontal="center"/>
    </xf>
    <xf numFmtId="0" fontId="13" fillId="0" borderId="13" xfId="2" applyFont="1" applyBorder="1"/>
    <xf numFmtId="182" fontId="13" fillId="0" borderId="13" xfId="2" applyNumberFormat="1" applyFont="1" applyBorder="1" applyAlignment="1">
      <alignment horizontal="center"/>
    </xf>
    <xf numFmtId="178" fontId="13" fillId="0" borderId="13" xfId="2" applyNumberFormat="1" applyFont="1" applyBorder="1" applyAlignment="1">
      <alignment horizontal="center"/>
    </xf>
    <xf numFmtId="0" fontId="24" fillId="0" borderId="13" xfId="0" applyFont="1" applyBorder="1" applyAlignment="1"/>
    <xf numFmtId="0" fontId="18" fillId="0" borderId="14" xfId="0" applyFont="1" applyBorder="1">
      <alignment vertical="center"/>
    </xf>
    <xf numFmtId="0" fontId="18" fillId="0" borderId="0" xfId="0" applyFont="1" applyAlignment="1"/>
    <xf numFmtId="0" fontId="18" fillId="0" borderId="0" xfId="0" applyFont="1" applyAlignment="1">
      <alignment horizontal="left"/>
    </xf>
    <xf numFmtId="183" fontId="18" fillId="0" borderId="0" xfId="0" applyNumberFormat="1" applyFont="1" applyAlignment="1"/>
    <xf numFmtId="182" fontId="18" fillId="0" borderId="0" xfId="0" applyNumberFormat="1" applyFont="1" applyAlignment="1"/>
    <xf numFmtId="181" fontId="18" fillId="0" borderId="0" xfId="0" applyNumberFormat="1" applyFont="1" applyAlignment="1"/>
    <xf numFmtId="177" fontId="29" fillId="0" borderId="0" xfId="0" applyNumberFormat="1" applyFont="1" applyAlignment="1"/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8" fillId="0" borderId="0" xfId="0" applyFont="1">
      <alignment vertical="center"/>
    </xf>
    <xf numFmtId="0" fontId="30" fillId="0" borderId="0" xfId="0" applyFont="1">
      <alignment vertical="center"/>
    </xf>
    <xf numFmtId="184" fontId="18" fillId="0" borderId="0" xfId="0" applyNumberFormat="1" applyFont="1" applyAlignment="1"/>
    <xf numFmtId="0" fontId="13" fillId="0" borderId="0" xfId="2" applyFont="1"/>
    <xf numFmtId="0" fontId="11" fillId="0" borderId="0" xfId="2" applyFont="1"/>
    <xf numFmtId="0" fontId="8" fillId="0" borderId="0" xfId="0" applyFont="1" applyAlignment="1"/>
    <xf numFmtId="0" fontId="18" fillId="0" borderId="0" xfId="2" applyFont="1"/>
    <xf numFmtId="49" fontId="18" fillId="0" borderId="0" xfId="2" applyNumberFormat="1" applyFont="1" applyAlignment="1">
      <alignment horizontal="center"/>
    </xf>
    <xf numFmtId="49" fontId="11" fillId="0" borderId="0" xfId="2" applyNumberFormat="1" applyFont="1" applyAlignment="1">
      <alignment horizontal="center"/>
    </xf>
    <xf numFmtId="0" fontId="10" fillId="0" borderId="0" xfId="0" applyFont="1" applyAlignment="1"/>
    <xf numFmtId="176" fontId="11" fillId="0" borderId="0" xfId="0" applyNumberFormat="1" applyFont="1" applyAlignment="1">
      <alignment horizontal="left"/>
    </xf>
    <xf numFmtId="0" fontId="8" fillId="0" borderId="0" xfId="0" applyFont="1">
      <alignment vertical="center"/>
    </xf>
    <xf numFmtId="0" fontId="25" fillId="0" borderId="0" xfId="0" applyFont="1">
      <alignment vertical="center"/>
    </xf>
    <xf numFmtId="0" fontId="7" fillId="0" borderId="0" xfId="2"/>
    <xf numFmtId="0" fontId="11" fillId="0" borderId="0" xfId="0" applyFont="1" applyAlignment="1"/>
    <xf numFmtId="0" fontId="11" fillId="0" borderId="6" xfId="0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2" fillId="0" borderId="6" xfId="2" applyFont="1" applyBorder="1"/>
    <xf numFmtId="0" fontId="14" fillId="0" borderId="7" xfId="2" applyFont="1" applyBorder="1"/>
    <xf numFmtId="0" fontId="8" fillId="0" borderId="7" xfId="0" applyFont="1" applyBorder="1" applyAlignment="1"/>
    <xf numFmtId="0" fontId="8" fillId="0" borderId="8" xfId="0" applyFont="1" applyBorder="1" applyAlignment="1"/>
    <xf numFmtId="0" fontId="13" fillId="0" borderId="3" xfId="1" applyFont="1" applyBorder="1"/>
    <xf numFmtId="0" fontId="13" fillId="0" borderId="0" xfId="1" applyFont="1"/>
    <xf numFmtId="0" fontId="18" fillId="0" borderId="0" xfId="1" applyFont="1" applyAlignment="1">
      <alignment horizontal="left"/>
    </xf>
    <xf numFmtId="0" fontId="18" fillId="0" borderId="0" xfId="1" applyFont="1"/>
    <xf numFmtId="0" fontId="18" fillId="0" borderId="5" xfId="1" applyFont="1" applyBorder="1"/>
    <xf numFmtId="176" fontId="18" fillId="0" borderId="3" xfId="0" applyNumberFormat="1" applyFont="1" applyBorder="1" applyAlignment="1">
      <alignment horizontal="left"/>
    </xf>
    <xf numFmtId="176" fontId="11" fillId="0" borderId="0" xfId="0" applyNumberFormat="1" applyFont="1" applyAlignment="1"/>
    <xf numFmtId="0" fontId="11" fillId="0" borderId="3" xfId="1" applyFont="1" applyBorder="1"/>
    <xf numFmtId="0" fontId="11" fillId="0" borderId="7" xfId="4" applyFont="1" applyBorder="1"/>
    <xf numFmtId="0" fontId="11" fillId="0" borderId="8" xfId="4" applyFont="1" applyBorder="1"/>
    <xf numFmtId="0" fontId="11" fillId="0" borderId="6" xfId="1" applyFont="1" applyBorder="1"/>
    <xf numFmtId="0" fontId="11" fillId="0" borderId="7" xfId="1" applyFont="1" applyBorder="1"/>
    <xf numFmtId="0" fontId="11" fillId="0" borderId="8" xfId="1" applyFont="1" applyBorder="1"/>
    <xf numFmtId="0" fontId="13" fillId="0" borderId="2" xfId="1" applyFont="1" applyBorder="1"/>
    <xf numFmtId="0" fontId="11" fillId="0" borderId="2" xfId="1" applyFont="1" applyBorder="1"/>
    <xf numFmtId="0" fontId="11" fillId="0" borderId="4" xfId="1" applyFont="1" applyBorder="1"/>
    <xf numFmtId="0" fontId="11" fillId="0" borderId="5" xfId="1" applyFont="1" applyBorder="1"/>
    <xf numFmtId="0" fontId="21" fillId="0" borderId="0" xfId="1" applyFont="1"/>
    <xf numFmtId="0" fontId="11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3" fillId="0" borderId="1" xfId="1" applyFont="1" applyBorder="1"/>
    <xf numFmtId="0" fontId="20" fillId="0" borderId="4" xfId="1" applyFont="1" applyBorder="1"/>
    <xf numFmtId="0" fontId="20" fillId="0" borderId="4" xfId="2" applyFont="1" applyBorder="1"/>
    <xf numFmtId="177" fontId="11" fillId="0" borderId="0" xfId="0" applyNumberFormat="1" applyFont="1" applyAlignment="1">
      <alignment horizontal="center" vertical="center"/>
    </xf>
    <xf numFmtId="0" fontId="13" fillId="0" borderId="0" xfId="1" applyFont="1" applyAlignment="1">
      <alignment horizontal="center"/>
    </xf>
    <xf numFmtId="180" fontId="11" fillId="0" borderId="0" xfId="0" applyNumberFormat="1" applyFont="1" applyAlignment="1">
      <alignment horizontal="center" vertical="center" wrapText="1" shrinkToFit="1"/>
    </xf>
    <xf numFmtId="0" fontId="11" fillId="0" borderId="5" xfId="0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 shrinkToFit="1"/>
    </xf>
    <xf numFmtId="0" fontId="11" fillId="0" borderId="10" xfId="3" applyFont="1" applyBorder="1" applyAlignment="1">
      <alignment horizontal="center" vertical="center" wrapText="1" shrinkToFit="1"/>
    </xf>
    <xf numFmtId="0" fontId="11" fillId="0" borderId="10" xfId="1" applyFont="1" applyBorder="1" applyAlignment="1">
      <alignment horizontal="center" vertical="center" wrapText="1" shrinkToFit="1"/>
    </xf>
    <xf numFmtId="180" fontId="20" fillId="0" borderId="10" xfId="1" applyNumberFormat="1" applyFont="1" applyBorder="1" applyAlignment="1">
      <alignment horizontal="center" vertical="center" wrapText="1" shrinkToFit="1"/>
    </xf>
    <xf numFmtId="178" fontId="11" fillId="0" borderId="10" xfId="1" applyNumberFormat="1" applyFont="1" applyBorder="1" applyAlignment="1">
      <alignment horizontal="center" vertical="center" wrapText="1" shrinkToFit="1"/>
    </xf>
    <xf numFmtId="178" fontId="13" fillId="0" borderId="10" xfId="1" applyNumberFormat="1" applyFont="1" applyBorder="1" applyAlignment="1">
      <alignment horizontal="center" vertical="center" wrapText="1" shrinkToFit="1"/>
    </xf>
    <xf numFmtId="178" fontId="13" fillId="0" borderId="11" xfId="1" applyNumberFormat="1" applyFont="1" applyBorder="1" applyAlignment="1">
      <alignment horizontal="center" vertical="center" wrapText="1" shrinkToFit="1"/>
    </xf>
    <xf numFmtId="179" fontId="13" fillId="0" borderId="3" xfId="1" applyNumberFormat="1" applyFont="1" applyBorder="1" applyAlignment="1">
      <alignment horizontal="center"/>
    </xf>
    <xf numFmtId="179" fontId="13" fillId="0" borderId="0" xfId="1" applyNumberFormat="1" applyFont="1" applyAlignment="1">
      <alignment horizontal="center"/>
    </xf>
    <xf numFmtId="178" fontId="13" fillId="0" borderId="0" xfId="1" applyNumberFormat="1" applyFont="1" applyAlignment="1">
      <alignment horizontal="center"/>
    </xf>
    <xf numFmtId="178" fontId="13" fillId="0" borderId="5" xfId="1" applyNumberFormat="1" applyFont="1" applyBorder="1" applyAlignment="1">
      <alignment horizontal="center"/>
    </xf>
    <xf numFmtId="0" fontId="19" fillId="0" borderId="3" xfId="0" applyFont="1" applyBorder="1">
      <alignment vertical="center"/>
    </xf>
    <xf numFmtId="0" fontId="7" fillId="0" borderId="0" xfId="1" applyAlignment="1">
      <alignment horizontal="center" vertical="center"/>
    </xf>
    <xf numFmtId="0" fontId="19" fillId="0" borderId="5" xfId="0" applyFont="1" applyBorder="1">
      <alignment vertical="center"/>
    </xf>
    <xf numFmtId="0" fontId="7" fillId="0" borderId="0" xfId="1"/>
    <xf numFmtId="2" fontId="11" fillId="0" borderId="5" xfId="0" applyNumberFormat="1" applyFont="1" applyBorder="1" applyAlignment="1">
      <alignment horizontal="right" vertical="center" wrapText="1" shrinkToFit="1"/>
    </xf>
    <xf numFmtId="178" fontId="11" fillId="0" borderId="0" xfId="0" applyNumberFormat="1" applyFont="1" applyAlignment="1">
      <alignment horizontal="right" vertical="center" wrapText="1" shrinkToFit="1"/>
    </xf>
    <xf numFmtId="0" fontId="11" fillId="0" borderId="0" xfId="0" applyFont="1" applyAlignment="1">
      <alignment horizontal="right" vertical="center" wrapText="1" shrinkToFit="1"/>
    </xf>
    <xf numFmtId="179" fontId="11" fillId="0" borderId="0" xfId="0" applyNumberFormat="1" applyFont="1" applyAlignment="1">
      <alignment horizontal="right" vertical="center" shrinkToFit="1"/>
    </xf>
    <xf numFmtId="0" fontId="11" fillId="0" borderId="3" xfId="0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 shrinkToFit="1"/>
    </xf>
    <xf numFmtId="0" fontId="18" fillId="0" borderId="14" xfId="0" applyFont="1" applyBorder="1" applyAlignment="1">
      <alignment horizontal="left" vertical="center"/>
    </xf>
    <xf numFmtId="177" fontId="29" fillId="0" borderId="0" xfId="0" applyNumberFormat="1" applyFont="1" applyAlignment="1">
      <alignment horizontal="center" vertical="center" wrapText="1"/>
    </xf>
    <xf numFmtId="177" fontId="29" fillId="0" borderId="10" xfId="0" applyNumberFormat="1" applyFont="1" applyBorder="1" applyAlignment="1">
      <alignment horizontal="center" vertical="center" wrapText="1"/>
    </xf>
    <xf numFmtId="0" fontId="11" fillId="0" borderId="13" xfId="2" applyFont="1" applyBorder="1" applyAlignment="1">
      <alignment horizontal="left"/>
    </xf>
    <xf numFmtId="0" fontId="11" fillId="0" borderId="3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5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176" fontId="18" fillId="0" borderId="3" xfId="0" applyNumberFormat="1" applyFont="1" applyBorder="1" applyAlignment="1">
      <alignment horizontal="left" vertical="top"/>
    </xf>
    <xf numFmtId="176" fontId="18" fillId="0" borderId="0" xfId="0" applyNumberFormat="1" applyFont="1" applyAlignment="1">
      <alignment horizontal="left" vertical="top"/>
    </xf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176" fontId="11" fillId="0" borderId="6" xfId="0" applyNumberFormat="1" applyFont="1" applyBorder="1" applyAlignment="1">
      <alignment horizontal="left"/>
    </xf>
    <xf numFmtId="176" fontId="11" fillId="0" borderId="8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" xfId="1" applyFont="1" applyBorder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1" fillId="0" borderId="5" xfId="1" applyFont="1" applyBorder="1" applyAlignment="1">
      <alignment horizontal="left" vertical="top" wrapText="1"/>
    </xf>
    <xf numFmtId="0" fontId="11" fillId="0" borderId="6" xfId="1" applyFont="1" applyBorder="1" applyAlignment="1">
      <alignment horizontal="left" vertical="top" wrapText="1"/>
    </xf>
    <xf numFmtId="0" fontId="11" fillId="0" borderId="7" xfId="1" applyFont="1" applyBorder="1" applyAlignment="1">
      <alignment horizontal="left" vertical="top" wrapText="1"/>
    </xf>
    <xf numFmtId="0" fontId="11" fillId="0" borderId="8" xfId="1" applyFont="1" applyBorder="1" applyAlignment="1">
      <alignment horizontal="left" vertical="top" wrapText="1"/>
    </xf>
    <xf numFmtId="0" fontId="31" fillId="0" borderId="0" xfId="0" applyFont="1" applyAlignment="1">
      <alignment horizontal="center" vertical="center" wrapText="1" shrinkToFit="1"/>
    </xf>
    <xf numFmtId="0" fontId="11" fillId="0" borderId="3" xfId="0" applyFont="1" applyBorder="1" applyAlignment="1">
      <alignment horizontal="center" vertical="center" shrinkToFit="1"/>
    </xf>
    <xf numFmtId="0" fontId="13" fillId="0" borderId="3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3" xfId="1" applyFont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11" fillId="0" borderId="5" xfId="1" applyFont="1" applyBorder="1" applyAlignment="1">
      <alignment vertical="top" wrapText="1"/>
    </xf>
    <xf numFmtId="0" fontId="18" fillId="0" borderId="3" xfId="2" applyFont="1" applyBorder="1" applyAlignment="1">
      <alignment horizontal="left" vertical="top" wrapText="1"/>
    </xf>
    <xf numFmtId="0" fontId="18" fillId="0" borderId="0" xfId="2" applyFont="1" applyAlignment="1">
      <alignment horizontal="left" vertical="top" wrapText="1"/>
    </xf>
    <xf numFmtId="0" fontId="18" fillId="0" borderId="5" xfId="2" applyFont="1" applyBorder="1" applyAlignment="1">
      <alignment horizontal="left" vertical="top" wrapText="1"/>
    </xf>
    <xf numFmtId="0" fontId="13" fillId="0" borderId="0" xfId="1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</cellXfs>
  <cellStyles count="6">
    <cellStyle name="一般" xfId="0" builtinId="0"/>
    <cellStyle name="一般_OMRON" xfId="2" xr:uid="{00000000-0005-0000-0000-000032000000}"/>
    <cellStyle name="一般_OMRON海運出口" xfId="1" xr:uid="{00000000-0005-0000-0000-00001F000000}"/>
    <cellStyle name="常规_Sheet1_1" xfId="3" xr:uid="{00000000-0005-0000-0000-000033000000}"/>
    <cellStyle name="常规_啟德一般貿易" xfId="4" xr:uid="{00000000-0005-0000-0000-000034000000}"/>
    <cellStyle name="超連結" xfId="5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86-512-676139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49"/>
  <sheetViews>
    <sheetView tabSelected="1" workbookViewId="0">
      <selection activeCell="M18" sqref="M18"/>
    </sheetView>
  </sheetViews>
  <sheetFormatPr defaultColWidth="9" defaultRowHeight="16.2"/>
  <cols>
    <col min="1" max="1" width="5.625" style="2" customWidth="1"/>
    <col min="2" max="2" width="16.625" style="2" customWidth="1"/>
    <col min="3" max="3" width="15.625" style="2" customWidth="1"/>
    <col min="4" max="4" width="28.625" style="2" customWidth="1"/>
    <col min="5" max="5" width="10.625" style="2" customWidth="1"/>
    <col min="6" max="6" width="5.625" style="2" customWidth="1"/>
    <col min="7" max="7" width="11.5" style="2" bestFit="1" customWidth="1"/>
    <col min="8" max="8" width="9.625" style="2" customWidth="1"/>
    <col min="9" max="9" width="12.625" style="2" customWidth="1"/>
    <col min="10" max="11" width="5.625" style="2" customWidth="1"/>
    <col min="12" max="12" width="9" style="2"/>
    <col min="13" max="13" width="10" style="2" customWidth="1"/>
    <col min="14" max="14" width="16.625" style="2" customWidth="1"/>
    <col min="15" max="15" width="9.625" style="2" customWidth="1"/>
    <col min="16" max="16384" width="9" style="2"/>
  </cols>
  <sheetData>
    <row r="1" spans="1:15" ht="30" customHeight="1">
      <c r="A1" s="154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6"/>
    </row>
    <row r="2" spans="1:15" ht="10.050000000000001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9.95" customHeight="1">
      <c r="A3" s="6" t="s">
        <v>1</v>
      </c>
      <c r="B3" s="76"/>
      <c r="C3" s="77"/>
      <c r="D3" s="7"/>
      <c r="E3" s="6" t="s">
        <v>2</v>
      </c>
      <c r="F3" s="77"/>
      <c r="G3" s="77"/>
      <c r="H3" s="77"/>
      <c r="I3" s="77"/>
      <c r="J3" s="78"/>
      <c r="K3" s="78"/>
      <c r="L3" s="78"/>
      <c r="M3" s="78"/>
      <c r="N3" s="78"/>
      <c r="O3" s="8"/>
    </row>
    <row r="4" spans="1:15" ht="19.95" customHeight="1">
      <c r="A4" s="9" t="s">
        <v>56</v>
      </c>
      <c r="B4" s="10"/>
      <c r="C4" s="77"/>
      <c r="D4" s="11"/>
      <c r="E4" s="9" t="s">
        <v>79</v>
      </c>
      <c r="F4" s="79"/>
      <c r="G4" s="80"/>
      <c r="H4" s="81"/>
      <c r="I4" s="77"/>
      <c r="J4" s="78"/>
      <c r="K4" s="78"/>
      <c r="L4" s="78"/>
      <c r="M4" s="78"/>
      <c r="N4" s="78"/>
      <c r="O4" s="8"/>
    </row>
    <row r="5" spans="1:15" ht="19.95" customHeight="1">
      <c r="A5" s="12" t="s">
        <v>55</v>
      </c>
      <c r="B5" s="82"/>
      <c r="C5" s="82"/>
      <c r="D5" s="82"/>
      <c r="E5" s="152">
        <v>45888</v>
      </c>
      <c r="F5" s="153"/>
      <c r="G5" s="153"/>
      <c r="H5" s="83"/>
      <c r="I5" s="77"/>
      <c r="J5" s="78"/>
      <c r="K5" s="78"/>
      <c r="L5" s="78"/>
      <c r="M5" s="78"/>
      <c r="N5" s="78"/>
      <c r="O5" s="8"/>
    </row>
    <row r="6" spans="1:15" ht="12" customHeight="1">
      <c r="A6" s="13"/>
      <c r="B6" s="82"/>
      <c r="C6" s="82"/>
      <c r="D6" s="82"/>
      <c r="E6" s="14"/>
      <c r="F6" s="77"/>
      <c r="G6" s="77"/>
      <c r="H6" s="77"/>
      <c r="I6" s="77"/>
      <c r="J6" s="78"/>
      <c r="K6" s="78"/>
      <c r="L6" s="78"/>
      <c r="M6" s="78"/>
      <c r="N6" s="78"/>
      <c r="O6" s="8"/>
    </row>
    <row r="7" spans="1:15" ht="12" customHeight="1">
      <c r="A7" s="15"/>
      <c r="B7" s="16"/>
      <c r="C7" s="17"/>
      <c r="D7" s="18"/>
      <c r="E7" s="19"/>
      <c r="F7" s="17"/>
      <c r="G7" s="17"/>
      <c r="H7" s="17"/>
      <c r="I7" s="17"/>
      <c r="J7" s="20"/>
      <c r="K7" s="20"/>
      <c r="L7" s="20"/>
      <c r="M7" s="20"/>
      <c r="N7" s="20"/>
      <c r="O7" s="21"/>
    </row>
    <row r="8" spans="1:15" ht="19.95" customHeight="1">
      <c r="A8" s="22" t="s">
        <v>3</v>
      </c>
      <c r="B8" s="23"/>
      <c r="C8" s="24"/>
      <c r="D8" s="25"/>
      <c r="E8" s="22" t="s">
        <v>4</v>
      </c>
      <c r="F8" s="24"/>
      <c r="G8" s="24"/>
      <c r="H8" s="24"/>
      <c r="I8" s="24"/>
      <c r="J8" s="26"/>
      <c r="K8" s="84"/>
      <c r="L8" s="84"/>
      <c r="M8" s="84"/>
      <c r="N8" s="84"/>
      <c r="O8" s="27"/>
    </row>
    <row r="9" spans="1:15" ht="19.95" customHeight="1">
      <c r="A9" s="28" t="s">
        <v>57</v>
      </c>
      <c r="B9" s="10"/>
      <c r="C9" s="29"/>
      <c r="D9" s="30"/>
      <c r="E9" s="14"/>
      <c r="F9" s="77"/>
      <c r="G9" s="77"/>
      <c r="H9" s="77"/>
      <c r="I9" s="77"/>
      <c r="J9" s="84"/>
      <c r="K9" s="84"/>
      <c r="L9" s="84"/>
      <c r="M9" s="84"/>
      <c r="N9" s="84"/>
      <c r="O9" s="27"/>
    </row>
    <row r="10" spans="1:15" ht="19.95" customHeight="1">
      <c r="A10" s="146" t="s">
        <v>58</v>
      </c>
      <c r="B10" s="147"/>
      <c r="C10" s="147"/>
      <c r="D10" s="148"/>
      <c r="E10" s="157"/>
      <c r="F10" s="158"/>
      <c r="G10" s="158"/>
      <c r="H10" s="158"/>
      <c r="I10" s="158"/>
      <c r="J10" s="85"/>
      <c r="K10" s="85"/>
      <c r="L10" s="85"/>
      <c r="M10" s="85"/>
      <c r="N10" s="85"/>
      <c r="O10" s="31"/>
    </row>
    <row r="11" spans="1:15" ht="19.95" customHeight="1">
      <c r="A11" s="149"/>
      <c r="B11" s="150"/>
      <c r="C11" s="150"/>
      <c r="D11" s="151"/>
      <c r="E11" s="14"/>
      <c r="F11" s="77"/>
      <c r="G11" s="77"/>
      <c r="H11" s="77"/>
      <c r="I11" s="77"/>
      <c r="J11" s="85"/>
      <c r="K11" s="85"/>
      <c r="L11" s="85"/>
      <c r="M11" s="85"/>
      <c r="N11" s="85"/>
      <c r="O11" s="31"/>
    </row>
    <row r="12" spans="1:15" ht="19.95" customHeight="1">
      <c r="A12" s="22" t="s">
        <v>5</v>
      </c>
      <c r="B12" s="24"/>
      <c r="C12" s="24"/>
      <c r="D12" s="25"/>
      <c r="E12" s="22" t="s">
        <v>6</v>
      </c>
      <c r="F12" s="24"/>
      <c r="G12" s="24"/>
      <c r="H12" s="24"/>
      <c r="I12" s="24"/>
      <c r="J12" s="24"/>
      <c r="K12" s="24"/>
      <c r="L12" s="24"/>
      <c r="M12" s="24"/>
      <c r="N12" s="24"/>
      <c r="O12" s="25"/>
    </row>
    <row r="13" spans="1:15" ht="19.95" customHeight="1">
      <c r="A13" s="164" t="s">
        <v>58</v>
      </c>
      <c r="B13" s="165"/>
      <c r="C13" s="165"/>
      <c r="D13" s="166"/>
      <c r="E13" s="159" t="s">
        <v>50</v>
      </c>
      <c r="F13" s="163"/>
      <c r="G13" s="163"/>
      <c r="H13" s="163"/>
      <c r="I13" s="163"/>
      <c r="J13" s="78"/>
      <c r="K13" s="78"/>
      <c r="L13" s="78"/>
      <c r="M13" s="78"/>
      <c r="N13" s="78"/>
      <c r="O13" s="8"/>
    </row>
    <row r="14" spans="1:15" ht="19.95" customHeight="1">
      <c r="A14" s="167"/>
      <c r="B14" s="168"/>
      <c r="C14" s="168"/>
      <c r="D14" s="169"/>
      <c r="E14" s="19"/>
      <c r="F14" s="17"/>
      <c r="G14" s="17"/>
      <c r="H14" s="17"/>
      <c r="I14" s="32"/>
      <c r="J14" s="78"/>
      <c r="K14" s="78"/>
      <c r="L14" s="78"/>
      <c r="M14" s="78"/>
      <c r="N14" s="78"/>
      <c r="O14" s="21"/>
    </row>
    <row r="15" spans="1:15" ht="19.95" customHeight="1">
      <c r="A15" s="22" t="s">
        <v>7</v>
      </c>
      <c r="B15" s="24"/>
      <c r="C15" s="22" t="s">
        <v>8</v>
      </c>
      <c r="D15" s="25"/>
      <c r="E15" s="76" t="s">
        <v>9</v>
      </c>
      <c r="F15" s="33"/>
      <c r="G15" s="33"/>
      <c r="H15" s="33"/>
      <c r="I15" s="77"/>
      <c r="J15" s="34"/>
      <c r="K15" s="34"/>
      <c r="L15" s="34"/>
      <c r="M15" s="34"/>
      <c r="N15" s="34"/>
      <c r="O15" s="8"/>
    </row>
    <row r="16" spans="1:15" ht="19.95" customHeight="1">
      <c r="A16" s="159"/>
      <c r="B16" s="160"/>
      <c r="C16" s="159"/>
      <c r="D16" s="160"/>
      <c r="E16" s="86"/>
      <c r="F16" s="77"/>
      <c r="G16" s="77"/>
      <c r="H16" s="77"/>
      <c r="I16" s="77"/>
      <c r="J16" s="78"/>
      <c r="K16" s="78"/>
      <c r="L16" s="78"/>
      <c r="M16" s="78"/>
      <c r="N16" s="78"/>
      <c r="O16" s="8"/>
    </row>
    <row r="17" spans="1:15" ht="19.95" customHeight="1">
      <c r="A17" s="35"/>
      <c r="B17" s="36"/>
      <c r="C17" s="37"/>
      <c r="D17" s="18"/>
      <c r="E17" s="86"/>
      <c r="F17" s="87"/>
      <c r="G17" s="77"/>
      <c r="H17" s="77"/>
      <c r="I17" s="77"/>
      <c r="J17" s="78"/>
      <c r="K17" s="78"/>
      <c r="L17" s="78"/>
      <c r="M17" s="78"/>
      <c r="N17" s="78"/>
      <c r="O17" s="8"/>
    </row>
    <row r="18" spans="1:15" ht="19.95" customHeight="1">
      <c r="A18" s="22" t="s">
        <v>10</v>
      </c>
      <c r="B18" s="25"/>
      <c r="C18" s="6" t="s">
        <v>11</v>
      </c>
      <c r="D18" s="38"/>
      <c r="E18" s="86"/>
      <c r="F18" s="87"/>
      <c r="G18" s="77"/>
      <c r="H18" s="77"/>
      <c r="I18" s="77"/>
      <c r="J18" s="78"/>
      <c r="K18" s="78"/>
      <c r="L18" s="78"/>
      <c r="M18" s="78"/>
      <c r="N18" s="78"/>
      <c r="O18" s="8"/>
    </row>
    <row r="19" spans="1:15" ht="19.95" customHeight="1">
      <c r="A19" s="88"/>
      <c r="B19" s="89"/>
      <c r="C19" s="161"/>
      <c r="D19" s="162"/>
      <c r="E19" s="90" t="s">
        <v>44</v>
      </c>
      <c r="F19" s="91" t="s">
        <v>45</v>
      </c>
      <c r="G19" s="17"/>
      <c r="H19" s="17"/>
      <c r="I19" s="17"/>
      <c r="J19" s="92"/>
      <c r="K19" s="92"/>
      <c r="L19" s="92"/>
      <c r="M19" s="92"/>
      <c r="N19" s="92"/>
      <c r="O19" s="93"/>
    </row>
    <row r="20" spans="1:15" s="45" customFormat="1" ht="30" customHeight="1">
      <c r="A20" s="39" t="s">
        <v>12</v>
      </c>
      <c r="B20" s="40" t="s">
        <v>13</v>
      </c>
      <c r="C20" s="40" t="s">
        <v>14</v>
      </c>
      <c r="D20" s="41" t="s">
        <v>15</v>
      </c>
      <c r="E20" s="40" t="s">
        <v>16</v>
      </c>
      <c r="F20" s="40" t="s">
        <v>17</v>
      </c>
      <c r="G20" s="40" t="s">
        <v>18</v>
      </c>
      <c r="H20" s="40" t="s">
        <v>59</v>
      </c>
      <c r="I20" s="40" t="s">
        <v>19</v>
      </c>
      <c r="J20" s="42" t="s">
        <v>20</v>
      </c>
      <c r="K20" s="42" t="s">
        <v>21</v>
      </c>
      <c r="L20" s="43" t="s">
        <v>22</v>
      </c>
      <c r="M20" s="43" t="s">
        <v>23</v>
      </c>
      <c r="N20" s="43" t="s">
        <v>24</v>
      </c>
      <c r="O20" s="44" t="s">
        <v>49</v>
      </c>
    </row>
    <row r="21" spans="1:15" ht="30" customHeight="1">
      <c r="A21" s="46">
        <v>1</v>
      </c>
      <c r="B21" s="47" t="s">
        <v>75</v>
      </c>
      <c r="C21" s="47">
        <v>2250500994</v>
      </c>
      <c r="D21" s="141" t="s">
        <v>90</v>
      </c>
      <c r="E21" s="138">
        <v>3000</v>
      </c>
      <c r="F21" s="48" t="s">
        <v>25</v>
      </c>
      <c r="G21" s="49">
        <v>0.17399999999999999</v>
      </c>
      <c r="H21" s="50" t="s">
        <v>26</v>
      </c>
      <c r="I21" s="137">
        <f t="shared" ref="I21:I32" si="0">ROUND(E21*G21,2)</f>
        <v>522</v>
      </c>
      <c r="J21" s="52" t="s">
        <v>46</v>
      </c>
      <c r="K21" s="53"/>
      <c r="L21" s="50" t="s">
        <v>47</v>
      </c>
      <c r="M21" s="50" t="s">
        <v>48</v>
      </c>
      <c r="N21" s="50" t="s">
        <v>76</v>
      </c>
      <c r="O21" s="136">
        <v>12.42</v>
      </c>
    </row>
    <row r="22" spans="1:15" ht="30" customHeight="1">
      <c r="A22" s="46">
        <v>2</v>
      </c>
      <c r="B22" s="47" t="s">
        <v>75</v>
      </c>
      <c r="C22" s="47">
        <v>2250503701</v>
      </c>
      <c r="D22" s="141" t="s">
        <v>90</v>
      </c>
      <c r="E22" s="138">
        <v>1500</v>
      </c>
      <c r="F22" s="48" t="s">
        <v>25</v>
      </c>
      <c r="G22" s="49">
        <v>0.17399999999999999</v>
      </c>
      <c r="H22" s="50" t="s">
        <v>26</v>
      </c>
      <c r="I22" s="137">
        <f t="shared" ref="I22:I29" si="1">ROUND(E22*G22,2)</f>
        <v>261</v>
      </c>
      <c r="J22" s="52" t="s">
        <v>46</v>
      </c>
      <c r="K22" s="53"/>
      <c r="L22" s="50" t="s">
        <v>47</v>
      </c>
      <c r="M22" s="50" t="s">
        <v>48</v>
      </c>
      <c r="N22" s="50" t="s">
        <v>76</v>
      </c>
      <c r="O22" s="136">
        <v>6.21</v>
      </c>
    </row>
    <row r="23" spans="1:15" ht="30" customHeight="1">
      <c r="A23" s="46">
        <v>3</v>
      </c>
      <c r="B23" s="47" t="s">
        <v>75</v>
      </c>
      <c r="C23" s="47">
        <v>2250600994</v>
      </c>
      <c r="D23" s="141" t="s">
        <v>90</v>
      </c>
      <c r="E23" s="138">
        <v>1200</v>
      </c>
      <c r="F23" s="48" t="s">
        <v>25</v>
      </c>
      <c r="G23" s="49">
        <v>0.17399999999999999</v>
      </c>
      <c r="H23" s="50" t="s">
        <v>26</v>
      </c>
      <c r="I23" s="137">
        <f t="shared" ref="I23:I27" si="2">ROUND(E23*G23,2)</f>
        <v>208.8</v>
      </c>
      <c r="J23" s="52" t="s">
        <v>46</v>
      </c>
      <c r="K23" s="53"/>
      <c r="L23" s="50" t="s">
        <v>47</v>
      </c>
      <c r="M23" s="50" t="s">
        <v>48</v>
      </c>
      <c r="N23" s="50" t="s">
        <v>76</v>
      </c>
      <c r="O23" s="136">
        <v>4.97</v>
      </c>
    </row>
    <row r="24" spans="1:15" ht="30" customHeight="1">
      <c r="A24" s="46">
        <v>4</v>
      </c>
      <c r="B24" s="47" t="s">
        <v>80</v>
      </c>
      <c r="C24" s="47">
        <v>2250602368</v>
      </c>
      <c r="D24" s="141" t="s">
        <v>90</v>
      </c>
      <c r="E24" s="138">
        <v>4200</v>
      </c>
      <c r="F24" s="48" t="s">
        <v>25</v>
      </c>
      <c r="G24" s="49">
        <v>0.12</v>
      </c>
      <c r="H24" s="50" t="s">
        <v>26</v>
      </c>
      <c r="I24" s="137">
        <f t="shared" si="2"/>
        <v>504</v>
      </c>
      <c r="J24" s="52" t="s">
        <v>46</v>
      </c>
      <c r="K24" s="53"/>
      <c r="L24" s="50" t="s">
        <v>47</v>
      </c>
      <c r="M24" s="50" t="s">
        <v>48</v>
      </c>
      <c r="N24" s="50" t="s">
        <v>85</v>
      </c>
      <c r="O24" s="136">
        <v>5.25</v>
      </c>
    </row>
    <row r="25" spans="1:15" ht="30" customHeight="1">
      <c r="A25" s="46">
        <v>5</v>
      </c>
      <c r="B25" s="47" t="s">
        <v>80</v>
      </c>
      <c r="C25" s="47">
        <v>2250701272</v>
      </c>
      <c r="D25" s="141" t="s">
        <v>90</v>
      </c>
      <c r="E25" s="138">
        <v>600</v>
      </c>
      <c r="F25" s="48" t="s">
        <v>25</v>
      </c>
      <c r="G25" s="49">
        <v>0.12</v>
      </c>
      <c r="H25" s="50" t="s">
        <v>26</v>
      </c>
      <c r="I25" s="137">
        <f t="shared" si="2"/>
        <v>72</v>
      </c>
      <c r="J25" s="52" t="s">
        <v>46</v>
      </c>
      <c r="K25" s="53"/>
      <c r="L25" s="50" t="s">
        <v>47</v>
      </c>
      <c r="M25" s="50" t="s">
        <v>48</v>
      </c>
      <c r="N25" s="50" t="s">
        <v>85</v>
      </c>
      <c r="O25" s="136">
        <v>0.75</v>
      </c>
    </row>
    <row r="26" spans="1:15" ht="30" customHeight="1">
      <c r="A26" s="46">
        <v>6</v>
      </c>
      <c r="B26" s="47" t="s">
        <v>81</v>
      </c>
      <c r="C26" s="47">
        <v>2250500271</v>
      </c>
      <c r="D26" s="141" t="s">
        <v>90</v>
      </c>
      <c r="E26" s="138">
        <v>10080</v>
      </c>
      <c r="F26" s="48" t="s">
        <v>25</v>
      </c>
      <c r="G26" s="49">
        <v>0.22</v>
      </c>
      <c r="H26" s="50" t="s">
        <v>26</v>
      </c>
      <c r="I26" s="137">
        <f t="shared" si="2"/>
        <v>2217.6</v>
      </c>
      <c r="J26" s="52" t="s">
        <v>46</v>
      </c>
      <c r="K26" s="53"/>
      <c r="L26" s="50" t="s">
        <v>47</v>
      </c>
      <c r="M26" s="50" t="s">
        <v>48</v>
      </c>
      <c r="N26" s="50" t="s">
        <v>86</v>
      </c>
      <c r="O26" s="136">
        <v>60.2</v>
      </c>
    </row>
    <row r="27" spans="1:15" ht="30" customHeight="1">
      <c r="A27" s="46">
        <v>7</v>
      </c>
      <c r="B27" s="47" t="s">
        <v>82</v>
      </c>
      <c r="C27" s="47">
        <v>2250300466</v>
      </c>
      <c r="D27" s="141" t="s">
        <v>90</v>
      </c>
      <c r="E27" s="138">
        <v>18000</v>
      </c>
      <c r="F27" s="48" t="s">
        <v>25</v>
      </c>
      <c r="G27" s="49">
        <v>0.18</v>
      </c>
      <c r="H27" s="50" t="s">
        <v>26</v>
      </c>
      <c r="I27" s="137">
        <f t="shared" si="2"/>
        <v>3240</v>
      </c>
      <c r="J27" s="52" t="s">
        <v>46</v>
      </c>
      <c r="K27" s="53"/>
      <c r="L27" s="50" t="s">
        <v>47</v>
      </c>
      <c r="M27" s="50" t="s">
        <v>48</v>
      </c>
      <c r="N27" s="50" t="s">
        <v>87</v>
      </c>
      <c r="O27" s="136">
        <v>110.67</v>
      </c>
    </row>
    <row r="28" spans="1:15" ht="30" customHeight="1">
      <c r="A28" s="46">
        <v>8</v>
      </c>
      <c r="B28" s="47" t="s">
        <v>82</v>
      </c>
      <c r="C28" s="47">
        <v>2250301462</v>
      </c>
      <c r="D28" s="141" t="s">
        <v>90</v>
      </c>
      <c r="E28" s="138">
        <v>720</v>
      </c>
      <c r="F28" s="48" t="s">
        <v>25</v>
      </c>
      <c r="G28" s="49">
        <v>0.18</v>
      </c>
      <c r="H28" s="50" t="s">
        <v>26</v>
      </c>
      <c r="I28" s="137">
        <f t="shared" si="1"/>
        <v>129.6</v>
      </c>
      <c r="J28" s="52" t="s">
        <v>46</v>
      </c>
      <c r="K28" s="53"/>
      <c r="L28" s="50" t="s">
        <v>47</v>
      </c>
      <c r="M28" s="50" t="s">
        <v>48</v>
      </c>
      <c r="N28" s="50" t="s">
        <v>87</v>
      </c>
      <c r="O28" s="136">
        <v>4.43</v>
      </c>
    </row>
    <row r="29" spans="1:15" ht="30" customHeight="1">
      <c r="A29" s="46">
        <v>9</v>
      </c>
      <c r="B29" s="47" t="s">
        <v>83</v>
      </c>
      <c r="C29" s="47">
        <v>2250502913</v>
      </c>
      <c r="D29" s="141" t="s">
        <v>90</v>
      </c>
      <c r="E29" s="138">
        <v>17850</v>
      </c>
      <c r="F29" s="48" t="s">
        <v>25</v>
      </c>
      <c r="G29" s="49">
        <v>0.19800000000000001</v>
      </c>
      <c r="H29" s="50" t="s">
        <v>26</v>
      </c>
      <c r="I29" s="137">
        <f t="shared" si="1"/>
        <v>3534.3</v>
      </c>
      <c r="J29" s="52" t="s">
        <v>46</v>
      </c>
      <c r="K29" s="53"/>
      <c r="L29" s="50" t="s">
        <v>47</v>
      </c>
      <c r="M29" s="50" t="s">
        <v>48</v>
      </c>
      <c r="N29" s="50" t="s">
        <v>88</v>
      </c>
      <c r="O29" s="136">
        <v>21</v>
      </c>
    </row>
    <row r="30" spans="1:15" ht="30" customHeight="1">
      <c r="A30" s="46">
        <v>10</v>
      </c>
      <c r="B30" s="47" t="s">
        <v>83</v>
      </c>
      <c r="C30" s="47">
        <v>2250503701</v>
      </c>
      <c r="D30" s="141" t="s">
        <v>90</v>
      </c>
      <c r="E30" s="138">
        <v>11900</v>
      </c>
      <c r="F30" s="48" t="s">
        <v>25</v>
      </c>
      <c r="G30" s="49">
        <v>0.19800000000000001</v>
      </c>
      <c r="H30" s="50" t="s">
        <v>26</v>
      </c>
      <c r="I30" s="137">
        <f t="shared" si="0"/>
        <v>2356.1999999999998</v>
      </c>
      <c r="J30" s="52" t="s">
        <v>46</v>
      </c>
      <c r="K30" s="53"/>
      <c r="L30" s="50" t="s">
        <v>47</v>
      </c>
      <c r="M30" s="50" t="s">
        <v>48</v>
      </c>
      <c r="N30" s="50" t="s">
        <v>88</v>
      </c>
      <c r="O30" s="136">
        <v>14</v>
      </c>
    </row>
    <row r="31" spans="1:15" ht="30" customHeight="1">
      <c r="A31" s="46">
        <v>11</v>
      </c>
      <c r="B31" s="47" t="s">
        <v>83</v>
      </c>
      <c r="C31" s="47">
        <v>2250600994</v>
      </c>
      <c r="D31" s="141" t="s">
        <v>90</v>
      </c>
      <c r="E31" s="138">
        <v>47600</v>
      </c>
      <c r="F31" s="48" t="s">
        <v>25</v>
      </c>
      <c r="G31" s="49">
        <v>0.19800000000000001</v>
      </c>
      <c r="H31" s="50" t="s">
        <v>26</v>
      </c>
      <c r="I31" s="137">
        <f t="shared" si="0"/>
        <v>9424.7999999999993</v>
      </c>
      <c r="J31" s="52" t="s">
        <v>46</v>
      </c>
      <c r="K31" s="53"/>
      <c r="L31" s="50" t="s">
        <v>47</v>
      </c>
      <c r="M31" s="50" t="s">
        <v>48</v>
      </c>
      <c r="N31" s="50" t="s">
        <v>88</v>
      </c>
      <c r="O31" s="136">
        <v>56</v>
      </c>
    </row>
    <row r="32" spans="1:15" ht="30" customHeight="1">
      <c r="A32" s="46">
        <v>12</v>
      </c>
      <c r="B32" s="47" t="s">
        <v>84</v>
      </c>
      <c r="C32" s="47">
        <v>2250400853</v>
      </c>
      <c r="D32" s="141" t="s">
        <v>90</v>
      </c>
      <c r="E32" s="138">
        <v>1000</v>
      </c>
      <c r="F32" s="48" t="s">
        <v>25</v>
      </c>
      <c r="G32" s="49">
        <v>0.24399999999999999</v>
      </c>
      <c r="H32" s="50" t="s">
        <v>26</v>
      </c>
      <c r="I32" s="137">
        <f t="shared" si="0"/>
        <v>244</v>
      </c>
      <c r="J32" s="52" t="s">
        <v>46</v>
      </c>
      <c r="K32" s="53"/>
      <c r="L32" s="50" t="s">
        <v>47</v>
      </c>
      <c r="M32" s="50" t="s">
        <v>48</v>
      </c>
      <c r="N32" s="50" t="s">
        <v>89</v>
      </c>
      <c r="O32" s="136">
        <v>2.4</v>
      </c>
    </row>
    <row r="33" spans="1:15" ht="30" customHeight="1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</row>
    <row r="34" spans="1:15" ht="25.05" customHeight="1" thickBot="1">
      <c r="A34" s="57"/>
      <c r="B34" s="58"/>
      <c r="C34" s="145" t="s">
        <v>27</v>
      </c>
      <c r="D34" s="145"/>
      <c r="E34" s="59">
        <f>SUM(E21:E33)</f>
        <v>117650</v>
      </c>
      <c r="F34" s="60"/>
      <c r="G34" s="61"/>
      <c r="H34" s="61"/>
      <c r="I34" s="62">
        <f>SUM(I21:I33)</f>
        <v>22714.3</v>
      </c>
      <c r="J34" s="63"/>
      <c r="K34" s="63"/>
      <c r="L34" s="63"/>
      <c r="M34" s="63"/>
      <c r="N34" s="63"/>
      <c r="O34" s="62">
        <f>SUM(O21:O33)</f>
        <v>298.29999999999995</v>
      </c>
    </row>
    <row r="35" spans="1:15" ht="19.95" customHeight="1" thickTop="1">
      <c r="A35" s="64" t="s">
        <v>60</v>
      </c>
      <c r="B35" s="142" t="s">
        <v>91</v>
      </c>
      <c r="C35" s="142"/>
      <c r="D35" s="142"/>
      <c r="E35" s="142"/>
      <c r="F35" s="142"/>
      <c r="G35" s="142"/>
    </row>
    <row r="36" spans="1:15" ht="19.95" customHeight="1">
      <c r="A36" s="65" t="s">
        <v>61</v>
      </c>
      <c r="B36" s="66"/>
      <c r="C36" s="65"/>
      <c r="D36" s="65"/>
      <c r="E36" s="67"/>
      <c r="F36" s="68"/>
      <c r="G36" s="69"/>
    </row>
    <row r="37" spans="1:15" ht="19.95" customHeight="1">
      <c r="A37" s="65" t="s">
        <v>62</v>
      </c>
      <c r="B37" s="65"/>
      <c r="C37" s="65"/>
      <c r="D37" s="65"/>
      <c r="L37" s="70" t="s">
        <v>63</v>
      </c>
      <c r="M37" s="70"/>
      <c r="N37" s="70"/>
    </row>
    <row r="38" spans="1:15" ht="19.95" customHeight="1">
      <c r="A38" s="65" t="s">
        <v>70</v>
      </c>
      <c r="B38" s="65"/>
      <c r="C38" s="65"/>
      <c r="D38" s="65"/>
      <c r="L38" s="71" t="s">
        <v>64</v>
      </c>
      <c r="M38" s="71"/>
      <c r="N38" s="72"/>
    </row>
    <row r="39" spans="1:15" ht="19.95" customHeight="1">
      <c r="A39" s="65" t="s">
        <v>71</v>
      </c>
      <c r="B39" s="65"/>
      <c r="C39" s="65"/>
      <c r="D39" s="65"/>
      <c r="L39" s="143"/>
      <c r="M39" s="143"/>
      <c r="N39" s="143"/>
    </row>
    <row r="40" spans="1:15" ht="19.95" customHeight="1">
      <c r="A40" s="65" t="s">
        <v>65</v>
      </c>
      <c r="B40" s="66"/>
      <c r="C40" s="66"/>
      <c r="D40" s="66"/>
      <c r="L40" s="143"/>
      <c r="M40" s="143"/>
      <c r="N40" s="143"/>
    </row>
    <row r="41" spans="1:15" ht="19.95" customHeight="1" thickBot="1">
      <c r="A41" s="65" t="s">
        <v>66</v>
      </c>
      <c r="B41" s="73"/>
      <c r="C41" s="73"/>
      <c r="D41" s="73"/>
      <c r="L41" s="144"/>
      <c r="M41" s="144"/>
      <c r="N41" s="144"/>
    </row>
    <row r="42" spans="1:15" ht="19.95" customHeight="1">
      <c r="A42" s="65" t="s">
        <v>72</v>
      </c>
      <c r="B42" s="74"/>
      <c r="C42" s="73"/>
      <c r="D42" s="73"/>
      <c r="E42" s="65"/>
      <c r="F42" s="65"/>
      <c r="G42" s="65"/>
    </row>
    <row r="43" spans="1:15" ht="19.95" customHeight="1">
      <c r="A43" s="65" t="s">
        <v>73</v>
      </c>
      <c r="B43" s="65"/>
      <c r="C43" s="65"/>
      <c r="D43" s="75"/>
      <c r="E43" s="67"/>
      <c r="F43" s="68"/>
      <c r="G43" s="69"/>
    </row>
    <row r="44" spans="1:15" ht="19.95" customHeight="1">
      <c r="A44" s="65" t="s">
        <v>67</v>
      </c>
      <c r="B44" s="65"/>
      <c r="C44" s="65"/>
      <c r="D44" s="75"/>
      <c r="E44" s="67"/>
      <c r="F44" s="68"/>
      <c r="G44" s="69"/>
    </row>
    <row r="45" spans="1:15" ht="19.95" customHeight="1">
      <c r="A45" s="66" t="s">
        <v>74</v>
      </c>
      <c r="B45" s="73"/>
      <c r="C45" s="65"/>
      <c r="D45" s="65"/>
      <c r="E45" s="67"/>
      <c r="F45" s="68"/>
      <c r="G45" s="69"/>
    </row>
    <row r="46" spans="1:15" ht="19.95" customHeight="1">
      <c r="A46" s="1" t="s">
        <v>68</v>
      </c>
      <c r="B46" s="65"/>
      <c r="C46" s="65"/>
      <c r="D46" s="65"/>
      <c r="E46" s="67"/>
      <c r="F46" s="68"/>
      <c r="G46" s="69"/>
    </row>
    <row r="47" spans="1:15" ht="19.95" customHeight="1"/>
    <row r="48" spans="1:15" ht="19.95" customHeight="1"/>
    <row r="49" ht="19.95" customHeight="1"/>
  </sheetData>
  <mergeCells count="12">
    <mergeCell ref="A1:O1"/>
    <mergeCell ref="E10:I10"/>
    <mergeCell ref="A16:B16"/>
    <mergeCell ref="C16:D16"/>
    <mergeCell ref="C19:D19"/>
    <mergeCell ref="E13:I13"/>
    <mergeCell ref="A13:D14"/>
    <mergeCell ref="B35:G35"/>
    <mergeCell ref="L39:N41"/>
    <mergeCell ref="C34:D34"/>
    <mergeCell ref="A10:D11"/>
    <mergeCell ref="E5:G5"/>
  </mergeCells>
  <phoneticPr fontId="9" type="noConversion"/>
  <hyperlinks>
    <hyperlink ref="A46" r:id="rId1" location="7588" xr:uid="{372D31E6-A9AD-457D-8E36-5807359F585D}"/>
  </hyperlinks>
  <pageMargins left="0.19685039370078741" right="0" top="0.39370078740157483" bottom="0" header="0.51181102362204722" footer="0.51181102362204722"/>
  <pageSetup paperSize="9" scale="63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42"/>
  <sheetViews>
    <sheetView workbookViewId="0">
      <selection activeCell="I19" sqref="I19"/>
    </sheetView>
  </sheetViews>
  <sheetFormatPr defaultColWidth="9" defaultRowHeight="16.2"/>
  <cols>
    <col min="1" max="1" width="7.625" style="2" customWidth="1"/>
    <col min="2" max="2" width="15.625" style="2" customWidth="1"/>
    <col min="3" max="3" width="16.625" style="2" customWidth="1"/>
    <col min="4" max="5" width="11.625" style="2" customWidth="1"/>
    <col min="6" max="6" width="12.625" style="2" customWidth="1"/>
    <col min="7" max="7" width="9" style="2"/>
    <col min="8" max="8" width="11.75" style="2" bestFit="1" customWidth="1"/>
    <col min="9" max="9" width="13.875" style="2" bestFit="1" customWidth="1"/>
    <col min="10" max="10" width="18.125" style="2" customWidth="1"/>
    <col min="11" max="16384" width="9" style="2"/>
  </cols>
  <sheetData>
    <row r="1" spans="1:10" ht="30" customHeight="1">
      <c r="A1" s="177" t="s">
        <v>28</v>
      </c>
      <c r="B1" s="178"/>
      <c r="C1" s="178"/>
      <c r="D1" s="178"/>
      <c r="E1" s="178"/>
      <c r="F1" s="178"/>
      <c r="G1" s="178"/>
      <c r="H1" s="178"/>
      <c r="I1" s="178"/>
      <c r="J1" s="179"/>
    </row>
    <row r="2" spans="1:10" ht="10.050000000000001" customHeight="1">
      <c r="A2" s="54"/>
      <c r="B2" s="55"/>
      <c r="C2" s="55"/>
      <c r="D2" s="55"/>
      <c r="E2" s="55"/>
      <c r="F2" s="55"/>
      <c r="G2" s="55"/>
      <c r="H2" s="55"/>
      <c r="I2" s="55"/>
      <c r="J2" s="56"/>
    </row>
    <row r="3" spans="1:10" ht="15" customHeight="1">
      <c r="A3" s="94" t="s">
        <v>1</v>
      </c>
      <c r="B3" s="95"/>
      <c r="C3" s="33"/>
      <c r="D3" s="33"/>
      <c r="E3" s="7"/>
      <c r="F3" s="95" t="s">
        <v>29</v>
      </c>
      <c r="G3" s="33"/>
      <c r="H3" s="33"/>
      <c r="I3" s="33"/>
      <c r="J3" s="8"/>
    </row>
    <row r="4" spans="1:10" ht="15" customHeight="1">
      <c r="A4" s="9" t="s">
        <v>56</v>
      </c>
      <c r="B4" s="96"/>
      <c r="C4" s="97"/>
      <c r="D4" s="97"/>
      <c r="E4" s="98"/>
      <c r="F4" s="9" t="str">
        <f>INVOICE!E4</f>
        <v>B202508008</v>
      </c>
      <c r="G4" s="77"/>
      <c r="H4" s="81"/>
      <c r="I4" s="33"/>
      <c r="J4" s="8"/>
    </row>
    <row r="5" spans="1:10" ht="15" customHeight="1">
      <c r="A5" s="187" t="s">
        <v>55</v>
      </c>
      <c r="B5" s="188"/>
      <c r="C5" s="188"/>
      <c r="D5" s="188"/>
      <c r="E5" s="189"/>
      <c r="F5" s="99">
        <f>INVOICE!E5</f>
        <v>45888</v>
      </c>
      <c r="G5" s="100"/>
      <c r="H5" s="100"/>
      <c r="I5" s="33"/>
      <c r="J5" s="8"/>
    </row>
    <row r="6" spans="1:10" ht="15" customHeight="1">
      <c r="A6" s="187"/>
      <c r="B6" s="188"/>
      <c r="C6" s="188"/>
      <c r="D6" s="188"/>
      <c r="E6" s="189"/>
      <c r="F6" s="101"/>
      <c r="G6" s="33"/>
      <c r="H6" s="33"/>
      <c r="I6" s="33"/>
      <c r="J6" s="8"/>
    </row>
    <row r="7" spans="1:10" ht="15" customHeight="1">
      <c r="A7" s="15"/>
      <c r="B7" s="17"/>
      <c r="C7" s="102"/>
      <c r="D7" s="102"/>
      <c r="E7" s="103"/>
      <c r="F7" s="104"/>
      <c r="G7" s="105"/>
      <c r="H7" s="105"/>
      <c r="I7" s="105"/>
      <c r="J7" s="106"/>
    </row>
    <row r="8" spans="1:10" ht="15" customHeight="1">
      <c r="A8" s="22" t="s">
        <v>51</v>
      </c>
      <c r="B8" s="107"/>
      <c r="C8" s="108"/>
      <c r="D8" s="108"/>
      <c r="E8" s="109"/>
      <c r="F8" s="107" t="s">
        <v>30</v>
      </c>
      <c r="G8" s="33"/>
      <c r="H8" s="33"/>
      <c r="I8" s="33"/>
      <c r="J8" s="8"/>
    </row>
    <row r="9" spans="1:10" ht="15" customHeight="1">
      <c r="A9" s="28" t="s">
        <v>42</v>
      </c>
      <c r="B9" s="10"/>
      <c r="C9" s="33"/>
      <c r="D9" s="33"/>
      <c r="E9" s="110"/>
      <c r="F9" s="95"/>
      <c r="G9" s="77"/>
      <c r="H9" s="77"/>
      <c r="I9" s="77"/>
      <c r="J9" s="8"/>
    </row>
    <row r="10" spans="1:10" ht="15" customHeight="1">
      <c r="A10" s="184" t="s">
        <v>43</v>
      </c>
      <c r="B10" s="185"/>
      <c r="C10" s="185"/>
      <c r="D10" s="185"/>
      <c r="E10" s="186"/>
      <c r="F10" s="95"/>
      <c r="G10" s="33"/>
      <c r="H10" s="33"/>
      <c r="I10" s="77"/>
      <c r="J10" s="8"/>
    </row>
    <row r="11" spans="1:10" ht="15" customHeight="1">
      <c r="A11" s="184"/>
      <c r="B11" s="185"/>
      <c r="C11" s="185"/>
      <c r="D11" s="185"/>
      <c r="E11" s="186"/>
      <c r="F11" s="95"/>
      <c r="G11" s="33"/>
      <c r="H11" s="33"/>
      <c r="I11" s="77"/>
      <c r="J11" s="8"/>
    </row>
    <row r="12" spans="1:10" ht="15" customHeight="1">
      <c r="A12" s="35"/>
      <c r="B12" s="36"/>
      <c r="C12" s="105"/>
      <c r="D12" s="105"/>
      <c r="E12" s="106"/>
      <c r="F12" s="33"/>
      <c r="G12" s="97"/>
      <c r="H12" s="97"/>
      <c r="I12" s="33"/>
      <c r="J12" s="8"/>
    </row>
    <row r="13" spans="1:10" ht="15" customHeight="1">
      <c r="A13" s="22" t="s">
        <v>52</v>
      </c>
      <c r="B13" s="95"/>
      <c r="C13" s="33"/>
      <c r="D13" s="33"/>
      <c r="E13" s="110"/>
      <c r="F13" s="111"/>
      <c r="G13" s="87"/>
      <c r="H13" s="33"/>
      <c r="I13" s="33"/>
      <c r="J13" s="8"/>
    </row>
    <row r="14" spans="1:10" ht="15" customHeight="1">
      <c r="A14" s="184" t="s">
        <v>43</v>
      </c>
      <c r="B14" s="185"/>
      <c r="C14" s="185"/>
      <c r="D14" s="185"/>
      <c r="E14" s="186"/>
      <c r="F14" s="111"/>
      <c r="G14" s="87"/>
      <c r="H14" s="33"/>
      <c r="I14" s="33"/>
      <c r="J14" s="8"/>
    </row>
    <row r="15" spans="1:10" ht="15" customHeight="1">
      <c r="A15" s="184"/>
      <c r="B15" s="185"/>
      <c r="C15" s="185"/>
      <c r="D15" s="185"/>
      <c r="E15" s="186"/>
      <c r="F15" s="33"/>
      <c r="G15" s="33"/>
      <c r="H15" s="33"/>
      <c r="I15" s="33"/>
      <c r="J15" s="8"/>
    </row>
    <row r="16" spans="1:10" ht="15" customHeight="1">
      <c r="A16" s="104"/>
      <c r="B16" s="105"/>
      <c r="C16" s="105"/>
      <c r="D16" s="105"/>
      <c r="E16" s="106"/>
      <c r="F16" s="180"/>
      <c r="G16" s="180"/>
      <c r="H16" s="112"/>
      <c r="I16" s="113"/>
      <c r="J16" s="8"/>
    </row>
    <row r="17" spans="1:10" ht="15" customHeight="1">
      <c r="A17" s="114" t="s">
        <v>31</v>
      </c>
      <c r="B17" s="107"/>
      <c r="C17" s="115"/>
      <c r="D17" s="107" t="s">
        <v>32</v>
      </c>
      <c r="E17" s="116"/>
      <c r="F17" s="180"/>
      <c r="G17" s="180"/>
      <c r="H17" s="117"/>
      <c r="I17" s="33"/>
      <c r="J17" s="8"/>
    </row>
    <row r="18" spans="1:10" ht="15" customHeight="1">
      <c r="A18" s="181"/>
      <c r="B18" s="182"/>
      <c r="C18" s="183"/>
      <c r="D18" s="181"/>
      <c r="E18" s="183"/>
      <c r="F18" s="180"/>
      <c r="G18" s="180"/>
      <c r="H18" s="117"/>
      <c r="I18" s="33"/>
      <c r="J18" s="8"/>
    </row>
    <row r="19" spans="1:10" ht="15" customHeight="1">
      <c r="A19" s="114" t="s">
        <v>10</v>
      </c>
      <c r="B19" s="95"/>
      <c r="C19" s="7"/>
      <c r="D19" s="107" t="s">
        <v>11</v>
      </c>
      <c r="E19" s="38"/>
      <c r="F19" s="33"/>
      <c r="G19" s="33"/>
      <c r="H19" s="33"/>
      <c r="I19" s="33"/>
      <c r="J19" s="8"/>
    </row>
    <row r="20" spans="1:10" ht="15" customHeight="1">
      <c r="A20" s="181"/>
      <c r="B20" s="182"/>
      <c r="C20" s="183"/>
      <c r="D20" s="161"/>
      <c r="E20" s="162"/>
      <c r="F20" s="105"/>
      <c r="G20" s="105"/>
      <c r="H20" s="105"/>
      <c r="I20" s="105"/>
      <c r="J20" s="93"/>
    </row>
    <row r="21" spans="1:10">
      <c r="A21" s="172" t="s">
        <v>33</v>
      </c>
      <c r="B21" s="173" t="s">
        <v>14</v>
      </c>
      <c r="C21" s="173" t="s">
        <v>13</v>
      </c>
      <c r="D21" s="174" t="s">
        <v>15</v>
      </c>
      <c r="E21" s="174"/>
      <c r="F21" s="190" t="s">
        <v>16</v>
      </c>
      <c r="G21" s="190" t="s">
        <v>17</v>
      </c>
      <c r="H21" s="118" t="s">
        <v>34</v>
      </c>
      <c r="I21" s="118" t="s">
        <v>35</v>
      </c>
      <c r="J21" s="175" t="s">
        <v>36</v>
      </c>
    </row>
    <row r="22" spans="1:10">
      <c r="A22" s="172"/>
      <c r="B22" s="173"/>
      <c r="C22" s="173"/>
      <c r="D22" s="174"/>
      <c r="E22" s="174"/>
      <c r="F22" s="190"/>
      <c r="G22" s="190"/>
      <c r="H22" s="118" t="s">
        <v>37</v>
      </c>
      <c r="I22" s="118" t="s">
        <v>37</v>
      </c>
      <c r="J22" s="176"/>
    </row>
    <row r="23" spans="1:10" ht="30" customHeight="1">
      <c r="A23" s="140">
        <v>1</v>
      </c>
      <c r="B23" s="47">
        <v>2250500271</v>
      </c>
      <c r="C23" s="47" t="s">
        <v>81</v>
      </c>
      <c r="D23" s="170" t="s">
        <v>90</v>
      </c>
      <c r="E23" s="170"/>
      <c r="F23" s="139">
        <v>1137</v>
      </c>
      <c r="G23" s="119" t="s">
        <v>25</v>
      </c>
      <c r="H23" s="137">
        <v>6.8</v>
      </c>
      <c r="I23" s="51">
        <v>338</v>
      </c>
      <c r="J23" s="120" t="s">
        <v>93</v>
      </c>
    </row>
    <row r="24" spans="1:10" ht="30" customHeight="1">
      <c r="A24" s="140" t="s">
        <v>92</v>
      </c>
      <c r="B24" s="47">
        <v>2250500271</v>
      </c>
      <c r="C24" s="47" t="s">
        <v>81</v>
      </c>
      <c r="D24" s="170" t="s">
        <v>90</v>
      </c>
      <c r="E24" s="170"/>
      <c r="F24" s="139">
        <v>8640</v>
      </c>
      <c r="G24" s="119" t="s">
        <v>25</v>
      </c>
      <c r="H24" s="137">
        <v>51.599999999999994</v>
      </c>
      <c r="I24" s="51"/>
      <c r="J24" s="120" t="s">
        <v>94</v>
      </c>
    </row>
    <row r="25" spans="1:10" ht="30" customHeight="1">
      <c r="A25" s="140">
        <v>5</v>
      </c>
      <c r="B25" s="47">
        <v>2250500271</v>
      </c>
      <c r="C25" s="47" t="s">
        <v>81</v>
      </c>
      <c r="D25" s="170" t="s">
        <v>90</v>
      </c>
      <c r="E25" s="170"/>
      <c r="F25" s="139">
        <v>303</v>
      </c>
      <c r="G25" s="119" t="s">
        <v>25</v>
      </c>
      <c r="H25" s="137">
        <v>1.8</v>
      </c>
      <c r="I25" s="51"/>
      <c r="J25" s="120" t="s">
        <v>95</v>
      </c>
    </row>
    <row r="26" spans="1:10" ht="30" customHeight="1">
      <c r="A26" s="171" t="s">
        <v>96</v>
      </c>
      <c r="B26" s="47">
        <v>2250300466</v>
      </c>
      <c r="C26" s="47" t="s">
        <v>82</v>
      </c>
      <c r="D26" s="170" t="s">
        <v>90</v>
      </c>
      <c r="E26" s="170"/>
      <c r="F26" s="139">
        <v>18000</v>
      </c>
      <c r="G26" s="119" t="s">
        <v>25</v>
      </c>
      <c r="H26" s="137">
        <v>110.67</v>
      </c>
      <c r="I26" s="51"/>
      <c r="J26" s="120" t="s">
        <v>97</v>
      </c>
    </row>
    <row r="27" spans="1:10" ht="30" customHeight="1">
      <c r="A27" s="171"/>
      <c r="B27" s="47">
        <v>2250301462</v>
      </c>
      <c r="C27" s="47" t="s">
        <v>82</v>
      </c>
      <c r="D27" s="170" t="s">
        <v>90</v>
      </c>
      <c r="E27" s="170"/>
      <c r="F27" s="139">
        <v>720</v>
      </c>
      <c r="G27" s="119" t="s">
        <v>25</v>
      </c>
      <c r="H27" s="137">
        <v>4.43</v>
      </c>
      <c r="I27" s="51"/>
      <c r="J27" s="120" t="s">
        <v>93</v>
      </c>
    </row>
    <row r="28" spans="1:10" ht="30" customHeight="1">
      <c r="A28" s="171" t="s">
        <v>98</v>
      </c>
      <c r="B28" s="47">
        <v>2250500994</v>
      </c>
      <c r="C28" s="47" t="s">
        <v>75</v>
      </c>
      <c r="D28" s="170" t="s">
        <v>90</v>
      </c>
      <c r="E28" s="170"/>
      <c r="F28" s="139">
        <v>3000</v>
      </c>
      <c r="G28" s="119" t="s">
        <v>25</v>
      </c>
      <c r="H28" s="137">
        <v>12.42</v>
      </c>
      <c r="I28" s="51"/>
      <c r="J28" s="191" t="s">
        <v>77</v>
      </c>
    </row>
    <row r="29" spans="1:10" ht="30" customHeight="1">
      <c r="A29" s="171"/>
      <c r="B29" s="47">
        <v>2250503701</v>
      </c>
      <c r="C29" s="47" t="s">
        <v>75</v>
      </c>
      <c r="D29" s="170" t="s">
        <v>90</v>
      </c>
      <c r="E29" s="170"/>
      <c r="F29" s="139">
        <v>1500</v>
      </c>
      <c r="G29" s="119" t="s">
        <v>25</v>
      </c>
      <c r="H29" s="137">
        <v>6.21</v>
      </c>
      <c r="I29" s="51"/>
      <c r="J29" s="191"/>
    </row>
    <row r="30" spans="1:10" ht="30" customHeight="1">
      <c r="A30" s="140">
        <v>16</v>
      </c>
      <c r="B30" s="47">
        <v>2250600994</v>
      </c>
      <c r="C30" s="47" t="s">
        <v>75</v>
      </c>
      <c r="D30" s="170" t="s">
        <v>90</v>
      </c>
      <c r="E30" s="170"/>
      <c r="F30" s="139">
        <v>1200</v>
      </c>
      <c r="G30" s="119" t="s">
        <v>25</v>
      </c>
      <c r="H30" s="137">
        <v>4.97</v>
      </c>
      <c r="I30" s="51"/>
      <c r="J30" s="120" t="s">
        <v>53</v>
      </c>
    </row>
    <row r="31" spans="1:10" ht="30" customHeight="1">
      <c r="A31" s="171" t="s">
        <v>100</v>
      </c>
      <c r="B31" s="47">
        <v>2250502913</v>
      </c>
      <c r="C31" s="47" t="s">
        <v>83</v>
      </c>
      <c r="D31" s="170" t="s">
        <v>90</v>
      </c>
      <c r="E31" s="170"/>
      <c r="F31" s="139">
        <v>17850</v>
      </c>
      <c r="G31" s="119" t="s">
        <v>25</v>
      </c>
      <c r="H31" s="137">
        <v>21</v>
      </c>
      <c r="I31" s="51"/>
      <c r="J31" s="191" t="s">
        <v>101</v>
      </c>
    </row>
    <row r="32" spans="1:10" ht="30" customHeight="1">
      <c r="A32" s="171"/>
      <c r="B32" s="47">
        <v>2250503701</v>
      </c>
      <c r="C32" s="47" t="s">
        <v>83</v>
      </c>
      <c r="D32" s="170" t="s">
        <v>90</v>
      </c>
      <c r="E32" s="170"/>
      <c r="F32" s="139">
        <v>11900</v>
      </c>
      <c r="G32" s="119" t="s">
        <v>25</v>
      </c>
      <c r="H32" s="137">
        <v>14</v>
      </c>
      <c r="I32" s="51"/>
      <c r="J32" s="191"/>
    </row>
    <row r="33" spans="1:10" ht="30" customHeight="1">
      <c r="A33" s="171"/>
      <c r="B33" s="47">
        <v>2250600994</v>
      </c>
      <c r="C33" s="47" t="s">
        <v>83</v>
      </c>
      <c r="D33" s="170" t="s">
        <v>90</v>
      </c>
      <c r="E33" s="170"/>
      <c r="F33" s="139">
        <v>47600</v>
      </c>
      <c r="G33" s="119" t="s">
        <v>25</v>
      </c>
      <c r="H33" s="137">
        <v>56</v>
      </c>
      <c r="I33" s="51"/>
      <c r="J33" s="191"/>
    </row>
    <row r="34" spans="1:10" ht="30" customHeight="1">
      <c r="A34" s="140">
        <v>30</v>
      </c>
      <c r="B34" s="47">
        <v>2250602368</v>
      </c>
      <c r="C34" s="47" t="s">
        <v>80</v>
      </c>
      <c r="D34" s="170" t="s">
        <v>90</v>
      </c>
      <c r="E34" s="170"/>
      <c r="F34" s="139">
        <v>4200</v>
      </c>
      <c r="G34" s="119" t="s">
        <v>25</v>
      </c>
      <c r="H34" s="137">
        <v>5.25</v>
      </c>
      <c r="I34" s="51"/>
      <c r="J34" s="120" t="s">
        <v>53</v>
      </c>
    </row>
    <row r="35" spans="1:10" ht="30" customHeight="1">
      <c r="A35" s="140">
        <v>31</v>
      </c>
      <c r="B35" s="47">
        <v>2250701272</v>
      </c>
      <c r="C35" s="47" t="s">
        <v>80</v>
      </c>
      <c r="D35" s="170" t="s">
        <v>90</v>
      </c>
      <c r="E35" s="170"/>
      <c r="F35" s="139">
        <v>600</v>
      </c>
      <c r="G35" s="119" t="s">
        <v>25</v>
      </c>
      <c r="H35" s="137">
        <v>0.75</v>
      </c>
      <c r="I35" s="51"/>
      <c r="J35" s="120" t="s">
        <v>78</v>
      </c>
    </row>
    <row r="36" spans="1:10" ht="30" customHeight="1">
      <c r="A36" s="140">
        <v>32</v>
      </c>
      <c r="B36" s="47">
        <v>2250400853</v>
      </c>
      <c r="C36" s="47" t="s">
        <v>84</v>
      </c>
      <c r="D36" s="170" t="s">
        <v>90</v>
      </c>
      <c r="E36" s="170"/>
      <c r="F36" s="139">
        <v>1000</v>
      </c>
      <c r="G36" s="119" t="s">
        <v>25</v>
      </c>
      <c r="H36" s="137">
        <v>2.4</v>
      </c>
      <c r="I36" s="51"/>
      <c r="J36" s="120" t="s">
        <v>102</v>
      </c>
    </row>
    <row r="37" spans="1:10">
      <c r="A37" s="121"/>
      <c r="B37" s="122"/>
      <c r="C37" s="123"/>
      <c r="D37" s="123"/>
      <c r="E37" s="123"/>
      <c r="F37" s="124"/>
      <c r="G37" s="123"/>
      <c r="H37" s="125"/>
      <c r="I37" s="126"/>
      <c r="J37" s="127"/>
    </row>
    <row r="38" spans="1:10">
      <c r="A38" s="128">
        <v>32</v>
      </c>
      <c r="B38" s="33"/>
      <c r="C38" s="95"/>
      <c r="D38" s="29"/>
      <c r="E38" s="118" t="s">
        <v>38</v>
      </c>
      <c r="F38" s="129">
        <f>SUM(F23:F36)</f>
        <v>117650</v>
      </c>
      <c r="G38" s="118"/>
      <c r="H38" s="130">
        <f>SUM(H23:H36)</f>
        <v>298.29999999999995</v>
      </c>
      <c r="I38" s="130">
        <f>SUM(I23:I36)</f>
        <v>338</v>
      </c>
      <c r="J38" s="131" t="s">
        <v>99</v>
      </c>
    </row>
    <row r="39" spans="1:10">
      <c r="A39" s="132"/>
      <c r="E39" s="133" t="s">
        <v>39</v>
      </c>
      <c r="F39" s="10">
        <v>1</v>
      </c>
      <c r="J39" s="134"/>
    </row>
    <row r="40" spans="1:10">
      <c r="A40" s="132"/>
      <c r="E40" s="133" t="s">
        <v>40</v>
      </c>
      <c r="F40" s="135" t="s">
        <v>69</v>
      </c>
      <c r="J40" s="134"/>
    </row>
    <row r="41" spans="1:10">
      <c r="A41" s="132"/>
      <c r="E41" s="133" t="s">
        <v>41</v>
      </c>
      <c r="F41" s="135" t="s">
        <v>54</v>
      </c>
      <c r="J41" s="134"/>
    </row>
    <row r="42" spans="1:10">
      <c r="A42" s="54"/>
      <c r="B42" s="55"/>
      <c r="C42" s="55"/>
      <c r="D42" s="55"/>
      <c r="E42" s="55"/>
      <c r="F42" s="55"/>
      <c r="G42" s="55"/>
      <c r="H42" s="55"/>
      <c r="I42" s="55"/>
      <c r="J42" s="56"/>
    </row>
  </sheetData>
  <mergeCells count="37">
    <mergeCell ref="A31:A33"/>
    <mergeCell ref="J31:J33"/>
    <mergeCell ref="J21:J22"/>
    <mergeCell ref="D32:E32"/>
    <mergeCell ref="A1:J1"/>
    <mergeCell ref="F16:G16"/>
    <mergeCell ref="F17:G17"/>
    <mergeCell ref="A18:C18"/>
    <mergeCell ref="D18:E18"/>
    <mergeCell ref="F18:G18"/>
    <mergeCell ref="A14:E15"/>
    <mergeCell ref="A5:E6"/>
    <mergeCell ref="A10:E11"/>
    <mergeCell ref="A20:C20"/>
    <mergeCell ref="D20:E20"/>
    <mergeCell ref="F21:F22"/>
    <mergeCell ref="G21:G22"/>
    <mergeCell ref="J28:J29"/>
    <mergeCell ref="A21:A22"/>
    <mergeCell ref="B21:B22"/>
    <mergeCell ref="C21:C22"/>
    <mergeCell ref="D21:E22"/>
    <mergeCell ref="D28:E28"/>
    <mergeCell ref="D23:E23"/>
    <mergeCell ref="D24:E24"/>
    <mergeCell ref="D25:E25"/>
    <mergeCell ref="A26:A27"/>
    <mergeCell ref="D26:E26"/>
    <mergeCell ref="D27:E27"/>
    <mergeCell ref="D31:E31"/>
    <mergeCell ref="D33:E33"/>
    <mergeCell ref="D36:E36"/>
    <mergeCell ref="D29:E29"/>
    <mergeCell ref="D30:E30"/>
    <mergeCell ref="A28:A29"/>
    <mergeCell ref="D34:E34"/>
    <mergeCell ref="D35:E35"/>
  </mergeCells>
  <phoneticPr fontId="9" type="noConversion"/>
  <pageMargins left="0.15748031496062992" right="0" top="0.19685039370078741" bottom="0" header="0.51181102362204722" footer="0.51181102362204722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INVOICE!Print_Area</vt:lpstr>
      <vt:lpstr>PACKING!Print_Area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acc</cp:lastModifiedBy>
  <cp:lastPrinted>2025-08-20T02:54:27Z</cp:lastPrinted>
  <dcterms:created xsi:type="dcterms:W3CDTF">2025-07-17T08:11:00Z</dcterms:created>
  <dcterms:modified xsi:type="dcterms:W3CDTF">2025-08-20T03:08:33Z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