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codeName="ThisWorkbook"/>
  <xr:revisionPtr revIDLastSave="0" documentId="11_AE780223E0F708E544EEEDFA5075419972F1CD07" xr6:coauthVersionLast="47" xr6:coauthVersionMax="47" xr10:uidLastSave="{00000000-0000-0000-0000-000000000000}"/>
  <bookViews>
    <workbookView xWindow="0" yWindow="0" windowWidth="23040" windowHeight="10535" xr2:uid="{00000000-000D-0000-FFFF-FFFF00000000}"/>
  </bookViews>
  <sheets>
    <sheet name="INVOICE" sheetId="1" r:id="rId1"/>
    <sheet name="PACKING" sheetId="2" r:id="rId2"/>
  </sheets>
  <definedNames>
    <definedName name="_xlnm._FilterDatabase" localSheetId="0" hidden="1">INVOICE!$A$20:$O$20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" l="1"/>
  <c r="I34" i="2"/>
  <c r="H34" i="2"/>
  <c r="F34" i="2"/>
  <c r="A34" i="2"/>
  <c r="F22" i="2"/>
  <c r="D22" i="2"/>
  <c r="C22" i="2"/>
  <c r="B22" i="2"/>
  <c r="F21" i="2"/>
  <c r="D21" i="2"/>
  <c r="C21" i="2"/>
  <c r="B21" i="2"/>
  <c r="G4" i="2"/>
  <c r="G3" i="2"/>
  <c r="O37" i="1"/>
  <c r="I37" i="1"/>
  <c r="E37" i="1"/>
  <c r="I22" i="1"/>
  <c r="I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20" authorId="0" shapeId="0" xr:uid="{00000000-0006-0000-0000-00000100000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E37" authorId="0" shapeId="0" xr:uid="{00000000-0006-0000-0100-000001000000}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<sst xmlns="http://schemas.openxmlformats.org/spreadsheetml/2006/main" count="109" uniqueCount="74">
  <si>
    <t>COMMERCIAL INVOICE</t>
  </si>
  <si>
    <t>Shipper/Exporter</t>
  </si>
  <si>
    <t>No. &amp; Date of Invoice</t>
  </si>
  <si>
    <t>TXC CORPORATION</t>
  </si>
  <si>
    <t xml:space="preserve">Invoice No.: </t>
  </si>
  <si>
    <t>TXC2512CQ103</t>
  </si>
  <si>
    <t>4F, NO.16, Sec. 2 Chung Yang S. Rd., Peitou Taipei, Taiwan</t>
  </si>
  <si>
    <t xml:space="preserve">Invoice Date: </t>
  </si>
  <si>
    <t>TEL: +886-2-28941202</t>
  </si>
  <si>
    <t>FAX: +886-3-4696954</t>
  </si>
  <si>
    <t>Bill To:</t>
  </si>
  <si>
    <t xml:space="preserve"> Payment Term</t>
  </si>
  <si>
    <t>SerNet(SuZhou) Technologies Corporation</t>
  </si>
  <si>
    <t>Net 90_C20</t>
  </si>
  <si>
    <t>No.8 TangZhuang Road SuZhou Industrial Park JiangSu, China</t>
  </si>
  <si>
    <t>Contact Person:Eleana  Zhang      TEL: +86-0512-67613993 6555</t>
  </si>
  <si>
    <t>Ship To:</t>
  </si>
  <si>
    <t xml:space="preserve"> Trade Term</t>
  </si>
  <si>
    <t>CIP</t>
  </si>
  <si>
    <t>Contact Person:Olivia Zhang      TEL: +86-0512-67613993 6516</t>
  </si>
  <si>
    <t>Port of Loading</t>
  </si>
  <si>
    <t>Port of Discharge</t>
  </si>
  <si>
    <t xml:space="preserve"> Remarks:</t>
  </si>
  <si>
    <t>TPE</t>
  </si>
  <si>
    <t>Carrier</t>
  </si>
  <si>
    <t>Sailing on/or About</t>
  </si>
  <si>
    <t>贸易国：</t>
  </si>
  <si>
    <t>Taiwan, China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</si>
  <si>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</si>
  <si>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</si>
  <si>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</si>
  <si>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</si>
  <si>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</si>
  <si>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</si>
  <si>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</si>
  <si>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</si>
  <si>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</si>
  <si>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</si>
  <si>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</si>
  <si>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</si>
  <si>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</si>
  <si>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</si>
  <si>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</si>
  <si>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3713260DTX</t>
  </si>
  <si>
    <t>2250903064-2</t>
  </si>
  <si>
    <t>SEAM XTAL / 25.000000 MHz</t>
  </si>
  <si>
    <t>PCS</t>
  </si>
  <si>
    <t>USD</t>
  </si>
  <si>
    <t>CN</t>
  </si>
  <si>
    <t>TXC</t>
  </si>
  <si>
    <t>境外品牌(其他)</t>
  </si>
  <si>
    <t>7M25000129</t>
  </si>
  <si>
    <t>37125602TX</t>
  </si>
  <si>
    <t>2250903064-1</t>
  </si>
  <si>
    <t>7M25000032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</si>
  <si>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</si>
  <si>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</si>
  <si>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</si>
  <si>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</si>
  <si>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</si>
  <si>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</si>
  <si>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</si>
  <si>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</si>
  <si>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</si>
  <si>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</si>
  <si>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</si>
  <si>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21*21*26</t>
  </si>
  <si>
    <t>TOTAL</t>
  </si>
  <si>
    <t>0.2m³</t>
  </si>
  <si>
    <t>件数</t>
  </si>
  <si>
    <t>包装种类</t>
  </si>
  <si>
    <t>纸箱</t>
  </si>
  <si>
    <t>托盘材质</t>
  </si>
  <si>
    <r>
      <rPr>
        <sz val="10"/>
        <rFont val="宋体"/>
        <charset val="134"/>
      </rPr>
      <t>再生木托</t>
    </r>
    <r>
      <rPr>
        <sz val="10"/>
        <rFont val="Arial"/>
        <charset val="134"/>
      </rPr>
      <t>/</t>
    </r>
    <r>
      <rPr>
        <sz val="10"/>
        <rFont val="宋体"/>
        <charset val="134"/>
      </rPr>
      <t>天然木托</t>
    </r>
    <r>
      <rPr>
        <sz val="10"/>
        <rFont val="Arial"/>
        <charset val="134"/>
      </rPr>
      <t>/</t>
    </r>
    <r>
      <rPr>
        <sz val="10"/>
        <rFont val="宋体"/>
        <charset val="134"/>
      </rPr>
      <t>塑胶托等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</si>
</sst>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9" formatCode="yyyy/m/d;@"/>
    <numFmt numFmtId="181" formatCode="0.000_);[Red]\(0.000\)"/>
    <numFmt numFmtId="182" formatCode="0.00_);[Red]\(0.00\)"/>
    <numFmt numFmtId="183" formatCode="0.00_ "/>
    <numFmt numFmtId="184" formatCode="0_ "/>
    <numFmt numFmtId="185" formatCode="0.000_ "/>
    <numFmt numFmtId="186" formatCode="0.0000_);[Red]\(0.0000\)"/>
    <numFmt numFmtId="187" formatCode="#,##0.00_ "/>
  </numFmts>
  <fonts count="17">
    <font>
      <sz val="11"/>
      <color theme="1"/>
      <name val="宋体"/>
      <charset val="134"/>
      <scheme val="minor"/>
    </font>
    <font>
      <b/>
      <sz val="1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name val="新細明體"/>
      <charset val="136"/>
    </font>
    <font>
      <b/>
      <sz val="10"/>
      <name val="宋体"/>
      <charset val="134"/>
    </font>
    <font>
      <b/>
      <sz val="10"/>
      <name val="新細明體"/>
      <charset val="136"/>
    </font>
    <font>
      <sz val="18"/>
      <color theme="1"/>
      <name val="宋体"/>
      <charset val="136"/>
      <scheme val="minor"/>
    </font>
    <font>
      <sz val="10"/>
      <color indexed="12"/>
      <name val="新細明體"/>
      <charset val="136"/>
    </font>
    <font>
      <sz val="12"/>
      <name val="宋体"/>
      <charset val="134"/>
    </font>
    <font>
      <sz val="12"/>
      <name val="新細明體"/>
      <charset val="136"/>
    </font>
    <font>
      <sz val="14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5" fillId="0" borderId="0"/>
  </cellStyleXfs>
  <cellXfs count="172">
    <xf numFmtId="0" fontId="0" fillId="0" borderId="0" xfId="0">
      <alignment vertical="center"/>
    </xf>
    <xf numFmtId="0" fontId="2" fillId="2" borderId="2" xfId="1" applyFont="1" applyFill="1" applyBorder="1"/>
    <xf numFmtId="0" fontId="2" fillId="2" borderId="0" xfId="1" applyFont="1" applyFill="1"/>
    <xf numFmtId="0" fontId="3" fillId="0" borderId="0" xfId="1" applyFont="1"/>
    <xf numFmtId="0" fontId="4" fillId="0" borderId="3" xfId="1" applyFont="1" applyBorder="1"/>
    <xf numFmtId="49" fontId="3" fillId="2" borderId="0" xfId="0" applyNumberFormat="1" applyFont="1" applyFill="1">
      <alignment vertical="center"/>
    </xf>
    <xf numFmtId="0" fontId="3" fillId="2" borderId="0" xfId="1" applyFont="1" applyFill="1" applyAlignment="1">
      <alignment horizontal="left"/>
    </xf>
    <xf numFmtId="0" fontId="3" fillId="0" borderId="3" xfId="1" applyFont="1" applyBorder="1"/>
    <xf numFmtId="0" fontId="3" fillId="2" borderId="2" xfId="0" applyFont="1" applyFill="1" applyBorder="1">
      <alignment vertical="center"/>
    </xf>
    <xf numFmtId="0" fontId="3" fillId="3" borderId="0" xfId="2" applyFont="1" applyFill="1" applyAlignment="1">
      <alignment horizontal="left" vertical="center"/>
    </xf>
    <xf numFmtId="0" fontId="3" fillId="0" borderId="0" xfId="2" applyFont="1" applyAlignment="1">
      <alignment vertical="top" wrapText="1"/>
    </xf>
    <xf numFmtId="0" fontId="3" fillId="0" borderId="3" xfId="2" applyFont="1" applyBorder="1" applyAlignment="1">
      <alignment vertical="top" wrapText="1"/>
    </xf>
    <xf numFmtId="179" fontId="3" fillId="2" borderId="2" xfId="0" applyNumberFormat="1" applyFont="1" applyFill="1" applyBorder="1">
      <alignment vertical="center"/>
    </xf>
    <xf numFmtId="179" fontId="3" fillId="3" borderId="0" xfId="0" applyNumberFormat="1" applyFont="1" applyFill="1" applyAlignment="1">
      <alignment horizontal="left" vertical="center"/>
    </xf>
    <xf numFmtId="0" fontId="3" fillId="0" borderId="2" xfId="1" applyFont="1" applyBorder="1"/>
    <xf numFmtId="0" fontId="3" fillId="0" borderId="4" xfId="2" applyFont="1" applyBorder="1"/>
    <xf numFmtId="0" fontId="3" fillId="0" borderId="4" xfId="4" applyFont="1" applyBorder="1"/>
    <xf numFmtId="0" fontId="3" fillId="0" borderId="5" xfId="4" applyFont="1" applyBorder="1"/>
    <xf numFmtId="0" fontId="3" fillId="0" borderId="6" xfId="1" applyFont="1" applyBorder="1"/>
    <xf numFmtId="0" fontId="3" fillId="0" borderId="4" xfId="1" applyFont="1" applyBorder="1"/>
    <xf numFmtId="0" fontId="2" fillId="2" borderId="7" xfId="2" applyFont="1" applyFill="1" applyBorder="1"/>
    <xf numFmtId="0" fontId="2" fillId="2" borderId="8" xfId="1" applyFont="1" applyFill="1" applyBorder="1"/>
    <xf numFmtId="0" fontId="3" fillId="2" borderId="8" xfId="1" applyFont="1" applyFill="1" applyBorder="1"/>
    <xf numFmtId="0" fontId="3" fillId="2" borderId="9" xfId="1" applyFont="1" applyFill="1" applyBorder="1"/>
    <xf numFmtId="0" fontId="2" fillId="0" borderId="8" xfId="1" applyFont="1" applyBorder="1"/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/>
    <xf numFmtId="0" fontId="3" fillId="2" borderId="3" xfId="1" applyFont="1" applyFill="1" applyBorder="1"/>
    <xf numFmtId="0" fontId="2" fillId="0" borderId="0" xfId="1" applyFont="1"/>
    <xf numFmtId="0" fontId="3" fillId="0" borderId="0" xfId="2" applyFont="1"/>
    <xf numFmtId="0" fontId="3" fillId="2" borderId="0" xfId="1" applyFont="1" applyFill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6" xfId="0" applyFont="1" applyFill="1" applyBorder="1">
      <alignment vertical="center"/>
    </xf>
    <xf numFmtId="0" fontId="3" fillId="0" borderId="4" xfId="0" applyFont="1" applyBorder="1" applyAlignment="1"/>
    <xf numFmtId="0" fontId="3" fillId="0" borderId="5" xfId="1" applyFont="1" applyBorder="1"/>
    <xf numFmtId="0" fontId="5" fillId="0" borderId="0" xfId="1" applyFont="1"/>
    <xf numFmtId="0" fontId="3" fillId="0" borderId="9" xfId="1" applyFont="1" applyBorder="1"/>
    <xf numFmtId="0" fontId="6" fillId="0" borderId="0" xfId="1" applyFont="1"/>
    <xf numFmtId="0" fontId="3" fillId="0" borderId="0" xfId="0" applyFont="1" applyAlignment="1"/>
    <xf numFmtId="0" fontId="3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0" borderId="3" xfId="1" applyFont="1" applyBorder="1" applyAlignment="1">
      <alignment horizontal="left"/>
    </xf>
    <xf numFmtId="0" fontId="3" fillId="0" borderId="4" xfId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7" xfId="1" applyFont="1" applyBorder="1"/>
    <xf numFmtId="0" fontId="4" fillId="0" borderId="9" xfId="1" applyFont="1" applyBorder="1"/>
    <xf numFmtId="0" fontId="4" fillId="0" borderId="3" xfId="2" applyFont="1" applyBorder="1"/>
    <xf numFmtId="183" fontId="3" fillId="0" borderId="0" xfId="0" applyNumberFormat="1" applyFont="1" applyAlignment="1">
      <alignment horizontal="center" vertical="center"/>
    </xf>
    <xf numFmtId="0" fontId="7" fillId="0" borderId="3" xfId="1" applyFont="1" applyBorder="1" applyAlignment="1">
      <alignment horizontal="right"/>
    </xf>
    <xf numFmtId="0" fontId="2" fillId="2" borderId="0" xfId="2" applyFont="1" applyFill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 shrinkToFit="1"/>
    </xf>
    <xf numFmtId="0" fontId="3" fillId="3" borderId="0" xfId="0" applyFont="1" applyFill="1" applyAlignment="1">
      <alignment horizontal="center" vertical="center" wrapText="1" shrinkToFit="1"/>
    </xf>
    <xf numFmtId="0" fontId="3" fillId="2" borderId="0" xfId="0" applyFont="1" applyFill="1" applyAlignment="1">
      <alignment horizontal="left" vertical="center" shrinkToFit="1"/>
    </xf>
    <xf numFmtId="184" fontId="3" fillId="3" borderId="0" xfId="0" applyNumberFormat="1" applyFont="1" applyFill="1" applyAlignment="1">
      <alignment horizontal="center" vertical="center" shrinkToFit="1"/>
    </xf>
    <xf numFmtId="185" fontId="3" fillId="3" borderId="0" xfId="0" applyNumberFormat="1" applyFont="1" applyFill="1" applyAlignment="1">
      <alignment horizontal="center" vertical="center" wrapText="1" shrinkToFit="1"/>
    </xf>
    <xf numFmtId="181" fontId="3" fillId="3" borderId="0" xfId="0" applyNumberFormat="1" applyFont="1" applyFill="1" applyAlignment="1">
      <alignment horizontal="center" vertical="center" wrapText="1" shrinkToFit="1"/>
    </xf>
    <xf numFmtId="0" fontId="3" fillId="0" borderId="10" xfId="3" applyFont="1" applyBorder="1" applyAlignment="1">
      <alignment horizontal="center" vertical="center" wrapText="1" shrinkToFit="1"/>
    </xf>
    <xf numFmtId="0" fontId="3" fillId="0" borderId="11" xfId="3" applyFont="1" applyBorder="1" applyAlignment="1">
      <alignment horizontal="center" vertical="center" wrapText="1" shrinkToFit="1"/>
    </xf>
    <xf numFmtId="0" fontId="3" fillId="0" borderId="11" xfId="1" applyFont="1" applyBorder="1" applyAlignment="1">
      <alignment horizontal="center" vertical="center" wrapText="1" shrinkToFit="1"/>
    </xf>
    <xf numFmtId="185" fontId="4" fillId="0" borderId="11" xfId="1" applyNumberFormat="1" applyFont="1" applyBorder="1" applyAlignment="1">
      <alignment horizontal="center" vertical="center" wrapText="1" shrinkToFit="1"/>
    </xf>
    <xf numFmtId="181" fontId="3" fillId="0" borderId="11" xfId="1" applyNumberFormat="1" applyFont="1" applyBorder="1" applyAlignment="1">
      <alignment horizontal="center" vertical="center" wrapText="1" shrinkToFit="1"/>
    </xf>
    <xf numFmtId="184" fontId="2" fillId="3" borderId="2" xfId="1" applyNumberFormat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185" fontId="2" fillId="3" borderId="0" xfId="1" applyNumberFormat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181" fontId="2" fillId="3" borderId="0" xfId="1" applyNumberFormat="1" applyFont="1" applyFill="1" applyAlignment="1">
      <alignment horizontal="center"/>
    </xf>
    <xf numFmtId="0" fontId="0" fillId="0" borderId="2" xfId="0" applyBorder="1">
      <alignment vertical="center"/>
    </xf>
    <xf numFmtId="0" fontId="8" fillId="3" borderId="0" xfId="1" applyFont="1" applyFill="1" applyAlignment="1">
      <alignment horizontal="center" vertical="center"/>
    </xf>
    <xf numFmtId="184" fontId="3" fillId="3" borderId="0" xfId="1" applyNumberFormat="1" applyFont="1" applyFill="1"/>
    <xf numFmtId="0" fontId="8" fillId="2" borderId="0" xfId="1" applyFont="1" applyFill="1" applyAlignment="1">
      <alignment horizontal="center" vertical="center"/>
    </xf>
    <xf numFmtId="0" fontId="8" fillId="2" borderId="0" xfId="1" applyFont="1" applyFill="1"/>
    <xf numFmtId="0" fontId="0" fillId="2" borderId="0" xfId="0" applyFill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9" fillId="0" borderId="3" xfId="0" applyFont="1" applyBorder="1" applyAlignment="1"/>
    <xf numFmtId="0" fontId="3" fillId="0" borderId="0" xfId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81" fontId="2" fillId="0" borderId="11" xfId="1" applyNumberFormat="1" applyFont="1" applyBorder="1" applyAlignment="1">
      <alignment horizontal="center" vertical="center" wrapText="1" shrinkToFit="1"/>
    </xf>
    <xf numFmtId="182" fontId="2" fillId="0" borderId="12" xfId="1" applyNumberFormat="1" applyFont="1" applyBorder="1" applyAlignment="1">
      <alignment horizontal="center" vertical="center" wrapText="1" shrinkToFit="1"/>
    </xf>
    <xf numFmtId="182" fontId="2" fillId="3" borderId="3" xfId="1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2" fillId="0" borderId="0" xfId="0" applyFont="1">
      <alignment vertical="center"/>
    </xf>
    <xf numFmtId="0" fontId="2" fillId="2" borderId="2" xfId="2" applyFont="1" applyFill="1" applyBorder="1"/>
    <xf numFmtId="0" fontId="2" fillId="2" borderId="0" xfId="2" applyFont="1" applyFill="1"/>
    <xf numFmtId="0" fontId="3" fillId="2" borderId="0" xfId="2" applyFont="1" applyFill="1"/>
    <xf numFmtId="49" fontId="3" fillId="2" borderId="0" xfId="2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left" vertical="center"/>
    </xf>
    <xf numFmtId="0" fontId="3" fillId="2" borderId="2" xfId="2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6" xfId="2" applyFont="1" applyBorder="1" applyAlignment="1">
      <alignment vertical="center"/>
    </xf>
    <xf numFmtId="0" fontId="2" fillId="2" borderId="8" xfId="2" applyFont="1" applyFill="1" applyBorder="1"/>
    <xf numFmtId="0" fontId="3" fillId="2" borderId="8" xfId="2" applyFont="1" applyFill="1" applyBorder="1"/>
    <xf numFmtId="0" fontId="3" fillId="2" borderId="9" xfId="2" applyFont="1" applyFill="1" applyBorder="1"/>
    <xf numFmtId="0" fontId="2" fillId="0" borderId="7" xfId="2" applyFont="1" applyBorder="1"/>
    <xf numFmtId="0" fontId="3" fillId="0" borderId="8" xfId="2" applyFont="1" applyBorder="1"/>
    <xf numFmtId="0" fontId="2" fillId="2" borderId="3" xfId="1" applyFont="1" applyFill="1" applyBorder="1" applyAlignment="1">
      <alignment horizontal="left" vertical="center"/>
    </xf>
    <xf numFmtId="0" fontId="3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9" xfId="2" applyFont="1" applyBorder="1"/>
    <xf numFmtId="0" fontId="3" fillId="0" borderId="5" xfId="2" applyFont="1" applyBorder="1" applyAlignment="1">
      <alignment vertical="center"/>
    </xf>
    <xf numFmtId="0" fontId="2" fillId="0" borderId="0" xfId="2" applyFont="1"/>
    <xf numFmtId="0" fontId="8" fillId="0" borderId="0" xfId="2" applyFont="1" applyAlignment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8" fillId="0" borderId="6" xfId="0" applyFont="1" applyBorder="1">
      <alignment vertical="center"/>
    </xf>
    <xf numFmtId="0" fontId="3" fillId="0" borderId="0" xfId="0" applyFont="1">
      <alignment vertical="center"/>
    </xf>
    <xf numFmtId="0" fontId="2" fillId="0" borderId="2" xfId="2" applyFont="1" applyBorder="1"/>
    <xf numFmtId="0" fontId="8" fillId="0" borderId="0" xfId="2" applyFont="1"/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8" fillId="3" borderId="6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2" fillId="0" borderId="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187" fontId="3" fillId="3" borderId="0" xfId="0" applyNumberFormat="1" applyFont="1" applyFill="1" applyAlignment="1">
      <alignment horizontal="center" vertical="center" wrapText="1" shrinkToFit="1"/>
    </xf>
    <xf numFmtId="186" fontId="3" fillId="3" borderId="0" xfId="0" applyNumberFormat="1" applyFont="1" applyFill="1" applyAlignment="1">
      <alignment horizontal="center" vertical="center" wrapText="1" shrinkToFit="1"/>
    </xf>
    <xf numFmtId="0" fontId="12" fillId="0" borderId="2" xfId="0" applyFont="1" applyBorder="1">
      <alignment vertical="center"/>
    </xf>
    <xf numFmtId="0" fontId="3" fillId="0" borderId="15" xfId="2" applyFont="1" applyBorder="1"/>
    <xf numFmtId="0" fontId="3" fillId="0" borderId="16" xfId="2" applyFont="1" applyBorder="1"/>
    <xf numFmtId="185" fontId="2" fillId="3" borderId="16" xfId="2" applyNumberFormat="1" applyFont="1" applyFill="1" applyBorder="1" applyAlignment="1">
      <alignment horizontal="center"/>
    </xf>
    <xf numFmtId="0" fontId="2" fillId="0" borderId="16" xfId="2" applyFont="1" applyBorder="1"/>
    <xf numFmtId="186" fontId="2" fillId="0" borderId="16" xfId="2" applyNumberFormat="1" applyFont="1" applyBorder="1" applyAlignment="1">
      <alignment horizont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9" fillId="0" borderId="8" xfId="0" applyFont="1" applyBorder="1">
      <alignment vertical="center"/>
    </xf>
    <xf numFmtId="0" fontId="13" fillId="0" borderId="0" xfId="0" applyFont="1">
      <alignment vertical="center"/>
    </xf>
    <xf numFmtId="0" fontId="13" fillId="0" borderId="3" xfId="0" applyFont="1" applyBorder="1">
      <alignment vertical="center"/>
    </xf>
    <xf numFmtId="0" fontId="4" fillId="0" borderId="4" xfId="1" applyFont="1" applyBorder="1" applyAlignment="1">
      <alignment vertical="center"/>
    </xf>
    <xf numFmtId="0" fontId="9" fillId="0" borderId="8" xfId="0" applyFont="1" applyBorder="1" applyAlignment="1"/>
    <xf numFmtId="0" fontId="11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182" fontId="3" fillId="3" borderId="0" xfId="0" applyNumberFormat="1" applyFont="1" applyFill="1" applyAlignment="1">
      <alignment horizontal="center" vertical="center" wrapText="1" shrinkToFit="1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182" fontId="2" fillId="3" borderId="16" xfId="2" applyNumberFormat="1" applyFont="1" applyFill="1" applyBorder="1" applyAlignment="1">
      <alignment horizontal="center"/>
    </xf>
    <xf numFmtId="0" fontId="11" fillId="0" borderId="4" xfId="0" applyFont="1" applyBorder="1" applyAlignment="1"/>
    <xf numFmtId="0" fontId="1" fillId="0" borderId="13" xfId="2" applyFont="1" applyBorder="1" applyAlignment="1">
      <alignment horizontal="center"/>
    </xf>
    <xf numFmtId="0" fontId="1" fillId="0" borderId="14" xfId="2" applyFont="1" applyBorder="1" applyAlignment="1">
      <alignment horizontal="center"/>
    </xf>
    <xf numFmtId="0" fontId="1" fillId="0" borderId="17" xfId="2" applyFont="1" applyBorder="1" applyAlignment="1">
      <alignment horizontal="center"/>
    </xf>
    <xf numFmtId="179" fontId="3" fillId="3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9" fontId="3" fillId="0" borderId="6" xfId="0" applyNumberFormat="1" applyFont="1" applyBorder="1" applyAlignment="1">
      <alignment horizontal="left" vertical="center"/>
    </xf>
    <xf numFmtId="179" fontId="3" fillId="0" borderId="5" xfId="0" applyNumberFormat="1" applyFont="1" applyBorder="1" applyAlignment="1">
      <alignment horizontal="left" vertical="center"/>
    </xf>
    <xf numFmtId="0" fontId="3" fillId="0" borderId="16" xfId="2" applyFont="1" applyBorder="1" applyAlignment="1">
      <alignment horizontal="left"/>
    </xf>
    <xf numFmtId="0" fontId="1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79" fontId="3" fillId="0" borderId="6" xfId="0" applyNumberFormat="1" applyFont="1" applyBorder="1" applyAlignment="1">
      <alignment horizontal="left"/>
    </xf>
    <xf numFmtId="179" fontId="3" fillId="0" borderId="5" xfId="0" applyNumberFormat="1" applyFont="1" applyBorder="1" applyAlignment="1">
      <alignment horizontal="left"/>
    </xf>
    <xf numFmtId="0" fontId="3" fillId="2" borderId="0" xfId="0" applyFont="1" applyFill="1" applyAlignment="1">
      <alignment horizontal="left" vertical="center" shrinkToFit="1"/>
    </xf>
    <xf numFmtId="0" fontId="2" fillId="2" borderId="2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5">
    <cellStyle name="一般" xfId="0" builtinId="0"/>
    <cellStyle name="一般_OMRON" xfId="2" xr:uid="{00000000-0005-0000-0000-000032000000}"/>
    <cellStyle name="一般_OMRON海運出口" xfId="1" xr:uid="{00000000-0005-0000-0000-00001F000000}"/>
    <cellStyle name="常规_Sheet1_1" xfId="3" xr:uid="{00000000-0005-0000-0000-000033000000}"/>
    <cellStyle name="常规_啟德一般貿易" xfId="4" xr:uid="{00000000-0005-0000-0000-000034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37</xdr:row>
      <xdr:rowOff>44450</xdr:rowOff>
    </xdr:from>
    <xdr:to>
      <xdr:col>13</xdr:col>
      <xdr:colOff>831850</xdr:colOff>
      <xdr:row>43</xdr:row>
      <xdr:rowOff>172963</xdr:rowOff>
    </xdr:to>
    <xdr:pic>
      <xdr:nvPicPr>
        <xdr:cNvPr id="2" name="圖片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54620" y="6336665"/>
          <a:ext cx="4843145" cy="1819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7"/>
  <sheetViews>
    <sheetView tabSelected="1" workbookViewId="0">
      <selection activeCell="F3" sqref="F3"/>
    </sheetView>
  </sheetViews>
  <sheetFormatPr defaultColWidth="9" defaultRowHeight="22.15"/>
  <cols>
    <col min="1" max="1" width="11.25" style="86" customWidth="1"/>
    <col min="2" max="2" width="21.125" style="86" customWidth="1"/>
    <col min="3" max="3" width="18.875" style="86" customWidth="1"/>
    <col min="4" max="4" width="29.75" style="86" customWidth="1"/>
    <col min="5" max="5" width="14" style="86" customWidth="1"/>
    <col min="6" max="6" width="10.625" style="86" customWidth="1"/>
    <col min="7" max="7" width="10" style="86" customWidth="1"/>
    <col min="8" max="10" width="9" style="86"/>
    <col min="11" max="11" width="5.75" style="86" customWidth="1"/>
    <col min="12" max="12" width="9" style="86"/>
    <col min="13" max="13" width="14.125" style="86" customWidth="1"/>
    <col min="14" max="14" width="13.625" style="86" customWidth="1"/>
    <col min="15" max="15" width="9.375" style="86" customWidth="1"/>
    <col min="16" max="16384" width="9" style="86"/>
  </cols>
  <sheetData>
    <row r="1" spans="1:15" ht="23.6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12.6" customHeight="1">
      <c r="A2" s="87" t="s">
        <v>1</v>
      </c>
      <c r="B2" s="88"/>
      <c r="C2" s="29"/>
      <c r="D2" s="4"/>
      <c r="E2" s="87" t="s">
        <v>2</v>
      </c>
      <c r="F2" s="89"/>
      <c r="G2" s="89"/>
      <c r="H2" s="29"/>
      <c r="I2" s="29"/>
      <c r="J2" s="132"/>
      <c r="K2" s="132"/>
      <c r="L2" s="132"/>
      <c r="M2" s="132"/>
      <c r="N2" s="132"/>
      <c r="O2" s="78"/>
    </row>
    <row r="3" spans="1:15" ht="12.6" customHeight="1">
      <c r="A3" s="5" t="s">
        <v>3</v>
      </c>
      <c r="B3" s="41"/>
      <c r="C3" s="5"/>
      <c r="D3" s="41"/>
      <c r="E3" s="8" t="s">
        <v>4</v>
      </c>
      <c r="F3" s="9" t="s">
        <v>5</v>
      </c>
      <c r="G3" s="9"/>
      <c r="H3" s="90"/>
      <c r="I3" s="93"/>
      <c r="J3" s="133"/>
      <c r="K3" s="133"/>
      <c r="L3" s="133"/>
      <c r="M3" s="133"/>
      <c r="N3" s="133"/>
      <c r="O3" s="134"/>
    </row>
    <row r="4" spans="1:15" ht="12.6" customHeight="1">
      <c r="A4" s="5" t="s">
        <v>6</v>
      </c>
      <c r="B4" s="41"/>
      <c r="C4" s="5"/>
      <c r="D4" s="41"/>
      <c r="E4" s="12" t="s">
        <v>7</v>
      </c>
      <c r="F4" s="153">
        <v>46000</v>
      </c>
      <c r="G4" s="153"/>
      <c r="H4" s="91"/>
      <c r="I4" s="93"/>
      <c r="J4" s="133"/>
      <c r="K4" s="133"/>
      <c r="L4" s="133"/>
      <c r="M4" s="133"/>
      <c r="N4" s="133"/>
      <c r="O4" s="134"/>
    </row>
    <row r="5" spans="1:15" ht="12.6" customHeight="1">
      <c r="A5" s="5" t="s">
        <v>8</v>
      </c>
      <c r="B5" s="41"/>
      <c r="C5" s="5"/>
      <c r="D5" s="41"/>
      <c r="E5" s="92"/>
      <c r="F5" s="93"/>
      <c r="G5" s="93"/>
      <c r="H5" s="93"/>
      <c r="I5" s="93"/>
      <c r="J5" s="133"/>
      <c r="K5" s="133"/>
      <c r="L5" s="133"/>
      <c r="M5" s="133"/>
      <c r="N5" s="133"/>
      <c r="O5" s="134"/>
    </row>
    <row r="6" spans="1:15" ht="12.6" customHeight="1">
      <c r="A6" s="5" t="s">
        <v>9</v>
      </c>
      <c r="B6" s="41"/>
      <c r="C6" s="5"/>
      <c r="D6" s="41"/>
      <c r="E6" s="94"/>
      <c r="F6" s="44"/>
      <c r="G6" s="44"/>
      <c r="H6" s="44"/>
      <c r="I6" s="44"/>
      <c r="J6" s="135"/>
      <c r="K6" s="135"/>
      <c r="L6" s="135"/>
      <c r="M6" s="135"/>
      <c r="N6" s="135"/>
      <c r="O6" s="136"/>
    </row>
    <row r="7" spans="1:15" ht="12.6" customHeight="1">
      <c r="A7" s="20" t="s">
        <v>10</v>
      </c>
      <c r="B7" s="95"/>
      <c r="C7" s="96"/>
      <c r="D7" s="97"/>
      <c r="E7" s="98" t="s">
        <v>11</v>
      </c>
      <c r="F7" s="99"/>
      <c r="G7" s="99"/>
      <c r="H7" s="99"/>
      <c r="I7" s="99"/>
      <c r="J7" s="137"/>
      <c r="K7" s="133"/>
      <c r="L7" s="133"/>
      <c r="M7" s="133"/>
      <c r="N7" s="133"/>
      <c r="O7" s="134"/>
    </row>
    <row r="8" spans="1:15" ht="12.6" customHeight="1">
      <c r="A8" s="25" t="s">
        <v>12</v>
      </c>
      <c r="B8" s="39"/>
      <c r="C8" s="40"/>
      <c r="D8" s="100"/>
      <c r="E8" s="101" t="s">
        <v>13</v>
      </c>
      <c r="F8" s="102"/>
      <c r="G8" s="102"/>
      <c r="H8" s="102"/>
      <c r="I8" s="102"/>
      <c r="J8" s="133"/>
      <c r="K8" s="133"/>
      <c r="L8" s="133"/>
      <c r="M8" s="133"/>
      <c r="N8" s="133"/>
      <c r="O8" s="134"/>
    </row>
    <row r="9" spans="1:15" ht="12.6" customHeight="1">
      <c r="A9" s="8" t="s">
        <v>14</v>
      </c>
      <c r="B9" s="41"/>
      <c r="C9" s="41"/>
      <c r="D9" s="103"/>
      <c r="E9" s="101"/>
      <c r="F9" s="102"/>
      <c r="G9" s="102"/>
      <c r="H9" s="102"/>
      <c r="I9" s="102"/>
      <c r="J9" s="138"/>
      <c r="K9" s="138"/>
      <c r="L9" s="138"/>
      <c r="M9" s="138"/>
      <c r="N9" s="138"/>
      <c r="O9" s="139"/>
    </row>
    <row r="10" spans="1:15" ht="12.6" customHeight="1">
      <c r="A10" s="32" t="s">
        <v>15</v>
      </c>
      <c r="B10" s="104"/>
      <c r="C10" s="104"/>
      <c r="D10" s="105"/>
      <c r="E10" s="101"/>
      <c r="F10" s="102"/>
      <c r="G10" s="102"/>
      <c r="H10" s="102"/>
      <c r="I10" s="102"/>
      <c r="J10" s="138"/>
      <c r="K10" s="138"/>
      <c r="L10" s="138"/>
      <c r="M10" s="138"/>
      <c r="N10" s="138"/>
      <c r="O10" s="139"/>
    </row>
    <row r="11" spans="1:15" ht="12.6" customHeight="1">
      <c r="A11" s="20" t="s">
        <v>16</v>
      </c>
      <c r="B11" s="99"/>
      <c r="C11" s="99"/>
      <c r="D11" s="106"/>
      <c r="E11" s="20" t="s">
        <v>17</v>
      </c>
      <c r="F11" s="96"/>
      <c r="G11" s="96"/>
      <c r="H11" s="96"/>
      <c r="I11" s="96"/>
      <c r="J11" s="99"/>
      <c r="K11" s="99"/>
      <c r="L11" s="99"/>
      <c r="M11" s="99"/>
      <c r="N11" s="99"/>
      <c r="O11" s="106"/>
    </row>
    <row r="12" spans="1:15" ht="12.6" customHeight="1">
      <c r="A12" s="25" t="s">
        <v>12</v>
      </c>
      <c r="B12" s="39"/>
      <c r="C12" s="40"/>
      <c r="D12" s="100"/>
      <c r="E12" s="8" t="s">
        <v>18</v>
      </c>
      <c r="F12" s="41"/>
      <c r="G12" s="41"/>
      <c r="H12" s="41"/>
      <c r="I12" s="41"/>
      <c r="J12" s="133"/>
      <c r="K12" s="133"/>
      <c r="L12" s="133"/>
      <c r="M12" s="133"/>
      <c r="N12" s="133"/>
      <c r="O12" s="134"/>
    </row>
    <row r="13" spans="1:15" ht="12.6" customHeight="1">
      <c r="A13" s="8" t="s">
        <v>14</v>
      </c>
      <c r="B13" s="41"/>
      <c r="C13" s="41"/>
      <c r="D13" s="103"/>
      <c r="E13" s="8"/>
      <c r="F13" s="41"/>
      <c r="G13" s="41"/>
      <c r="H13" s="41"/>
      <c r="I13" s="41"/>
      <c r="J13" s="133"/>
      <c r="K13" s="133"/>
      <c r="L13" s="133"/>
      <c r="M13" s="133"/>
      <c r="N13" s="133"/>
      <c r="O13" s="134"/>
    </row>
    <row r="14" spans="1:15" ht="12.6" customHeight="1">
      <c r="A14" s="32" t="s">
        <v>19</v>
      </c>
      <c r="B14" s="43"/>
      <c r="C14" s="43"/>
      <c r="D14" s="107"/>
      <c r="E14" s="94"/>
      <c r="F14" s="44"/>
      <c r="G14" s="44"/>
      <c r="H14" s="44"/>
      <c r="I14" s="140"/>
      <c r="J14" s="133"/>
      <c r="K14" s="133"/>
      <c r="L14" s="133"/>
      <c r="M14" s="133"/>
      <c r="N14" s="133"/>
      <c r="O14" s="136"/>
    </row>
    <row r="15" spans="1:15" ht="12.6" customHeight="1">
      <c r="A15" s="98" t="s">
        <v>20</v>
      </c>
      <c r="B15" s="99"/>
      <c r="C15" s="98" t="s">
        <v>21</v>
      </c>
      <c r="D15" s="106"/>
      <c r="E15" s="108" t="s">
        <v>22</v>
      </c>
      <c r="F15" s="3"/>
      <c r="G15" s="3"/>
      <c r="H15" s="3"/>
      <c r="I15" s="29"/>
      <c r="J15" s="141"/>
      <c r="K15" s="141"/>
      <c r="L15" s="141"/>
      <c r="M15" s="141"/>
      <c r="N15" s="141"/>
      <c r="O15" s="78"/>
    </row>
    <row r="16" spans="1:15" ht="12.6" customHeight="1">
      <c r="A16" s="154" t="s">
        <v>23</v>
      </c>
      <c r="B16" s="155"/>
      <c r="C16" s="154"/>
      <c r="D16" s="155"/>
      <c r="E16" s="109"/>
      <c r="F16" s="102"/>
      <c r="G16" s="102"/>
      <c r="H16" s="102"/>
      <c r="I16" s="102"/>
      <c r="J16" s="133"/>
      <c r="K16" s="133"/>
      <c r="L16" s="133"/>
      <c r="M16" s="133"/>
      <c r="N16" s="133"/>
      <c r="O16" s="134"/>
    </row>
    <row r="17" spans="1:15" ht="6.6" customHeight="1">
      <c r="A17" s="110"/>
      <c r="B17" s="111"/>
      <c r="C17" s="112"/>
      <c r="D17" s="107"/>
      <c r="E17" s="109"/>
      <c r="F17" s="113"/>
      <c r="G17" s="102"/>
      <c r="H17" s="102"/>
      <c r="I17" s="102"/>
      <c r="J17" s="133"/>
      <c r="K17" s="133"/>
      <c r="L17" s="133"/>
      <c r="M17" s="133"/>
      <c r="N17" s="133"/>
      <c r="O17" s="134"/>
    </row>
    <row r="18" spans="1:15" ht="12.6" customHeight="1">
      <c r="A18" s="98" t="s">
        <v>24</v>
      </c>
      <c r="B18" s="106"/>
      <c r="C18" s="114" t="s">
        <v>25</v>
      </c>
      <c r="D18" s="50"/>
      <c r="E18" s="115"/>
      <c r="F18" s="38"/>
      <c r="G18" s="29"/>
      <c r="H18" s="29"/>
      <c r="I18" s="29"/>
      <c r="J18" s="132"/>
      <c r="K18" s="132"/>
      <c r="L18" s="132"/>
      <c r="M18" s="132"/>
      <c r="N18" s="132"/>
      <c r="O18" s="78"/>
    </row>
    <row r="19" spans="1:15" ht="12.6" customHeight="1">
      <c r="A19" s="116"/>
      <c r="B19" s="117"/>
      <c r="C19" s="156"/>
      <c r="D19" s="157"/>
      <c r="E19" s="118" t="s">
        <v>26</v>
      </c>
      <c r="F19" s="119" t="s">
        <v>27</v>
      </c>
      <c r="G19" s="44"/>
      <c r="H19" s="44"/>
      <c r="I19" s="44"/>
      <c r="J19" s="135"/>
      <c r="K19" s="133"/>
      <c r="L19" s="133"/>
      <c r="M19" s="133"/>
      <c r="N19" s="133"/>
      <c r="O19" s="134"/>
    </row>
    <row r="20" spans="1:15" ht="23.45" customHeight="1">
      <c r="A20" s="120" t="s">
        <v>28</v>
      </c>
      <c r="B20" s="51" t="s">
        <v>29</v>
      </c>
      <c r="C20" s="51" t="s">
        <v>30</v>
      </c>
      <c r="D20" s="121" t="s">
        <v>31</v>
      </c>
      <c r="E20" s="51" t="s">
        <v>32</v>
      </c>
      <c r="F20" s="51" t="s">
        <v>33</v>
      </c>
      <c r="G20" s="51" t="s">
        <v>34</v>
      </c>
      <c r="H20" s="51" t="s">
        <v>35</v>
      </c>
      <c r="I20" s="51" t="s">
        <v>36</v>
      </c>
      <c r="J20" s="142" t="s">
        <v>37</v>
      </c>
      <c r="K20" s="142" t="s">
        <v>38</v>
      </c>
      <c r="L20" s="143" t="s">
        <v>39</v>
      </c>
      <c r="M20" s="143" t="s">
        <v>40</v>
      </c>
      <c r="N20" s="143" t="s">
        <v>41</v>
      </c>
      <c r="O20" s="144" t="s">
        <v>42</v>
      </c>
    </row>
    <row r="21" spans="1:15" ht="13.5" customHeight="1">
      <c r="A21" s="122">
        <v>1</v>
      </c>
      <c r="B21" s="54" t="s">
        <v>43</v>
      </c>
      <c r="C21" s="54" t="s">
        <v>44</v>
      </c>
      <c r="D21" s="123" t="s">
        <v>45</v>
      </c>
      <c r="E21" s="54">
        <v>9000</v>
      </c>
      <c r="F21" s="124" t="s">
        <v>46</v>
      </c>
      <c r="G21" s="125">
        <v>3.5999999999999997E-2</v>
      </c>
      <c r="H21" s="54" t="s">
        <v>47</v>
      </c>
      <c r="I21" s="145">
        <f t="shared" ref="I21:I22" si="0">ROUND(E21*G21,2)</f>
        <v>324</v>
      </c>
      <c r="J21" s="54" t="s">
        <v>48</v>
      </c>
      <c r="K21" s="54"/>
      <c r="L21" s="54" t="s">
        <v>49</v>
      </c>
      <c r="M21" s="54" t="s">
        <v>50</v>
      </c>
      <c r="N21" s="54" t="s">
        <v>51</v>
      </c>
      <c r="O21" s="54">
        <v>0.153</v>
      </c>
    </row>
    <row r="22" spans="1:15" ht="13.5" customHeight="1">
      <c r="A22" s="122">
        <v>2</v>
      </c>
      <c r="B22" s="54" t="s">
        <v>52</v>
      </c>
      <c r="C22" s="54" t="s">
        <v>53</v>
      </c>
      <c r="D22" s="123" t="s">
        <v>45</v>
      </c>
      <c r="E22" s="54">
        <v>3000</v>
      </c>
      <c r="F22" s="124" t="s">
        <v>46</v>
      </c>
      <c r="G22" s="125">
        <v>3.7999999999999999E-2</v>
      </c>
      <c r="H22" s="54" t="s">
        <v>47</v>
      </c>
      <c r="I22" s="145">
        <f t="shared" si="0"/>
        <v>114</v>
      </c>
      <c r="J22" s="54" t="s">
        <v>48</v>
      </c>
      <c r="K22" s="54"/>
      <c r="L22" s="54" t="s">
        <v>49</v>
      </c>
      <c r="M22" s="54" t="s">
        <v>50</v>
      </c>
      <c r="N22" s="54" t="s">
        <v>54</v>
      </c>
      <c r="O22" s="54">
        <v>5.0999999999999997E-2</v>
      </c>
    </row>
    <row r="23" spans="1:15" ht="13.5" customHeight="1">
      <c r="A23" s="122"/>
      <c r="B23" s="54"/>
      <c r="C23" s="54"/>
      <c r="D23" s="123"/>
      <c r="E23" s="54"/>
      <c r="F23" s="124"/>
      <c r="G23" s="125"/>
      <c r="H23" s="54"/>
      <c r="I23" s="145"/>
      <c r="J23" s="54"/>
      <c r="K23" s="54"/>
      <c r="L23" s="54"/>
      <c r="M23" s="54"/>
      <c r="N23" s="54"/>
      <c r="O23" s="54"/>
    </row>
    <row r="24" spans="1:15" ht="13.5" customHeight="1">
      <c r="A24" s="122"/>
      <c r="B24" s="54"/>
      <c r="C24" s="54"/>
      <c r="D24" s="123"/>
      <c r="E24" s="54"/>
      <c r="F24" s="124"/>
      <c r="G24" s="125"/>
      <c r="H24" s="54"/>
      <c r="I24" s="145"/>
      <c r="J24" s="54"/>
      <c r="K24" s="54"/>
      <c r="L24" s="54"/>
      <c r="M24" s="54"/>
      <c r="N24" s="54"/>
      <c r="O24" s="54"/>
    </row>
    <row r="25" spans="1:15" ht="13.5" customHeight="1">
      <c r="A25" s="122"/>
      <c r="B25" s="54"/>
      <c r="C25" s="54"/>
      <c r="D25" s="123"/>
      <c r="E25" s="54"/>
      <c r="F25" s="124"/>
      <c r="G25" s="125"/>
      <c r="H25" s="54"/>
      <c r="I25" s="145"/>
      <c r="J25" s="54"/>
      <c r="K25" s="54"/>
      <c r="L25" s="54"/>
      <c r="M25" s="54"/>
      <c r="N25" s="54"/>
      <c r="O25" s="54"/>
    </row>
    <row r="26" spans="1:15" ht="13.5" customHeight="1">
      <c r="A26" s="122"/>
      <c r="B26" s="54"/>
      <c r="C26" s="54"/>
      <c r="D26" s="123"/>
      <c r="E26" s="54"/>
      <c r="F26" s="124"/>
      <c r="G26" s="125"/>
      <c r="H26" s="54"/>
      <c r="I26" s="145"/>
      <c r="J26" s="54"/>
      <c r="K26" s="54"/>
      <c r="L26" s="54"/>
      <c r="M26" s="54"/>
      <c r="N26" s="54"/>
      <c r="O26" s="54"/>
    </row>
    <row r="27" spans="1:15" ht="13.5" customHeight="1">
      <c r="A27" s="122"/>
      <c r="B27" s="54"/>
      <c r="C27" s="54"/>
      <c r="D27" s="123"/>
      <c r="E27" s="54"/>
      <c r="F27" s="124"/>
      <c r="G27" s="125"/>
      <c r="H27" s="54"/>
      <c r="I27" s="145"/>
      <c r="J27" s="54"/>
      <c r="K27" s="54"/>
      <c r="L27" s="54"/>
      <c r="M27" s="54"/>
      <c r="N27" s="54"/>
      <c r="O27" s="54"/>
    </row>
    <row r="28" spans="1:15" ht="13.5" customHeight="1">
      <c r="A28" s="122"/>
      <c r="B28" s="54"/>
      <c r="C28" s="54"/>
      <c r="D28" s="123"/>
      <c r="E28" s="54"/>
      <c r="F28" s="124"/>
      <c r="G28" s="125"/>
      <c r="H28" s="54"/>
      <c r="I28" s="145"/>
      <c r="J28" s="54"/>
      <c r="K28" s="54"/>
      <c r="L28" s="54"/>
      <c r="M28" s="54"/>
      <c r="N28" s="54"/>
      <c r="O28" s="54"/>
    </row>
    <row r="29" spans="1:15" ht="13.5" customHeight="1">
      <c r="A29" s="122"/>
      <c r="B29" s="54"/>
      <c r="C29" s="54"/>
      <c r="D29" s="123"/>
      <c r="E29" s="54"/>
      <c r="F29" s="124"/>
      <c r="G29" s="125"/>
      <c r="H29" s="54"/>
      <c r="I29" s="145"/>
      <c r="J29" s="54"/>
      <c r="K29" s="54"/>
      <c r="L29" s="54"/>
      <c r="M29" s="54"/>
      <c r="N29" s="54"/>
      <c r="O29" s="54"/>
    </row>
    <row r="30" spans="1:15" ht="13.5" customHeight="1">
      <c r="A30" s="122"/>
      <c r="B30" s="54"/>
      <c r="C30" s="54"/>
      <c r="D30" s="123"/>
      <c r="E30" s="54"/>
      <c r="F30" s="124"/>
      <c r="G30" s="125"/>
      <c r="H30" s="54"/>
      <c r="I30" s="145"/>
      <c r="J30" s="54"/>
      <c r="K30" s="54"/>
      <c r="L30" s="54"/>
      <c r="M30" s="54"/>
      <c r="N30" s="54"/>
      <c r="O30" s="54"/>
    </row>
    <row r="31" spans="1:15" ht="13.5" customHeight="1">
      <c r="A31" s="122"/>
      <c r="B31" s="54"/>
      <c r="C31" s="54"/>
      <c r="D31" s="123"/>
      <c r="E31" s="54"/>
      <c r="F31" s="124"/>
      <c r="G31" s="125"/>
      <c r="H31" s="54"/>
      <c r="I31" s="145"/>
      <c r="J31" s="54"/>
      <c r="K31" s="54"/>
      <c r="L31" s="54"/>
      <c r="M31" s="54"/>
      <c r="N31" s="54"/>
      <c r="O31" s="54"/>
    </row>
    <row r="32" spans="1:15" ht="13.5" customHeight="1">
      <c r="A32" s="122"/>
      <c r="B32" s="54"/>
      <c r="C32" s="54"/>
      <c r="D32" s="123"/>
      <c r="E32" s="54"/>
      <c r="F32" s="124"/>
      <c r="G32" s="125"/>
      <c r="H32" s="54"/>
      <c r="I32" s="145"/>
      <c r="J32" s="54"/>
      <c r="K32" s="54"/>
      <c r="L32" s="54"/>
      <c r="M32" s="54"/>
      <c r="N32" s="54"/>
      <c r="O32" s="54"/>
    </row>
    <row r="33" spans="1:15" ht="13.5" customHeight="1">
      <c r="A33" s="122"/>
      <c r="B33" s="54"/>
      <c r="C33" s="54"/>
      <c r="D33" s="123"/>
      <c r="E33" s="54"/>
      <c r="F33" s="124"/>
      <c r="G33" s="125"/>
      <c r="H33" s="54"/>
      <c r="I33" s="145"/>
      <c r="J33" s="54"/>
      <c r="K33" s="54"/>
      <c r="L33" s="54"/>
      <c r="M33" s="54"/>
      <c r="N33" s="54"/>
      <c r="O33" s="54"/>
    </row>
    <row r="34" spans="1:15" ht="13.5" customHeight="1">
      <c r="A34" s="122"/>
      <c r="B34" s="54"/>
      <c r="C34" s="54"/>
      <c r="D34" s="123"/>
      <c r="E34" s="54"/>
      <c r="F34" s="124"/>
      <c r="G34" s="125"/>
      <c r="H34" s="54"/>
      <c r="I34" s="145"/>
      <c r="J34" s="54"/>
      <c r="K34" s="54"/>
      <c r="L34" s="54"/>
      <c r="M34" s="54"/>
      <c r="N34" s="54"/>
      <c r="O34" s="54"/>
    </row>
    <row r="35" spans="1:15" ht="13.5" customHeight="1">
      <c r="A35" s="122"/>
      <c r="B35" s="54"/>
      <c r="C35" s="54"/>
      <c r="D35" s="123"/>
      <c r="E35" s="54"/>
      <c r="F35" s="124"/>
      <c r="G35" s="125"/>
      <c r="H35" s="54"/>
      <c r="I35" s="145"/>
      <c r="J35" s="54"/>
      <c r="K35" s="54"/>
      <c r="L35" s="54"/>
      <c r="M35" s="54"/>
      <c r="N35" s="54"/>
      <c r="O35" s="54"/>
    </row>
    <row r="36" spans="1:15" ht="12.6" customHeight="1">
      <c r="A36" s="126"/>
      <c r="J36" s="146"/>
      <c r="K36" s="146"/>
      <c r="L36" s="146"/>
      <c r="M36" s="146"/>
      <c r="N36" s="146"/>
      <c r="O36" s="147"/>
    </row>
    <row r="37" spans="1:15" ht="14.45">
      <c r="A37" s="127"/>
      <c r="B37" s="128"/>
      <c r="C37" s="158" t="s">
        <v>55</v>
      </c>
      <c r="D37" s="158"/>
      <c r="E37" s="129">
        <f>SUM(E21:E36)</f>
        <v>12000</v>
      </c>
      <c r="F37" s="130"/>
      <c r="G37" s="131"/>
      <c r="H37" s="131"/>
      <c r="I37" s="148">
        <f>SUM(I21:I36)</f>
        <v>438</v>
      </c>
      <c r="J37" s="149"/>
      <c r="K37" s="149"/>
      <c r="L37" s="149"/>
      <c r="M37" s="149"/>
      <c r="N37" s="149"/>
      <c r="O37" s="148">
        <f>SUM(O21:O36)</f>
        <v>0.20399999999999999</v>
      </c>
    </row>
  </sheetData>
  <mergeCells count="6">
    <mergeCell ref="C37:D37"/>
    <mergeCell ref="A1:O1"/>
    <mergeCell ref="F4:G4"/>
    <mergeCell ref="A16:B16"/>
    <mergeCell ref="C16:D16"/>
    <mergeCell ref="C19:D19"/>
  </mergeCells>
  <pageMargins left="0.94488188976377996" right="0.15748031496063" top="0.39370078740157499" bottom="0.39370078740157499" header="0.511811023622047" footer="0.511811023622047"/>
  <pageSetup paperSize="9" scale="7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8"/>
  <sheetViews>
    <sheetView topLeftCell="A12" workbookViewId="0">
      <selection activeCell="H21" sqref="H21:H22"/>
    </sheetView>
  </sheetViews>
  <sheetFormatPr defaultColWidth="9" defaultRowHeight="14.45"/>
  <cols>
    <col min="1" max="1" width="9.25" customWidth="1"/>
    <col min="2" max="3" width="14.75" customWidth="1"/>
    <col min="4" max="4" width="20.75" customWidth="1"/>
    <col min="5" max="5" width="14.75" customWidth="1"/>
    <col min="6" max="6" width="11.25" customWidth="1"/>
    <col min="7" max="7" width="18.75" customWidth="1"/>
    <col min="8" max="8" width="13.75" customWidth="1"/>
    <col min="9" max="9" width="15.75" customWidth="1"/>
    <col min="10" max="10" width="21" customWidth="1"/>
  </cols>
  <sheetData>
    <row r="1" spans="1:10" ht="22.9">
      <c r="A1" s="159" t="s">
        <v>56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0">
      <c r="A2" s="1" t="s">
        <v>1</v>
      </c>
      <c r="B2" s="2"/>
      <c r="C2" s="3"/>
      <c r="D2" s="3"/>
      <c r="E2" s="4"/>
      <c r="F2" s="2" t="s">
        <v>57</v>
      </c>
      <c r="G2" s="3"/>
      <c r="H2" s="3"/>
      <c r="I2" s="3"/>
      <c r="J2" s="78"/>
    </row>
    <row r="3" spans="1:10">
      <c r="A3" s="5" t="s">
        <v>3</v>
      </c>
      <c r="B3" s="6"/>
      <c r="C3" s="3"/>
      <c r="D3" s="3"/>
      <c r="E3" s="7"/>
      <c r="F3" s="8" t="s">
        <v>4</v>
      </c>
      <c r="G3" s="9" t="str">
        <f>INVOICE!F3</f>
        <v>TXC2512CQ103</v>
      </c>
      <c r="H3" s="3"/>
      <c r="I3" s="3"/>
      <c r="J3" s="78"/>
    </row>
    <row r="4" spans="1:10">
      <c r="A4" s="5" t="s">
        <v>6</v>
      </c>
      <c r="B4" s="10"/>
      <c r="C4" s="10"/>
      <c r="D4" s="10"/>
      <c r="E4" s="11"/>
      <c r="F4" s="12" t="s">
        <v>7</v>
      </c>
      <c r="G4" s="13">
        <f>INVOICE!F4</f>
        <v>46000</v>
      </c>
      <c r="H4" s="3"/>
      <c r="I4" s="3"/>
      <c r="J4" s="78"/>
    </row>
    <row r="5" spans="1:10">
      <c r="A5" s="5" t="s">
        <v>8</v>
      </c>
      <c r="B5" s="10"/>
      <c r="C5" s="10"/>
      <c r="D5" s="10"/>
      <c r="E5" s="11"/>
      <c r="F5" s="14"/>
      <c r="G5" s="3"/>
      <c r="H5" s="3"/>
      <c r="I5" s="3"/>
      <c r="J5" s="78"/>
    </row>
    <row r="6" spans="1:10">
      <c r="A6" s="5" t="s">
        <v>9</v>
      </c>
      <c r="B6" s="15"/>
      <c r="C6" s="16"/>
      <c r="D6" s="16"/>
      <c r="E6" s="17"/>
      <c r="F6" s="18"/>
      <c r="G6" s="19"/>
      <c r="H6" s="19"/>
      <c r="I6" s="19"/>
      <c r="J6" s="34"/>
    </row>
    <row r="7" spans="1:10">
      <c r="A7" s="20" t="s">
        <v>10</v>
      </c>
      <c r="B7" s="21"/>
      <c r="C7" s="22"/>
      <c r="D7" s="22"/>
      <c r="E7" s="23"/>
      <c r="F7" s="24" t="s">
        <v>58</v>
      </c>
      <c r="G7" s="3"/>
      <c r="H7" s="3"/>
      <c r="I7" s="3"/>
      <c r="J7" s="78"/>
    </row>
    <row r="8" spans="1:10">
      <c r="A8" s="25" t="s">
        <v>12</v>
      </c>
      <c r="B8" s="6"/>
      <c r="C8" s="26"/>
      <c r="D8" s="26"/>
      <c r="E8" s="27"/>
      <c r="F8" s="28"/>
      <c r="G8" s="29"/>
      <c r="H8" s="29"/>
      <c r="I8" s="29"/>
      <c r="J8" s="78"/>
    </row>
    <row r="9" spans="1:10">
      <c r="A9" s="8" t="s">
        <v>14</v>
      </c>
      <c r="B9" s="30"/>
      <c r="C9" s="30"/>
      <c r="D9" s="30"/>
      <c r="E9" s="31"/>
      <c r="F9" s="28"/>
      <c r="G9" s="3"/>
      <c r="H9" s="3"/>
      <c r="I9" s="29"/>
      <c r="J9" s="78"/>
    </row>
    <row r="10" spans="1:10" ht="17.100000000000001" customHeight="1">
      <c r="A10" s="32" t="s">
        <v>15</v>
      </c>
      <c r="B10" s="33"/>
      <c r="C10" s="19"/>
      <c r="D10" s="19"/>
      <c r="E10" s="34"/>
      <c r="F10" s="3"/>
      <c r="G10" s="35"/>
      <c r="H10" s="35"/>
      <c r="I10" s="3"/>
      <c r="J10" s="78"/>
    </row>
    <row r="11" spans="1:10" ht="15">
      <c r="A11" s="20" t="s">
        <v>16</v>
      </c>
      <c r="B11" s="28"/>
      <c r="C11" s="3"/>
      <c r="D11" s="3"/>
      <c r="E11" s="36"/>
      <c r="F11" s="37"/>
      <c r="G11" s="38"/>
      <c r="H11" s="3"/>
      <c r="I11" s="3"/>
      <c r="J11" s="78"/>
    </row>
    <row r="12" spans="1:10" ht="15">
      <c r="A12" s="25" t="s">
        <v>12</v>
      </c>
      <c r="B12" s="39"/>
      <c r="C12" s="40"/>
      <c r="D12" s="40"/>
      <c r="E12" s="7"/>
      <c r="F12" s="37"/>
      <c r="G12" s="38"/>
      <c r="H12" s="3"/>
      <c r="I12" s="3"/>
      <c r="J12" s="78"/>
    </row>
    <row r="13" spans="1:10">
      <c r="A13" s="8" t="s">
        <v>14</v>
      </c>
      <c r="B13" s="41"/>
      <c r="C13" s="41"/>
      <c r="D13" s="41"/>
      <c r="E13" s="42"/>
      <c r="F13" s="3"/>
      <c r="G13" s="3"/>
      <c r="H13" s="3"/>
      <c r="I13" s="3"/>
      <c r="J13" s="78"/>
    </row>
    <row r="14" spans="1:10">
      <c r="A14" s="32" t="s">
        <v>19</v>
      </c>
      <c r="B14" s="43"/>
      <c r="C14" s="43"/>
      <c r="D14" s="44"/>
      <c r="E14" s="34"/>
      <c r="F14" s="160"/>
      <c r="G14" s="160"/>
      <c r="H14" s="45"/>
      <c r="I14" s="79"/>
      <c r="J14" s="78"/>
    </row>
    <row r="15" spans="1:10">
      <c r="A15" s="46" t="s">
        <v>59</v>
      </c>
      <c r="B15" s="24"/>
      <c r="C15" s="47"/>
      <c r="D15" s="24" t="s">
        <v>60</v>
      </c>
      <c r="E15" s="48"/>
      <c r="F15" s="160"/>
      <c r="G15" s="160"/>
      <c r="H15" s="49"/>
      <c r="I15" s="3"/>
      <c r="J15" s="78"/>
    </row>
    <row r="16" spans="1:10">
      <c r="A16" s="161" t="s">
        <v>23</v>
      </c>
      <c r="B16" s="162"/>
      <c r="C16" s="163"/>
      <c r="D16" s="161"/>
      <c r="E16" s="163"/>
      <c r="F16" s="160"/>
      <c r="G16" s="160"/>
      <c r="H16" s="49"/>
      <c r="I16" s="3"/>
      <c r="J16" s="78"/>
    </row>
    <row r="17" spans="1:10">
      <c r="A17" s="46" t="s">
        <v>24</v>
      </c>
      <c r="B17" s="28"/>
      <c r="C17" s="4"/>
      <c r="D17" s="24" t="s">
        <v>25</v>
      </c>
      <c r="E17" s="50"/>
      <c r="F17" s="3"/>
      <c r="G17" s="3"/>
      <c r="H17" s="3"/>
      <c r="I17" s="3"/>
      <c r="J17" s="78"/>
    </row>
    <row r="18" spans="1:10">
      <c r="A18" s="161"/>
      <c r="B18" s="162"/>
      <c r="C18" s="163"/>
      <c r="D18" s="164"/>
      <c r="E18" s="165"/>
      <c r="F18" s="19"/>
      <c r="G18" s="19"/>
      <c r="H18" s="19"/>
      <c r="I18" s="19"/>
      <c r="J18" s="78"/>
    </row>
    <row r="19" spans="1:10">
      <c r="A19" s="167" t="s">
        <v>61</v>
      </c>
      <c r="B19" s="168" t="s">
        <v>30</v>
      </c>
      <c r="C19" s="168" t="s">
        <v>29</v>
      </c>
      <c r="D19" s="168" t="s">
        <v>31</v>
      </c>
      <c r="E19" s="168"/>
      <c r="F19" s="169" t="s">
        <v>32</v>
      </c>
      <c r="G19" s="169" t="s">
        <v>33</v>
      </c>
      <c r="H19" s="52" t="s">
        <v>62</v>
      </c>
      <c r="I19" s="52" t="s">
        <v>63</v>
      </c>
      <c r="J19" s="170" t="s">
        <v>64</v>
      </c>
    </row>
    <row r="20" spans="1:10">
      <c r="A20" s="167"/>
      <c r="B20" s="168"/>
      <c r="C20" s="168"/>
      <c r="D20" s="168"/>
      <c r="E20" s="168"/>
      <c r="F20" s="169"/>
      <c r="G20" s="169"/>
      <c r="H20" s="52" t="s">
        <v>65</v>
      </c>
      <c r="I20" s="52" t="s">
        <v>65</v>
      </c>
      <c r="J20" s="171"/>
    </row>
    <row r="21" spans="1:10" ht="15" customHeight="1">
      <c r="A21" s="53">
        <v>1</v>
      </c>
      <c r="B21" s="54" t="str">
        <f>INVOICE!C21</f>
        <v>2250903064-2</v>
      </c>
      <c r="C21" s="54" t="str">
        <f>INVOICE!B21</f>
        <v>3713260DTX</v>
      </c>
      <c r="D21" s="166" t="str">
        <f>INVOICE!D21</f>
        <v>SEAM XTAL / 25.000000 MHz</v>
      </c>
      <c r="E21" s="166"/>
      <c r="F21" s="56">
        <f>INVOICE!E21</f>
        <v>9000</v>
      </c>
      <c r="G21" s="57" t="s">
        <v>46</v>
      </c>
      <c r="H21" s="54">
        <v>0.153</v>
      </c>
      <c r="I21" s="58">
        <v>0.72499999999999998</v>
      </c>
      <c r="J21" s="80" t="s">
        <v>66</v>
      </c>
    </row>
    <row r="22" spans="1:10" ht="15" customHeight="1">
      <c r="A22" s="53">
        <v>1</v>
      </c>
      <c r="B22" s="54" t="str">
        <f>INVOICE!C22</f>
        <v>2250903064-1</v>
      </c>
      <c r="C22" s="54" t="str">
        <f>INVOICE!B22</f>
        <v>37125602TX</v>
      </c>
      <c r="D22" s="166" t="str">
        <f>INVOICE!D22</f>
        <v>SEAM XTAL / 25.000000 MHz</v>
      </c>
      <c r="E22" s="166"/>
      <c r="F22" s="56">
        <f>INVOICE!E22</f>
        <v>3000</v>
      </c>
      <c r="G22" s="57" t="s">
        <v>46</v>
      </c>
      <c r="H22" s="54">
        <v>5.0999999999999997E-2</v>
      </c>
      <c r="I22" s="58">
        <v>0.623</v>
      </c>
      <c r="J22" s="80" t="s">
        <v>66</v>
      </c>
    </row>
    <row r="23" spans="1:10" ht="15" customHeight="1">
      <c r="A23" s="53"/>
      <c r="B23" s="54"/>
      <c r="C23" s="54"/>
      <c r="D23" s="166"/>
      <c r="E23" s="166"/>
      <c r="F23" s="56"/>
      <c r="G23" s="57"/>
      <c r="H23" s="58"/>
      <c r="I23" s="58"/>
      <c r="J23" s="80"/>
    </row>
    <row r="24" spans="1:10" ht="15" customHeight="1">
      <c r="A24" s="53"/>
      <c r="B24" s="54"/>
      <c r="C24" s="54"/>
      <c r="D24" s="166"/>
      <c r="E24" s="166"/>
      <c r="F24" s="56"/>
      <c r="G24" s="57"/>
      <c r="H24" s="58"/>
      <c r="I24" s="58"/>
      <c r="J24" s="80"/>
    </row>
    <row r="25" spans="1:10" ht="15" customHeight="1">
      <c r="A25" s="53"/>
      <c r="B25" s="54"/>
      <c r="C25" s="54"/>
      <c r="D25" s="166"/>
      <c r="E25" s="166"/>
      <c r="F25" s="56"/>
      <c r="G25" s="57"/>
      <c r="H25" s="58"/>
      <c r="I25" s="58"/>
      <c r="J25" s="80"/>
    </row>
    <row r="26" spans="1:10" ht="15" customHeight="1">
      <c r="A26" s="53"/>
      <c r="B26" s="54"/>
      <c r="C26" s="54"/>
      <c r="D26" s="166"/>
      <c r="E26" s="166"/>
      <c r="F26" s="56"/>
      <c r="G26" s="57"/>
      <c r="H26" s="58"/>
      <c r="I26" s="58"/>
      <c r="J26" s="80"/>
    </row>
    <row r="27" spans="1:10" ht="15" customHeight="1">
      <c r="A27" s="53"/>
      <c r="B27" s="54"/>
      <c r="C27" s="54"/>
      <c r="D27" s="166"/>
      <c r="E27" s="166"/>
      <c r="F27" s="56"/>
      <c r="G27" s="57"/>
      <c r="H27" s="58"/>
      <c r="I27" s="58"/>
      <c r="J27" s="80"/>
    </row>
    <row r="28" spans="1:10" ht="15" customHeight="1">
      <c r="A28" s="53"/>
      <c r="B28" s="54"/>
      <c r="C28" s="54"/>
      <c r="D28" s="166"/>
      <c r="E28" s="166"/>
      <c r="F28" s="56"/>
      <c r="G28" s="57"/>
      <c r="H28" s="58"/>
      <c r="I28" s="58"/>
      <c r="J28" s="80"/>
    </row>
    <row r="29" spans="1:10" ht="15" customHeight="1">
      <c r="A29" s="53"/>
      <c r="B29" s="54"/>
      <c r="C29" s="54"/>
      <c r="D29" s="166"/>
      <c r="E29" s="166"/>
      <c r="F29" s="56"/>
      <c r="G29" s="57"/>
      <c r="H29" s="58"/>
      <c r="I29" s="58"/>
      <c r="J29" s="80"/>
    </row>
    <row r="30" spans="1:10" ht="15" customHeight="1">
      <c r="A30" s="53"/>
      <c r="B30" s="54"/>
      <c r="C30" s="54"/>
      <c r="D30" s="166"/>
      <c r="E30" s="166"/>
      <c r="F30" s="56"/>
      <c r="G30" s="57"/>
      <c r="H30" s="58"/>
      <c r="I30" s="58"/>
      <c r="J30" s="80"/>
    </row>
    <row r="31" spans="1:10" ht="15" customHeight="1">
      <c r="A31" s="53"/>
      <c r="B31" s="54"/>
      <c r="C31" s="54"/>
      <c r="D31" s="55"/>
      <c r="E31" s="55"/>
      <c r="F31" s="56"/>
      <c r="G31" s="57"/>
      <c r="H31" s="58"/>
      <c r="I31" s="58"/>
      <c r="J31" s="80"/>
    </row>
    <row r="32" spans="1:10" ht="15" customHeight="1">
      <c r="A32" s="53"/>
      <c r="B32" s="54"/>
      <c r="C32" s="54"/>
      <c r="D32" s="55"/>
      <c r="E32" s="55"/>
      <c r="F32" s="56"/>
      <c r="G32" s="57"/>
      <c r="H32" s="58"/>
      <c r="I32" s="58"/>
      <c r="J32" s="80"/>
    </row>
    <row r="33" spans="1:10" ht="15.2">
      <c r="A33" s="59"/>
      <c r="B33" s="60"/>
      <c r="C33" s="61"/>
      <c r="D33" s="61"/>
      <c r="E33" s="61"/>
      <c r="F33" s="62"/>
      <c r="G33" s="61"/>
      <c r="H33" s="63"/>
      <c r="I33" s="81"/>
      <c r="J33" s="82"/>
    </row>
    <row r="34" spans="1:10">
      <c r="A34" s="64">
        <f>SUM(A21:A27)</f>
        <v>2</v>
      </c>
      <c r="B34" s="3"/>
      <c r="C34" s="28"/>
      <c r="D34" s="65"/>
      <c r="E34" s="66" t="s">
        <v>67</v>
      </c>
      <c r="F34" s="67">
        <f>SUM(F21:F33)</f>
        <v>12000</v>
      </c>
      <c r="G34" s="68"/>
      <c r="H34" s="69">
        <f>SUM(H21:H33)</f>
        <v>0.20399999999999999</v>
      </c>
      <c r="I34" s="69">
        <f>SUM(I21:I33)</f>
        <v>1.3480000000000001</v>
      </c>
      <c r="J34" s="83" t="s">
        <v>68</v>
      </c>
    </row>
    <row r="35" spans="1:10">
      <c r="A35" s="70"/>
      <c r="E35" s="71" t="s">
        <v>69</v>
      </c>
      <c r="F35" s="72">
        <f>A34</f>
        <v>2</v>
      </c>
      <c r="J35" s="84"/>
    </row>
    <row r="36" spans="1:10">
      <c r="A36" s="70"/>
      <c r="E36" s="73" t="s">
        <v>70</v>
      </c>
      <c r="F36" s="74" t="s">
        <v>71</v>
      </c>
      <c r="G36" s="75"/>
      <c r="J36" s="84"/>
    </row>
    <row r="37" spans="1:10">
      <c r="A37" s="70"/>
      <c r="E37" s="73" t="s">
        <v>72</v>
      </c>
      <c r="F37" s="74" t="s">
        <v>73</v>
      </c>
      <c r="G37" s="75"/>
      <c r="J37" s="84"/>
    </row>
    <row r="38" spans="1:10">
      <c r="A38" s="76"/>
      <c r="B38" s="77"/>
      <c r="C38" s="77"/>
      <c r="D38" s="77"/>
      <c r="E38" s="77"/>
      <c r="F38" s="77"/>
      <c r="G38" s="77"/>
      <c r="H38" s="77"/>
      <c r="I38" s="77"/>
      <c r="J38" s="85"/>
    </row>
  </sheetData>
  <mergeCells count="25">
    <mergeCell ref="F19:F20"/>
    <mergeCell ref="G19:G20"/>
    <mergeCell ref="J19:J20"/>
    <mergeCell ref="D19:E20"/>
    <mergeCell ref="D29:E29"/>
    <mergeCell ref="D30:E30"/>
    <mergeCell ref="A19:A20"/>
    <mergeCell ref="B19:B20"/>
    <mergeCell ref="C19:C20"/>
    <mergeCell ref="D24:E24"/>
    <mergeCell ref="D25:E25"/>
    <mergeCell ref="D26:E26"/>
    <mergeCell ref="D27:E27"/>
    <mergeCell ref="D28:E28"/>
    <mergeCell ref="A18:C18"/>
    <mergeCell ref="D18:E18"/>
    <mergeCell ref="D21:E21"/>
    <mergeCell ref="D22:E22"/>
    <mergeCell ref="D23:E23"/>
    <mergeCell ref="A1:J1"/>
    <mergeCell ref="F14:G14"/>
    <mergeCell ref="F15:G15"/>
    <mergeCell ref="A16:C16"/>
    <mergeCell ref="D16:E16"/>
    <mergeCell ref="F16:G16"/>
  </mergeCells>
  <pageMargins left="0.75" right="0.75" top="1" bottom="1" header="0.5" footer="0.5"/>
  <pageSetup paperSize="9" scale="96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2025-12-10T07:21:39Z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