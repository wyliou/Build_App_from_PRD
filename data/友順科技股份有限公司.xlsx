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ou\Documents\app_import_consolidation-main\app_import_consolidation-main\Data\to_do\batch1\"/>
    </mc:Choice>
  </mc:AlternateContent>
  <xr:revisionPtr revIDLastSave="0" documentId="13_ncr:1_{3D0B920F-5D41-4A22-BC6D-15F796B66637}" xr6:coauthVersionLast="47" xr6:coauthVersionMax="47" xr10:uidLastSave="{00000000-0000-0000-0000-000000000000}"/>
  <bookViews>
    <workbookView xWindow="38292" yWindow="-108" windowWidth="29016" windowHeight="15816" activeTab="1" xr2:uid="{00000000-000D-0000-FFFF-FFFF00000000}"/>
  </bookViews>
  <sheets>
    <sheet name="INVOICE" sheetId="1" r:id="rId1"/>
    <sheet name="PACKING" sheetId="2" r:id="rId2"/>
  </sheets>
  <definedNames>
    <definedName name="_xlnm._FilterDatabase" localSheetId="0" hidden="1">INVOICE!$A$18:$N$18</definedName>
    <definedName name="_xlnm.Print_Area" localSheetId="0">INVOICE!$A$1:$O$38</definedName>
    <definedName name="_xlnm.Print_Area" localSheetId="1">PACKING!$A$1:$I$47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G22" i="2"/>
  <c r="G33" i="2" s="1"/>
  <c r="H22" i="2"/>
  <c r="H33" i="2" s="1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E33" i="2"/>
  <c r="E34" i="2"/>
  <c r="C17" i="1"/>
  <c r="D19" i="2" s="1"/>
  <c r="I19" i="1"/>
  <c r="O19" i="1"/>
  <c r="I20" i="1"/>
  <c r="O20" i="1"/>
  <c r="I21" i="1"/>
  <c r="O21" i="1"/>
  <c r="O30" i="1" s="1"/>
  <c r="I22" i="1"/>
  <c r="O22" i="1"/>
  <c r="I23" i="1"/>
  <c r="O23" i="1"/>
  <c r="I24" i="1"/>
  <c r="O24" i="1"/>
  <c r="I25" i="1"/>
  <c r="O25" i="1"/>
  <c r="I26" i="1"/>
  <c r="O26" i="1"/>
  <c r="I27" i="1"/>
  <c r="O27" i="1"/>
  <c r="I28" i="1"/>
  <c r="O28" i="1"/>
  <c r="E30" i="1"/>
  <c r="I30" i="1" l="1"/>
</calcChain>
</file>

<file path=xl/sharedStrings.xml><?xml version="1.0" encoding="utf-8"?>
<sst xmlns="http://schemas.openxmlformats.org/spreadsheetml/2006/main" count="211" uniqueCount="86">
  <si>
    <t>unisonic technologies co., ltd.</t>
    <phoneticPr fontId="6" type="noConversion"/>
  </si>
  <si>
    <t>Amber Wu</t>
    <phoneticPr fontId="6" type="noConversion"/>
  </si>
  <si>
    <t xml:space="preserve">                  TOTAL</t>
  </si>
  <si>
    <t>UWD706G-B-S08-R</t>
    <phoneticPr fontId="14" type="noConversion"/>
  </si>
  <si>
    <t>境外品牌(其他)</t>
    <phoneticPr fontId="14" type="noConversion"/>
  </si>
  <si>
    <t>無中文品牌/UTC牌</t>
    <phoneticPr fontId="14" type="noConversion"/>
  </si>
  <si>
    <t>CHINA</t>
    <phoneticPr fontId="14" type="noConversion"/>
  </si>
  <si>
    <t>USD</t>
  </si>
  <si>
    <t>PCS</t>
  </si>
  <si>
    <t>IC UTC UWD706G-B SOP-8 T/R</t>
    <phoneticPr fontId="6" type="noConversion"/>
  </si>
  <si>
    <t>57270680UT0</t>
    <phoneticPr fontId="6" type="noConversion"/>
  </si>
  <si>
    <t>U74LVC1G10G-AL6-R</t>
    <phoneticPr fontId="14" type="noConversion"/>
  </si>
  <si>
    <t>IC UTC U74LVC1G10G SOT-363 T/R</t>
    <phoneticPr fontId="6" type="noConversion"/>
  </si>
  <si>
    <t>51741100UT0</t>
    <phoneticPr fontId="6" type="noConversion"/>
  </si>
  <si>
    <t>TL431G-AE2-R</t>
    <phoneticPr fontId="14" type="noConversion"/>
  </si>
  <si>
    <t>IC UTC TL431G-A SOT-23-3 T/R</t>
    <phoneticPr fontId="6" type="noConversion"/>
  </si>
  <si>
    <t>34143171UT</t>
    <phoneticPr fontId="6" type="noConversion"/>
  </si>
  <si>
    <t>LR9102G-18-AF5-R</t>
    <phoneticPr fontId="14" type="noConversion"/>
  </si>
  <si>
    <t>IC UTC LR9102G-1.8V SOT-25 T/R</t>
    <phoneticPr fontId="6" type="noConversion"/>
  </si>
  <si>
    <t>34191021UT</t>
    <phoneticPr fontId="6" type="noConversion"/>
  </si>
  <si>
    <t>LD1117AG-AD-AB3-A-R</t>
    <phoneticPr fontId="14" type="noConversion"/>
  </si>
  <si>
    <t>IC UTC LD1117AG-ADJ-A-Q SOT-89 T/R</t>
    <phoneticPr fontId="6" type="noConversion"/>
  </si>
  <si>
    <t>34111172UT</t>
    <phoneticPr fontId="6" type="noConversion"/>
  </si>
  <si>
    <t>2SC3647G-S-AB3-R</t>
    <phoneticPr fontId="14" type="noConversion"/>
  </si>
  <si>
    <t>TR UTC 2SC3647G-S SOT-89 T/R</t>
  </si>
  <si>
    <t>32149301UT</t>
  </si>
  <si>
    <t>Net WT
(KGS)</t>
    <phoneticPr fontId="14" type="noConversion"/>
  </si>
  <si>
    <t>型号</t>
  </si>
  <si>
    <r>
      <t>品牌</t>
    </r>
    <r>
      <rPr>
        <b/>
        <sz val="10"/>
        <rFont val="宋体"/>
      </rPr>
      <t>类</t>
    </r>
    <r>
      <rPr>
        <b/>
        <sz val="10"/>
        <rFont val="Yu Gothic UI"/>
        <family val="2"/>
        <charset val="128"/>
      </rPr>
      <t>型</t>
    </r>
  </si>
  <si>
    <t>品牌</t>
  </si>
  <si>
    <t>COD</t>
  </si>
  <si>
    <t>COO</t>
  </si>
  <si>
    <t>Amount</t>
  </si>
  <si>
    <t>Currency</t>
  </si>
  <si>
    <t>Unit Price</t>
  </si>
  <si>
    <t>Unit</t>
  </si>
  <si>
    <t>Quantity</t>
  </si>
  <si>
    <t>Description of Goods</t>
  </si>
  <si>
    <t>PO No.</t>
  </si>
  <si>
    <t>Part No.</t>
  </si>
  <si>
    <t>ITEM</t>
  </si>
  <si>
    <t>CHINESE TAIWAN</t>
    <phoneticPr fontId="14" type="noConversion"/>
  </si>
  <si>
    <t>贸易国：</t>
  </si>
  <si>
    <t>鴻霖空運</t>
    <phoneticPr fontId="14" type="noConversion"/>
  </si>
  <si>
    <t>Sailing on/or About</t>
  </si>
  <si>
    <t>Carrier</t>
  </si>
  <si>
    <t>SUZHOU</t>
    <phoneticPr fontId="14" type="noConversion"/>
  </si>
  <si>
    <t xml:space="preserve"> Remarks:</t>
  </si>
  <si>
    <t>Port of Discharge</t>
  </si>
  <si>
    <t>Port of Loading</t>
  </si>
  <si>
    <t>FOB CHINESE TAIWAN</t>
    <phoneticPr fontId="14" type="noConversion"/>
  </si>
  <si>
    <t>Sernet (Suzhou)Technologies Corporation   中磊電子(蘇州)有限公司
No.8,Tangzhuang Road, Suzhou Industrial Park Jiangsu China
蘇州工業園區唐莊路8號
POSTAL CODE:215021
ATTN:倉庫收料
TEL :512-67613993#7588  FAX:512-6762-4500
*統一社會信用代碼: 913205947185817729</t>
    <phoneticPr fontId="14" type="noConversion"/>
  </si>
  <si>
    <t>Trade Term</t>
    <phoneticPr fontId="6" type="noConversion"/>
  </si>
  <si>
    <t>Ship To:</t>
  </si>
  <si>
    <t>NO.8 TangZhuang Road,Suzhou Industrial
Park,JiangSu,China 215000</t>
    <phoneticPr fontId="14" type="noConversion"/>
  </si>
  <si>
    <t>SN_FTM 90 Days</t>
    <phoneticPr fontId="14" type="noConversion"/>
  </si>
  <si>
    <t>SerNet (SuZhou) Technologies Corporation</t>
    <phoneticPr fontId="14" type="noConversion"/>
  </si>
  <si>
    <t>Payment Term</t>
    <phoneticPr fontId="6" type="noConversion"/>
  </si>
  <si>
    <t>Bill To:</t>
  </si>
  <si>
    <t>DATE:</t>
    <phoneticPr fontId="6" type="noConversion"/>
  </si>
  <si>
    <t>4F-2, NO.16, LANE 609, SEC.5, CHUNG-HSIN RD., 
SAN-CHUNG CITY,  CHINESE TAIPEI
TEL: 886-2-2999-5013  FAX : 886-2-2278-4053</t>
    <phoneticPr fontId="14" type="noConversion"/>
  </si>
  <si>
    <t>QYX004-2025-10611258</t>
    <phoneticPr fontId="6" type="noConversion"/>
  </si>
  <si>
    <t>INV NO.:</t>
    <phoneticPr fontId="6" type="noConversion"/>
  </si>
  <si>
    <t>UNISONIC TECHNOLOGIES CO.,LTD</t>
    <phoneticPr fontId="14" type="noConversion"/>
  </si>
  <si>
    <t>No. &amp; Date of Invoice</t>
  </si>
  <si>
    <t>Shipper/Exporter</t>
  </si>
  <si>
    <t>COMMERCIAL INVOICE</t>
  </si>
  <si>
    <t>unisonic technologies co., ltd.</t>
    <phoneticPr fontId="6" type="noConversion"/>
  </si>
  <si>
    <t>Amber Wu</t>
    <phoneticPr fontId="6" type="noConversion"/>
  </si>
  <si>
    <t>纸箱</t>
    <phoneticPr fontId="14" type="noConversion"/>
  </si>
  <si>
    <t>包装种类</t>
  </si>
  <si>
    <t>件数</t>
  </si>
  <si>
    <t>TOTAL</t>
  </si>
  <si>
    <t>"</t>
    <phoneticPr fontId="14" type="noConversion"/>
  </si>
  <si>
    <t>35.5*25*35.5</t>
    <phoneticPr fontId="14" type="noConversion"/>
  </si>
  <si>
    <t>1</t>
  </si>
  <si>
    <t>KGS</t>
  </si>
  <si>
    <t>MEASUREMENT  L*W*H(CM)</t>
  </si>
  <si>
    <t>Gross WT</t>
  </si>
  <si>
    <t>Net WT</t>
  </si>
  <si>
    <t>CTNS</t>
  </si>
  <si>
    <t>Port of Arrival</t>
  </si>
  <si>
    <t>Port of Departure</t>
  </si>
  <si>
    <t>Remarks:</t>
  </si>
  <si>
    <t>No &amp; Date of Invoice</t>
  </si>
  <si>
    <t>PACKING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</si>
</sst>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_);[Red]\(0.0000\)"/>
    <numFmt numFmtId="178" formatCode="_-* #,##0_-;\-* #,##0_-;_-* &quot;-&quot;??_-;_-@_-"/>
    <numFmt numFmtId="179" formatCode="#,##0.00_ "/>
    <numFmt numFmtId="180" formatCode="yyyy/m/d;@"/>
    <numFmt numFmtId="181" formatCode="#,##0.00_);[Red]\(#,##0.00\)"/>
    <numFmt numFmtId="182" formatCode="0_ "/>
    <numFmt numFmtId="183" formatCode="0.000_ "/>
    <numFmt numFmtId="184" formatCode="0.00_ "/>
  </numFmts>
  <fonts count="28"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8"/>
      <color theme="1"/>
      <name val="Yu Gothic UI"/>
      <family val="2"/>
      <charset val="128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name val="Vrinda"/>
      <family val="2"/>
    </font>
    <font>
      <sz val="9"/>
      <name val="新細明體"/>
      <family val="1"/>
      <charset val="136"/>
    </font>
    <font>
      <b/>
      <sz val="18"/>
      <name val="Bradley Hand ITC"/>
      <family val="4"/>
    </font>
    <font>
      <sz val="11"/>
      <color theme="1"/>
      <name val="Yu Gothic UI"/>
      <family val="2"/>
      <charset val="128"/>
    </font>
    <font>
      <sz val="12"/>
      <name val="宋体"/>
    </font>
    <font>
      <b/>
      <sz val="11"/>
      <name val="Yu Gothic UI"/>
      <family val="2"/>
      <charset val="128"/>
    </font>
    <font>
      <sz val="11"/>
      <name val="Yu Gothic UI"/>
      <family val="2"/>
      <charset val="128"/>
    </font>
    <font>
      <sz val="9"/>
      <name val="Yu Gothic UI"/>
      <family val="2"/>
      <charset val="128"/>
    </font>
    <font>
      <sz val="10"/>
      <name val="Yu Gothic UI"/>
      <family val="2"/>
      <charset val="128"/>
    </font>
    <font>
      <sz val="9"/>
      <name val="新細明體"/>
      <family val="3"/>
      <charset val="136"/>
      <scheme val="minor"/>
    </font>
    <font>
      <b/>
      <sz val="9"/>
      <name val="Yu Gothic UI"/>
      <family val="2"/>
      <charset val="128"/>
    </font>
    <font>
      <b/>
      <sz val="10"/>
      <name val="Yu Gothic UI"/>
      <family val="2"/>
      <charset val="128"/>
    </font>
    <font>
      <b/>
      <sz val="10"/>
      <name val="宋体"/>
    </font>
    <font>
      <sz val="10"/>
      <name val="微軟正黑體"/>
      <family val="2"/>
      <charset val="136"/>
    </font>
    <font>
      <sz val="11"/>
      <name val="微軟正黑體"/>
      <family val="2"/>
      <charset val="136"/>
    </font>
    <font>
      <sz val="10"/>
      <color rgb="FFFF0000"/>
      <name val="Yu Gothic UI"/>
      <family val="2"/>
      <charset val="128"/>
    </font>
    <font>
      <b/>
      <sz val="13"/>
      <name val="Yu Gothic UI"/>
      <family val="2"/>
      <charset val="128"/>
    </font>
    <font>
      <sz val="13"/>
      <name val="Yu Gothic UI"/>
      <family val="2"/>
      <charset val="128"/>
    </font>
    <font>
      <b/>
      <sz val="12"/>
      <name val="Yu Gothic UI"/>
      <family val="2"/>
      <charset val="128"/>
    </font>
    <font>
      <sz val="11"/>
      <color indexed="12"/>
      <name val="Yu Gothic UI"/>
      <family val="2"/>
      <charset val="128"/>
    </font>
    <font>
      <b/>
      <sz val="20"/>
      <name val="Yu Gothic UI"/>
      <family val="2"/>
      <charset val="128"/>
    </font>
    <font>
      <sz val="11"/>
      <color indexed="8"/>
      <name val="新細明體"/>
      <family val="2"/>
      <scheme val="minor"/>
    </font>
    <font>
      <sz val="10"/>
      <color theme="1"/>
      <name val="Yu Gothic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0" borderId="0"/>
    <xf numFmtId="0" fontId="9" fillId="0" borderId="0"/>
    <xf numFmtId="0" fontId="9" fillId="0" borderId="0"/>
    <xf numFmtId="0" fontId="1" fillId="0" borderId="0">
      <alignment vertical="center"/>
    </xf>
    <xf numFmtId="0" fontId="26" fillId="0" borderId="0">
      <alignment vertical="center"/>
    </xf>
    <xf numFmtId="43" fontId="4" fillId="0" borderId="0" applyFont="0" applyFill="0" applyBorder="0" applyAlignment="0" applyProtection="0"/>
    <xf numFmtId="0" fontId="9" fillId="0" borderId="0"/>
  </cellStyleXfs>
  <cellXfs count="166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176" fontId="10" fillId="0" borderId="2" xfId="3" applyNumberFormat="1" applyFont="1" applyBorder="1" applyAlignment="1">
      <alignment horizontal="center"/>
    </xf>
    <xf numFmtId="0" fontId="10" fillId="0" borderId="3" xfId="0" applyFont="1" applyBorder="1" applyAlignment="1"/>
    <xf numFmtId="176" fontId="10" fillId="0" borderId="3" xfId="3" applyNumberFormat="1" applyFont="1" applyBorder="1" applyAlignment="1">
      <alignment horizontal="center"/>
    </xf>
    <xf numFmtId="177" fontId="10" fillId="0" borderId="3" xfId="3" applyNumberFormat="1" applyFont="1" applyBorder="1" applyAlignment="1">
      <alignment horizontal="center"/>
    </xf>
    <xf numFmtId="0" fontId="10" fillId="0" borderId="3" xfId="3" applyFont="1" applyBorder="1"/>
    <xf numFmtId="178" fontId="10" fillId="0" borderId="3" xfId="1" applyNumberFormat="1" applyFont="1" applyFill="1" applyBorder="1" applyAlignment="1">
      <alignment horizontal="center"/>
    </xf>
    <xf numFmtId="0" fontId="11" fillId="0" borderId="3" xfId="3" applyFont="1" applyBorder="1"/>
    <xf numFmtId="0" fontId="11" fillId="0" borderId="4" xfId="3" applyFont="1" applyBorder="1"/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12" fillId="0" borderId="6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 wrapText="1" shrinkToFit="1"/>
    </xf>
    <xf numFmtId="176" fontId="13" fillId="0" borderId="6" xfId="0" applyNumberFormat="1" applyFont="1" applyBorder="1" applyAlignment="1">
      <alignment horizontal="center" vertical="center" wrapText="1" shrinkToFit="1"/>
    </xf>
    <xf numFmtId="177" fontId="13" fillId="0" borderId="6" xfId="0" applyNumberFormat="1" applyFont="1" applyBorder="1" applyAlignment="1">
      <alignment horizontal="center" vertical="center" wrapText="1" shrinkToFit="1"/>
    </xf>
    <xf numFmtId="179" fontId="13" fillId="0" borderId="6" xfId="0" applyNumberFormat="1" applyFont="1" applyBorder="1" applyAlignment="1">
      <alignment horizontal="center" vertical="center" wrapText="1" shrinkToFit="1"/>
    </xf>
    <xf numFmtId="0" fontId="2" fillId="0" borderId="7" xfId="0" applyFont="1" applyBorder="1">
      <alignment vertical="center"/>
    </xf>
    <xf numFmtId="0" fontId="13" fillId="0" borderId="8" xfId="0" applyFont="1" applyBorder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 shrinkToFit="1"/>
    </xf>
    <xf numFmtId="176" fontId="13" fillId="0" borderId="0" xfId="0" applyNumberFormat="1" applyFont="1" applyAlignment="1">
      <alignment horizontal="center" vertical="center" wrapText="1" shrinkToFit="1"/>
    </xf>
    <xf numFmtId="177" fontId="13" fillId="0" borderId="0" xfId="0" applyNumberFormat="1" applyFont="1" applyAlignment="1">
      <alignment horizontal="center" vertical="center" wrapText="1" shrinkToFit="1"/>
    </xf>
    <xf numFmtId="179" fontId="13" fillId="0" borderId="0" xfId="0" applyNumberFormat="1" applyFont="1" applyAlignment="1">
      <alignment horizontal="center" vertical="center" wrapText="1" shrinkToFit="1"/>
    </xf>
    <xf numFmtId="0" fontId="13" fillId="0" borderId="9" xfId="0" applyFont="1" applyBorder="1" applyAlignment="1">
      <alignment horizontal="center" vertical="center" wrapText="1" shrinkToFit="1"/>
    </xf>
    <xf numFmtId="0" fontId="15" fillId="2" borderId="2" xfId="3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3" xfId="3" applyFont="1" applyFill="1" applyBorder="1" applyAlignment="1">
      <alignment horizontal="center" vertical="center"/>
    </xf>
    <xf numFmtId="0" fontId="16" fillId="0" borderId="3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center" vertical="center"/>
    </xf>
    <xf numFmtId="0" fontId="13" fillId="0" borderId="8" xfId="0" applyFont="1" applyBorder="1" applyAlignment="1"/>
    <xf numFmtId="0" fontId="13" fillId="0" borderId="0" xfId="0" applyFont="1" applyAlignment="1"/>
    <xf numFmtId="0" fontId="13" fillId="0" borderId="0" xfId="3" applyFont="1"/>
    <xf numFmtId="0" fontId="18" fillId="0" borderId="9" xfId="3" applyFont="1" applyBorder="1"/>
    <xf numFmtId="0" fontId="11" fillId="0" borderId="8" xfId="0" applyFont="1" applyBorder="1" applyAlignment="1"/>
    <xf numFmtId="0" fontId="11" fillId="0" borderId="0" xfId="0" applyFont="1" applyAlignment="1"/>
    <xf numFmtId="0" fontId="11" fillId="0" borderId="0" xfId="3" applyFont="1"/>
    <xf numFmtId="0" fontId="11" fillId="0" borderId="9" xfId="3" applyFont="1" applyBorder="1"/>
    <xf numFmtId="0" fontId="20" fillId="0" borderId="0" xfId="4" applyFont="1" applyAlignment="1">
      <alignment horizontal="right"/>
    </xf>
    <xf numFmtId="0" fontId="21" fillId="0" borderId="9" xfId="3" applyFont="1" applyBorder="1"/>
    <xf numFmtId="0" fontId="22" fillId="0" borderId="8" xfId="3" applyFont="1" applyBorder="1"/>
    <xf numFmtId="0" fontId="11" fillId="0" borderId="7" xfId="0" applyFont="1" applyBorder="1" applyAlignment="1">
      <alignment horizontal="left"/>
    </xf>
    <xf numFmtId="0" fontId="13" fillId="0" borderId="10" xfId="0" applyFont="1" applyBorder="1" applyAlignment="1"/>
    <xf numFmtId="0" fontId="13" fillId="0" borderId="11" xfId="0" applyFont="1" applyBorder="1" applyAlignment="1"/>
    <xf numFmtId="0" fontId="13" fillId="0" borderId="11" xfId="3" applyFont="1" applyBorder="1"/>
    <xf numFmtId="0" fontId="13" fillId="0" borderId="11" xfId="4" applyFont="1" applyBorder="1"/>
    <xf numFmtId="0" fontId="21" fillId="0" borderId="12" xfId="3" applyFont="1" applyBorder="1"/>
    <xf numFmtId="0" fontId="23" fillId="0" borderId="11" xfId="3" applyFont="1" applyBorder="1"/>
    <xf numFmtId="0" fontId="11" fillId="0" borderId="9" xfId="0" applyFont="1" applyBorder="1" applyAlignment="1"/>
    <xf numFmtId="0" fontId="11" fillId="0" borderId="9" xfId="0" applyFont="1" applyBorder="1" applyAlignment="1">
      <alignment horizontal="left" vertical="center"/>
    </xf>
    <xf numFmtId="0" fontId="13" fillId="0" borderId="10" xfId="3" applyFont="1" applyBorder="1"/>
    <xf numFmtId="0" fontId="21" fillId="0" borderId="12" xfId="0" applyFont="1" applyBorder="1" applyAlignment="1"/>
    <xf numFmtId="0" fontId="13" fillId="0" borderId="0" xfId="4" applyFont="1" applyAlignment="1">
      <alignment horizontal="left"/>
    </xf>
    <xf numFmtId="0" fontId="24" fillId="0" borderId="8" xfId="0" applyFont="1" applyBorder="1">
      <alignment vertical="center"/>
    </xf>
    <xf numFmtId="0" fontId="24" fillId="0" borderId="0" xfId="0" applyFont="1">
      <alignment vertical="center"/>
    </xf>
    <xf numFmtId="0" fontId="11" fillId="0" borderId="8" xfId="0" applyFont="1" applyBorder="1">
      <alignment vertical="center"/>
    </xf>
    <xf numFmtId="0" fontId="11" fillId="0" borderId="0" xfId="0" applyFont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0" xfId="0" applyFont="1">
      <alignment vertical="center"/>
    </xf>
    <xf numFmtId="0" fontId="13" fillId="0" borderId="9" xfId="3" applyFont="1" applyBorder="1"/>
    <xf numFmtId="0" fontId="13" fillId="0" borderId="6" xfId="3" applyFont="1" applyBorder="1"/>
    <xf numFmtId="0" fontId="13" fillId="0" borderId="6" xfId="3" applyFont="1" applyBorder="1" applyAlignment="1">
      <alignment horizontal="left"/>
    </xf>
    <xf numFmtId="0" fontId="13" fillId="0" borderId="7" xfId="3" applyFont="1" applyBorder="1" applyAlignment="1">
      <alignment horizontal="left"/>
    </xf>
    <xf numFmtId="14" fontId="11" fillId="0" borderId="0" xfId="3" applyNumberFormat="1" applyFont="1"/>
    <xf numFmtId="0" fontId="11" fillId="0" borderId="9" xfId="2" applyFont="1" applyBorder="1" applyAlignment="1">
      <alignment horizontal="left" vertical="center"/>
    </xf>
    <xf numFmtId="49" fontId="11" fillId="0" borderId="0" xfId="3" applyNumberFormat="1" applyFont="1" applyAlignment="1">
      <alignment horizontal="center"/>
    </xf>
    <xf numFmtId="181" fontId="8" fillId="0" borderId="0" xfId="2" applyNumberFormat="1" applyFont="1" applyAlignment="1">
      <alignment horizontal="left"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18" fillId="0" borderId="0" xfId="4" applyFont="1" applyAlignment="1">
      <alignment horizontal="center"/>
    </xf>
    <xf numFmtId="0" fontId="18" fillId="0" borderId="0" xfId="4" applyFont="1" applyAlignment="1">
      <alignment horizontal="center" vertical="center"/>
    </xf>
    <xf numFmtId="0" fontId="8" fillId="0" borderId="9" xfId="0" applyFont="1" applyBorder="1">
      <alignment vertical="center"/>
    </xf>
    <xf numFmtId="182" fontId="11" fillId="0" borderId="0" xfId="4" applyNumberFormat="1" applyFont="1" applyAlignment="1">
      <alignment horizontal="center"/>
    </xf>
    <xf numFmtId="176" fontId="10" fillId="0" borderId="0" xfId="4" applyNumberFormat="1" applyFont="1" applyAlignment="1">
      <alignment horizontal="center"/>
    </xf>
    <xf numFmtId="0" fontId="10" fillId="0" borderId="0" xfId="4" applyFont="1" applyAlignment="1">
      <alignment horizontal="center"/>
    </xf>
    <xf numFmtId="178" fontId="10" fillId="0" borderId="0" xfId="1" applyNumberFormat="1" applyFont="1" applyFill="1" applyBorder="1" applyAlignment="1">
      <alignment horizontal="center" vertical="center"/>
    </xf>
    <xf numFmtId="0" fontId="10" fillId="0" borderId="0" xfId="4" applyFont="1"/>
    <xf numFmtId="0" fontId="11" fillId="0" borderId="0" xfId="4" applyFont="1"/>
    <xf numFmtId="182" fontId="10" fillId="0" borderId="9" xfId="4" applyNumberFormat="1" applyFont="1" applyBorder="1" applyAlignment="1">
      <alignment horizontal="center"/>
    </xf>
    <xf numFmtId="176" fontId="16" fillId="0" borderId="13" xfId="4" applyNumberFormat="1" applyFont="1" applyBorder="1" applyAlignment="1">
      <alignment horizontal="center" vertical="center" wrapText="1" shrinkToFit="1"/>
    </xf>
    <xf numFmtId="176" fontId="16" fillId="0" borderId="14" xfId="4" applyNumberFormat="1" applyFont="1" applyBorder="1" applyAlignment="1">
      <alignment horizontal="center" vertical="center" wrapText="1" shrinkToFit="1"/>
    </xf>
    <xf numFmtId="176" fontId="13" fillId="0" borderId="14" xfId="4" applyNumberFormat="1" applyFont="1" applyBorder="1" applyAlignment="1">
      <alignment horizontal="center" vertical="center" wrapText="1" shrinkToFit="1"/>
    </xf>
    <xf numFmtId="0" fontId="13" fillId="0" borderId="14" xfId="4" applyFont="1" applyBorder="1" applyAlignment="1">
      <alignment horizontal="center" vertical="center" wrapText="1" shrinkToFit="1"/>
    </xf>
    <xf numFmtId="183" fontId="20" fillId="0" borderId="14" xfId="4" applyNumberFormat="1" applyFont="1" applyBorder="1" applyAlignment="1">
      <alignment horizontal="center" vertical="center" wrapText="1" shrinkToFit="1"/>
    </xf>
    <xf numFmtId="0" fontId="13" fillId="0" borderId="14" xfId="8" applyFont="1" applyBorder="1" applyAlignment="1">
      <alignment horizontal="center" vertical="center" wrapText="1" shrinkToFit="1"/>
    </xf>
    <xf numFmtId="0" fontId="13" fillId="0" borderId="15" xfId="8" applyFont="1" applyBorder="1" applyAlignment="1">
      <alignment horizontal="center" vertical="center" wrapText="1" shrinkToFit="1"/>
    </xf>
    <xf numFmtId="0" fontId="13" fillId="0" borderId="8" xfId="0" applyFont="1" applyBorder="1" applyAlignment="1">
      <alignment horizontal="center" vertical="center" wrapText="1"/>
    </xf>
    <xf numFmtId="0" fontId="16" fillId="2" borderId="6" xfId="4" applyFont="1" applyFill="1" applyBorder="1" applyAlignment="1">
      <alignment horizontal="center"/>
    </xf>
    <xf numFmtId="0" fontId="16" fillId="2" borderId="11" xfId="4" applyFont="1" applyFill="1" applyBorder="1" applyAlignment="1">
      <alignment horizontal="center"/>
    </xf>
    <xf numFmtId="0" fontId="11" fillId="0" borderId="6" xfId="4" applyFont="1" applyBorder="1"/>
    <xf numFmtId="180" fontId="11" fillId="0" borderId="16" xfId="0" applyNumberFormat="1" applyFont="1" applyBorder="1" applyAlignment="1">
      <alignment horizontal="left"/>
    </xf>
    <xf numFmtId="0" fontId="23" fillId="0" borderId="17" xfId="4" applyFont="1" applyBorder="1"/>
    <xf numFmtId="0" fontId="20" fillId="0" borderId="8" xfId="4" applyFont="1" applyBorder="1"/>
    <xf numFmtId="0" fontId="16" fillId="0" borderId="0" xfId="4" applyFont="1"/>
    <xf numFmtId="0" fontId="23" fillId="0" borderId="12" xfId="4" applyFont="1" applyBorder="1"/>
    <xf numFmtId="184" fontId="11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9" xfId="0" applyFont="1" applyBorder="1">
      <alignment vertical="center"/>
    </xf>
    <xf numFmtId="0" fontId="23" fillId="0" borderId="11" xfId="4" applyFont="1" applyBorder="1"/>
    <xf numFmtId="0" fontId="20" fillId="0" borderId="10" xfId="4" applyFont="1" applyBorder="1"/>
    <xf numFmtId="0" fontId="16" fillId="0" borderId="11" xfId="4" applyFont="1" applyBorder="1"/>
    <xf numFmtId="0" fontId="13" fillId="0" borderId="10" xfId="4" applyFont="1" applyBorder="1"/>
    <xf numFmtId="0" fontId="11" fillId="0" borderId="9" xfId="4" applyFont="1" applyBorder="1"/>
    <xf numFmtId="0" fontId="13" fillId="0" borderId="0" xfId="4" applyFont="1"/>
    <xf numFmtId="0" fontId="11" fillId="0" borderId="10" xfId="0" applyFont="1" applyBorder="1" applyAlignment="1"/>
    <xf numFmtId="0" fontId="11" fillId="0" borderId="11" xfId="3" applyFont="1" applyBorder="1"/>
    <xf numFmtId="0" fontId="11" fillId="0" borderId="11" xfId="4" applyFont="1" applyBorder="1"/>
    <xf numFmtId="0" fontId="11" fillId="0" borderId="5" xfId="4" applyFont="1" applyBorder="1"/>
    <xf numFmtId="0" fontId="11" fillId="0" borderId="7" xfId="4" applyFont="1" applyBorder="1"/>
    <xf numFmtId="14" fontId="11" fillId="0" borderId="0" xfId="4" applyNumberFormat="1" applyFont="1" applyAlignment="1">
      <alignment horizontal="left"/>
    </xf>
    <xf numFmtId="0" fontId="11" fillId="0" borderId="8" xfId="4" applyFont="1" applyBorder="1"/>
    <xf numFmtId="0" fontId="27" fillId="0" borderId="8" xfId="0" applyFont="1" applyBorder="1">
      <alignment vertical="center"/>
    </xf>
    <xf numFmtId="0" fontId="27" fillId="0" borderId="0" xfId="0" applyFont="1">
      <alignment vertical="center"/>
    </xf>
    <xf numFmtId="0" fontId="27" fillId="0" borderId="9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25" fillId="0" borderId="4" xfId="3" applyFont="1" applyBorder="1" applyAlignment="1">
      <alignment horizontal="center"/>
    </xf>
    <xf numFmtId="0" fontId="25" fillId="0" borderId="3" xfId="3" applyFont="1" applyBorder="1" applyAlignment="1">
      <alignment horizontal="center"/>
    </xf>
    <xf numFmtId="0" fontId="25" fillId="0" borderId="2" xfId="3" applyFont="1" applyBorder="1" applyAlignment="1">
      <alignment horizontal="center"/>
    </xf>
    <xf numFmtId="0" fontId="11" fillId="0" borderId="9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14" fontId="8" fillId="0" borderId="0" xfId="2" applyNumberFormat="1" applyFont="1" applyAlignment="1">
      <alignment horizontal="left" vertical="center"/>
    </xf>
    <xf numFmtId="0" fontId="11" fillId="2" borderId="7" xfId="0" applyFont="1" applyFill="1" applyBorder="1" applyAlignment="1">
      <alignment vertical="top" wrapText="1"/>
    </xf>
    <xf numFmtId="0" fontId="11" fillId="2" borderId="6" xfId="0" applyFont="1" applyFill="1" applyBorder="1" applyAlignment="1">
      <alignment vertical="top" wrapText="1"/>
    </xf>
    <xf numFmtId="0" fontId="11" fillId="0" borderId="9" xfId="4" applyFont="1" applyBorder="1" applyAlignment="1">
      <alignment horizontal="left" vertical="top" wrapText="1"/>
    </xf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19" fillId="0" borderId="9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180" fontId="11" fillId="0" borderId="9" xfId="0" applyNumberFormat="1" applyFont="1" applyBorder="1" applyAlignment="1">
      <alignment horizontal="left"/>
    </xf>
    <xf numFmtId="180" fontId="11" fillId="0" borderId="0" xfId="0" applyNumberFormat="1" applyFont="1" applyAlignment="1">
      <alignment horizontal="left"/>
    </xf>
    <xf numFmtId="0" fontId="11" fillId="0" borderId="3" xfId="3" applyFont="1" applyBorder="1" applyAlignment="1">
      <alignment horizontal="left"/>
    </xf>
    <xf numFmtId="0" fontId="7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1" fillId="0" borderId="7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25" fillId="0" borderId="4" xfId="4" applyFont="1" applyBorder="1" applyAlignment="1">
      <alignment horizontal="center" vertical="center"/>
    </xf>
    <xf numFmtId="0" fontId="25" fillId="0" borderId="3" xfId="4" applyFont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11" fillId="0" borderId="0" xfId="4" applyFont="1" applyAlignment="1">
      <alignment horizontal="left" vertical="top"/>
    </xf>
    <xf numFmtId="0" fontId="11" fillId="0" borderId="8" xfId="4" applyFont="1" applyBorder="1" applyAlignment="1">
      <alignment horizontal="left" vertical="top"/>
    </xf>
    <xf numFmtId="0" fontId="11" fillId="0" borderId="9" xfId="4" applyFont="1" applyBorder="1" applyAlignment="1">
      <alignment horizontal="left" vertical="top"/>
    </xf>
    <xf numFmtId="0" fontId="11" fillId="0" borderId="7" xfId="4" applyFont="1" applyBorder="1" applyAlignment="1">
      <alignment horizontal="left" vertical="top"/>
    </xf>
    <xf numFmtId="0" fontId="11" fillId="0" borderId="6" xfId="4" applyFont="1" applyBorder="1" applyAlignment="1">
      <alignment horizontal="left" vertical="top"/>
    </xf>
    <xf numFmtId="0" fontId="11" fillId="0" borderId="5" xfId="4" applyFont="1" applyBorder="1" applyAlignment="1">
      <alignment horizontal="left" vertical="top"/>
    </xf>
    <xf numFmtId="0" fontId="11" fillId="0" borderId="0" xfId="4" applyFont="1" applyAlignment="1">
      <alignment horizontal="left" vertical="top" wrapText="1"/>
    </xf>
    <xf numFmtId="0" fontId="11" fillId="0" borderId="8" xfId="4" applyFont="1" applyBorder="1" applyAlignment="1">
      <alignment horizontal="left" vertical="top" wrapText="1"/>
    </xf>
    <xf numFmtId="0" fontId="11" fillId="0" borderId="7" xfId="4" applyFont="1" applyBorder="1" applyAlignment="1">
      <alignment horizontal="left" vertical="top" wrapText="1"/>
    </xf>
    <xf numFmtId="0" fontId="11" fillId="0" borderId="6" xfId="4" applyFont="1" applyBorder="1" applyAlignment="1">
      <alignment horizontal="left" vertical="top" wrapText="1"/>
    </xf>
    <xf numFmtId="0" fontId="11" fillId="0" borderId="5" xfId="4" applyFont="1" applyBorder="1" applyAlignment="1">
      <alignment horizontal="left" vertical="top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2" xfId="3" applyFont="1" applyFill="1" applyBorder="1" applyAlignment="1">
      <alignment horizontal="center" vertical="center"/>
    </xf>
    <xf numFmtId="0" fontId="16" fillId="2" borderId="7" xfId="3" applyFont="1" applyFill="1" applyBorder="1" applyAlignment="1">
      <alignment horizontal="center" vertical="center"/>
    </xf>
    <xf numFmtId="0" fontId="16" fillId="2" borderId="11" xfId="3" applyFont="1" applyFill="1" applyBorder="1" applyAlignment="1">
      <alignment horizontal="center" vertical="center"/>
    </xf>
    <xf numFmtId="0" fontId="16" fillId="2" borderId="6" xfId="3" applyFont="1" applyFill="1" applyBorder="1" applyAlignment="1">
      <alignment horizontal="center" vertical="center"/>
    </xf>
    <xf numFmtId="0" fontId="16" fillId="2" borderId="11" xfId="4" applyFont="1" applyFill="1" applyBorder="1" applyAlignment="1">
      <alignment horizontal="center" vertical="center"/>
    </xf>
    <xf numFmtId="0" fontId="16" fillId="2" borderId="6" xfId="4" applyFont="1" applyFill="1" applyBorder="1" applyAlignment="1">
      <alignment horizontal="center" vertical="center"/>
    </xf>
  </cellXfs>
  <cellStyles count="9">
    <cellStyle name="一般" xfId="0" builtinId="0"/>
    <cellStyle name="一般 2" xfId="2" xr:uid="{00000000-0005-0000-0000-000001000000}"/>
    <cellStyle name="一般 3" xfId="5" xr:uid="{00000000-0005-0000-0000-000002000000}"/>
    <cellStyle name="一般 4" xfId="6" xr:uid="{00000000-0005-0000-0000-000003000000}"/>
    <cellStyle name="一般_OMRON" xfId="3" xr:uid="{00000000-0005-0000-0000-000004000000}"/>
    <cellStyle name="一般_OMRON海運出口" xfId="4" xr:uid="{00000000-0005-0000-0000-000005000000}"/>
    <cellStyle name="千分位" xfId="1" builtinId="3"/>
    <cellStyle name="千分位 2" xfId="7" xr:uid="{00000000-0005-0000-0000-000007000000}"/>
    <cellStyle name="常规_Sheet1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245032</xdr:colOff>
      <xdr:row>30</xdr:row>
      <xdr:rowOff>117928</xdr:rowOff>
    </xdr:from>
    <xdr:to>
      <xdr:col>8</xdr:col>
      <xdr:colOff>117968</xdr:colOff>
      <xdr:row>37</xdr:row>
      <xdr:rowOff>108857</xdr:rowOff>
    </xdr:to>
    <xdr:pic>
      <xdr:nvPicPr>
        <xdr:cNvPr id="2" name="Picture 1" descr="公司大小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458" t="3979" r="3372" b="4900"/>
        <a:stretch>
          <a:fillRect/>
        </a:stretch>
      </xdr:blipFill>
      <xdr:spPr bwMode="auto">
        <a:xfrm>
          <a:off x="845107" y="6118678"/>
          <a:ext cx="4073461" cy="1391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36</xdr:row>
      <xdr:rowOff>47625</xdr:rowOff>
    </xdr:from>
    <xdr:to>
      <xdr:col>5</xdr:col>
      <xdr:colOff>397565</xdr:colOff>
      <xdr:row>46</xdr:row>
      <xdr:rowOff>115956</xdr:rowOff>
    </xdr:to>
    <xdr:pic>
      <xdr:nvPicPr>
        <xdr:cNvPr id="2" name="Picture 1" descr="公司大小章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458" r="3372"/>
        <a:stretch>
          <a:fillRect/>
        </a:stretch>
      </xdr:blipFill>
      <xdr:spPr bwMode="auto">
        <a:xfrm>
          <a:off x="590550" y="7248525"/>
          <a:ext cx="2807390" cy="20685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view="pageBreakPreview" topLeftCell="A5" zoomScaleNormal="100" zoomScaleSheetLayoutView="100" workbookViewId="0">
      <selection activeCell="B23" sqref="B23"/>
    </sheetView>
  </sheetViews>
  <sheetFormatPr defaultColWidth="9" defaultRowHeight="27"/>
  <cols>
    <col min="1" max="1" width="5.25" style="1" customWidth="1"/>
    <col min="2" max="2" width="13.875" style="1" customWidth="1"/>
    <col min="3" max="3" width="13.375" style="1" customWidth="1"/>
    <col min="4" max="4" width="36.375" style="1" customWidth="1"/>
    <col min="5" max="5" width="11" style="1" customWidth="1"/>
    <col min="6" max="6" width="5.75" style="1" customWidth="1"/>
    <col min="7" max="7" width="10" style="1" bestFit="1" customWidth="1"/>
    <col min="8" max="8" width="9.375" style="1" bestFit="1" customWidth="1"/>
    <col min="9" max="9" width="10.25" style="1" customWidth="1"/>
    <col min="10" max="11" width="7.125" style="1" customWidth="1"/>
    <col min="12" max="12" width="15.625" style="1" customWidth="1"/>
    <col min="13" max="13" width="13.625" style="1" customWidth="1"/>
    <col min="14" max="14" width="23.75" style="1" customWidth="1"/>
    <col min="15" max="15" width="8" style="1" customWidth="1"/>
    <col min="16" max="16384" width="9" style="1"/>
  </cols>
  <sheetData>
    <row r="1" spans="1:15" ht="29.4">
      <c r="A1" s="121" t="s">
        <v>66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</row>
    <row r="2" spans="1:15">
      <c r="A2" s="40" t="s">
        <v>65</v>
      </c>
      <c r="B2" s="33"/>
      <c r="C2" s="33"/>
      <c r="D2" s="33"/>
      <c r="E2" s="40" t="s">
        <v>64</v>
      </c>
      <c r="F2" s="33"/>
      <c r="G2" s="33"/>
      <c r="H2" s="33"/>
      <c r="I2" s="33"/>
      <c r="J2" s="32"/>
      <c r="K2" s="32"/>
      <c r="L2" s="32"/>
      <c r="M2" s="32"/>
      <c r="N2" s="32"/>
      <c r="O2" s="31"/>
    </row>
    <row r="3" spans="1:15">
      <c r="A3" s="38" t="s">
        <v>63</v>
      </c>
      <c r="B3" s="37"/>
      <c r="C3" s="37"/>
      <c r="D3" s="37"/>
      <c r="E3" s="67" t="s">
        <v>62</v>
      </c>
      <c r="F3" s="69" t="s">
        <v>61</v>
      </c>
      <c r="G3" s="37"/>
      <c r="H3" s="68"/>
      <c r="I3" s="37"/>
      <c r="J3" s="36"/>
      <c r="K3" s="36"/>
      <c r="L3" s="36"/>
      <c r="M3" s="36"/>
      <c r="N3" s="36"/>
      <c r="O3" s="35"/>
    </row>
    <row r="4" spans="1:15">
      <c r="A4" s="124" t="s">
        <v>60</v>
      </c>
      <c r="B4" s="125"/>
      <c r="C4" s="125"/>
      <c r="D4" s="125"/>
      <c r="E4" s="67" t="s">
        <v>59</v>
      </c>
      <c r="F4" s="126">
        <v>45882</v>
      </c>
      <c r="G4" s="126"/>
      <c r="H4" s="126"/>
      <c r="I4" s="66"/>
      <c r="J4" s="36"/>
      <c r="K4" s="36"/>
      <c r="L4" s="36"/>
      <c r="M4" s="36"/>
      <c r="N4" s="36"/>
      <c r="O4" s="35"/>
    </row>
    <row r="5" spans="1:15">
      <c r="A5" s="124"/>
      <c r="B5" s="125"/>
      <c r="C5" s="125"/>
      <c r="D5" s="125"/>
      <c r="E5" s="38"/>
      <c r="F5" s="37"/>
      <c r="G5" s="37"/>
      <c r="H5" s="37"/>
      <c r="I5" s="37"/>
      <c r="J5" s="36"/>
      <c r="K5" s="36"/>
      <c r="L5" s="36"/>
      <c r="M5" s="36"/>
      <c r="N5" s="36"/>
      <c r="O5" s="35"/>
    </row>
    <row r="6" spans="1:15" ht="12" customHeight="1">
      <c r="A6" s="65"/>
      <c r="B6" s="64"/>
      <c r="C6" s="63"/>
      <c r="D6" s="63"/>
      <c r="E6" s="62"/>
      <c r="F6" s="33"/>
      <c r="G6" s="33"/>
      <c r="H6" s="33"/>
      <c r="I6" s="33"/>
      <c r="J6" s="61"/>
      <c r="K6" s="61"/>
      <c r="L6" s="61"/>
      <c r="M6" s="61"/>
      <c r="N6" s="61"/>
      <c r="O6" s="60"/>
    </row>
    <row r="7" spans="1:15">
      <c r="A7" s="47" t="s">
        <v>58</v>
      </c>
      <c r="B7" s="45"/>
      <c r="C7" s="45"/>
      <c r="D7" s="45"/>
      <c r="E7" s="47" t="s">
        <v>57</v>
      </c>
      <c r="F7" s="45"/>
      <c r="G7" s="45"/>
      <c r="H7" s="45"/>
      <c r="I7" s="45"/>
      <c r="J7" s="59"/>
      <c r="K7" s="59"/>
      <c r="L7" s="59"/>
      <c r="M7" s="59"/>
      <c r="N7" s="59"/>
      <c r="O7" s="58"/>
    </row>
    <row r="8" spans="1:15">
      <c r="A8" s="38" t="s">
        <v>56</v>
      </c>
      <c r="B8" s="37"/>
      <c r="C8" s="37"/>
      <c r="D8" s="37"/>
      <c r="E8" s="38" t="s">
        <v>55</v>
      </c>
      <c r="F8" s="37"/>
      <c r="G8" s="37"/>
      <c r="H8" s="37"/>
      <c r="I8" s="37"/>
      <c r="J8" s="57"/>
      <c r="K8" s="57"/>
      <c r="L8" s="57"/>
      <c r="M8" s="57"/>
      <c r="N8" s="57"/>
      <c r="O8" s="56"/>
    </row>
    <row r="9" spans="1:15" ht="42" customHeight="1">
      <c r="A9" s="127" t="s">
        <v>54</v>
      </c>
      <c r="B9" s="128"/>
      <c r="C9" s="128"/>
      <c r="D9" s="128"/>
      <c r="E9" s="38"/>
      <c r="F9" s="37"/>
      <c r="G9" s="37"/>
      <c r="H9" s="37"/>
      <c r="I9" s="37"/>
      <c r="J9" s="55"/>
      <c r="K9" s="55"/>
      <c r="L9" s="55"/>
      <c r="M9" s="55"/>
      <c r="N9" s="55"/>
      <c r="O9" s="54"/>
    </row>
    <row r="10" spans="1:15">
      <c r="A10" s="40" t="s">
        <v>53</v>
      </c>
      <c r="B10" s="33"/>
      <c r="C10" s="53"/>
      <c r="D10" s="33"/>
      <c r="E10" s="52" t="s">
        <v>52</v>
      </c>
      <c r="F10" s="44"/>
      <c r="G10" s="44"/>
      <c r="H10" s="44"/>
      <c r="I10" s="44"/>
      <c r="J10" s="45"/>
      <c r="K10" s="45"/>
      <c r="L10" s="45"/>
      <c r="M10" s="45"/>
      <c r="N10" s="45"/>
      <c r="O10" s="51"/>
    </row>
    <row r="11" spans="1:15" ht="38.25" customHeight="1">
      <c r="A11" s="129" t="s">
        <v>51</v>
      </c>
      <c r="B11" s="130"/>
      <c r="C11" s="130"/>
      <c r="D11" s="130"/>
      <c r="E11" s="50" t="s">
        <v>50</v>
      </c>
      <c r="F11" s="36"/>
      <c r="G11" s="36"/>
      <c r="H11" s="36"/>
      <c r="I11" s="36"/>
      <c r="J11" s="36"/>
      <c r="K11" s="36"/>
      <c r="L11" s="36"/>
      <c r="M11" s="36"/>
      <c r="N11" s="36"/>
      <c r="O11" s="35"/>
    </row>
    <row r="12" spans="1:15" ht="47.25" customHeight="1">
      <c r="A12" s="131"/>
      <c r="B12" s="130"/>
      <c r="C12" s="130"/>
      <c r="D12" s="130"/>
      <c r="E12" s="50"/>
      <c r="F12" s="36"/>
      <c r="G12" s="36"/>
      <c r="H12" s="36"/>
      <c r="I12" s="36"/>
      <c r="J12" s="36"/>
      <c r="K12" s="36"/>
      <c r="L12" s="36"/>
      <c r="M12" s="36"/>
      <c r="N12" s="36"/>
      <c r="O12" s="35"/>
    </row>
    <row r="13" spans="1:15" ht="47.25" customHeight="1">
      <c r="A13" s="132"/>
      <c r="B13" s="133"/>
      <c r="C13" s="133"/>
      <c r="D13" s="133"/>
      <c r="E13" s="49"/>
      <c r="F13" s="36"/>
      <c r="G13" s="36"/>
      <c r="H13" s="36"/>
      <c r="I13" s="36"/>
      <c r="J13" s="36"/>
      <c r="K13" s="36"/>
      <c r="L13" s="36"/>
      <c r="M13" s="36"/>
      <c r="N13" s="36"/>
      <c r="O13" s="35"/>
    </row>
    <row r="14" spans="1:15">
      <c r="A14" s="47" t="s">
        <v>49</v>
      </c>
      <c r="B14" s="48"/>
      <c r="C14" s="47" t="s">
        <v>48</v>
      </c>
      <c r="D14" s="45"/>
      <c r="E14" s="47" t="s">
        <v>47</v>
      </c>
      <c r="F14" s="46"/>
      <c r="G14" s="46"/>
      <c r="H14" s="46"/>
      <c r="I14" s="45"/>
      <c r="J14" s="44"/>
      <c r="K14" s="44"/>
      <c r="L14" s="44"/>
      <c r="M14" s="44"/>
      <c r="N14" s="44"/>
      <c r="O14" s="43"/>
    </row>
    <row r="15" spans="1:15">
      <c r="A15" s="141" t="s">
        <v>41</v>
      </c>
      <c r="B15" s="142"/>
      <c r="C15" s="141" t="s">
        <v>46</v>
      </c>
      <c r="D15" s="143"/>
      <c r="E15" s="38"/>
      <c r="F15" s="37"/>
      <c r="G15" s="37"/>
      <c r="H15" s="37"/>
      <c r="I15" s="37"/>
      <c r="J15" s="36"/>
      <c r="K15" s="36"/>
      <c r="L15" s="36"/>
      <c r="M15" s="36"/>
      <c r="N15" s="36"/>
      <c r="O15" s="35"/>
    </row>
    <row r="16" spans="1:15">
      <c r="A16" s="40" t="s">
        <v>45</v>
      </c>
      <c r="B16" s="41"/>
      <c r="C16" s="40" t="s">
        <v>44</v>
      </c>
      <c r="D16" s="39"/>
      <c r="E16" s="38"/>
      <c r="F16" s="36"/>
      <c r="G16" s="37"/>
      <c r="H16" s="37"/>
      <c r="I16" s="37"/>
      <c r="J16" s="36"/>
      <c r="K16" s="36"/>
      <c r="L16" s="36"/>
      <c r="M16" s="36"/>
      <c r="N16" s="36"/>
      <c r="O16" s="35"/>
    </row>
    <row r="17" spans="1:15">
      <c r="A17" s="134" t="s">
        <v>43</v>
      </c>
      <c r="B17" s="135"/>
      <c r="C17" s="136">
        <f>F4+1</f>
        <v>45883</v>
      </c>
      <c r="D17" s="137"/>
      <c r="E17" s="34" t="s">
        <v>42</v>
      </c>
      <c r="F17" s="33" t="s">
        <v>41</v>
      </c>
      <c r="G17" s="33"/>
      <c r="H17" s="33"/>
      <c r="I17" s="33"/>
      <c r="J17" s="32"/>
      <c r="K17" s="32"/>
      <c r="L17" s="32"/>
      <c r="M17" s="32"/>
      <c r="N17" s="32"/>
      <c r="O17" s="31"/>
    </row>
    <row r="18" spans="1:15" ht="32.25" customHeight="1">
      <c r="A18" s="30" t="s">
        <v>40</v>
      </c>
      <c r="B18" s="28" t="s">
        <v>39</v>
      </c>
      <c r="C18" s="28" t="s">
        <v>38</v>
      </c>
      <c r="D18" s="29" t="s">
        <v>37</v>
      </c>
      <c r="E18" s="28" t="s">
        <v>36</v>
      </c>
      <c r="F18" s="28" t="s">
        <v>35</v>
      </c>
      <c r="G18" s="28" t="s">
        <v>34</v>
      </c>
      <c r="H18" s="28" t="s">
        <v>33</v>
      </c>
      <c r="I18" s="28" t="s">
        <v>32</v>
      </c>
      <c r="J18" s="27" t="s">
        <v>31</v>
      </c>
      <c r="K18" s="27" t="s">
        <v>30</v>
      </c>
      <c r="L18" s="27" t="s">
        <v>29</v>
      </c>
      <c r="M18" s="27" t="s">
        <v>28</v>
      </c>
      <c r="N18" s="27" t="s">
        <v>27</v>
      </c>
      <c r="O18" s="26" t="s">
        <v>26</v>
      </c>
    </row>
    <row r="19" spans="1:15" ht="21" customHeight="1">
      <c r="A19" s="25">
        <v>1</v>
      </c>
      <c r="B19" s="20" t="s">
        <v>25</v>
      </c>
      <c r="C19" s="20">
        <v>2250701313</v>
      </c>
      <c r="D19" s="20" t="s">
        <v>24</v>
      </c>
      <c r="E19" s="20">
        <v>4000</v>
      </c>
      <c r="F19" s="24" t="s">
        <v>8</v>
      </c>
      <c r="G19" s="23">
        <v>4.2700000000000002E-2</v>
      </c>
      <c r="H19" s="20" t="s">
        <v>7</v>
      </c>
      <c r="I19" s="22">
        <f t="shared" ref="I19:I28" si="0">ROUND(E19*G19,2)</f>
        <v>170.8</v>
      </c>
      <c r="J19" s="21" t="s">
        <v>6</v>
      </c>
      <c r="K19" s="21"/>
      <c r="L19" s="21" t="s">
        <v>5</v>
      </c>
      <c r="M19" s="21" t="s">
        <v>4</v>
      </c>
      <c r="N19" s="20" t="s">
        <v>23</v>
      </c>
      <c r="O19" s="19">
        <f>ROUND(E19/4000*0.78,2)</f>
        <v>0.78</v>
      </c>
    </row>
    <row r="20" spans="1:15" ht="21" customHeight="1">
      <c r="A20" s="25">
        <v>2</v>
      </c>
      <c r="B20" s="20" t="s">
        <v>25</v>
      </c>
      <c r="C20" s="20">
        <v>2250702108</v>
      </c>
      <c r="D20" s="20" t="s">
        <v>24</v>
      </c>
      <c r="E20" s="20">
        <v>4000</v>
      </c>
      <c r="F20" s="24" t="s">
        <v>8</v>
      </c>
      <c r="G20" s="23">
        <v>4.2700000000000002E-2</v>
      </c>
      <c r="H20" s="20" t="s">
        <v>7</v>
      </c>
      <c r="I20" s="22">
        <f t="shared" si="0"/>
        <v>170.8</v>
      </c>
      <c r="J20" s="21" t="s">
        <v>6</v>
      </c>
      <c r="K20" s="21"/>
      <c r="L20" s="21" t="s">
        <v>5</v>
      </c>
      <c r="M20" s="21" t="s">
        <v>4</v>
      </c>
      <c r="N20" s="20" t="s">
        <v>23</v>
      </c>
      <c r="O20" s="19">
        <f>ROUND(E20/4000*0.78,2)</f>
        <v>0.78</v>
      </c>
    </row>
    <row r="21" spans="1:15" ht="21" customHeight="1">
      <c r="A21" s="25">
        <v>3</v>
      </c>
      <c r="B21" s="20" t="s">
        <v>22</v>
      </c>
      <c r="C21" s="20">
        <v>2250200108</v>
      </c>
      <c r="D21" s="20" t="s">
        <v>21</v>
      </c>
      <c r="E21" s="20">
        <v>12000</v>
      </c>
      <c r="F21" s="24" t="s">
        <v>8</v>
      </c>
      <c r="G21" s="23">
        <v>3.1E-2</v>
      </c>
      <c r="H21" s="20" t="s">
        <v>7</v>
      </c>
      <c r="I21" s="22">
        <f t="shared" si="0"/>
        <v>372</v>
      </c>
      <c r="J21" s="21" t="s">
        <v>6</v>
      </c>
      <c r="K21" s="21" t="s">
        <v>6</v>
      </c>
      <c r="L21" s="21" t="s">
        <v>5</v>
      </c>
      <c r="M21" s="21" t="s">
        <v>4</v>
      </c>
      <c r="N21" s="20" t="s">
        <v>20</v>
      </c>
      <c r="O21" s="19">
        <f>ROUND(E21/4000*0.78,2)</f>
        <v>2.34</v>
      </c>
    </row>
    <row r="22" spans="1:15" ht="21" customHeight="1">
      <c r="A22" s="25">
        <v>4</v>
      </c>
      <c r="B22" s="20" t="s">
        <v>22</v>
      </c>
      <c r="C22" s="20">
        <v>2250302062</v>
      </c>
      <c r="D22" s="20" t="s">
        <v>21</v>
      </c>
      <c r="E22" s="20">
        <v>4000</v>
      </c>
      <c r="F22" s="24" t="s">
        <v>8</v>
      </c>
      <c r="G22" s="23">
        <v>3.1E-2</v>
      </c>
      <c r="H22" s="20" t="s">
        <v>7</v>
      </c>
      <c r="I22" s="22">
        <f t="shared" si="0"/>
        <v>124</v>
      </c>
      <c r="J22" s="21" t="s">
        <v>6</v>
      </c>
      <c r="K22" s="21" t="s">
        <v>6</v>
      </c>
      <c r="L22" s="21" t="s">
        <v>5</v>
      </c>
      <c r="M22" s="21" t="s">
        <v>4</v>
      </c>
      <c r="N22" s="20" t="s">
        <v>20</v>
      </c>
      <c r="O22" s="19">
        <f>ROUND(E22/4000*0.78,2)</f>
        <v>0.78</v>
      </c>
    </row>
    <row r="23" spans="1:15" ht="21" customHeight="1">
      <c r="A23" s="25">
        <v>5</v>
      </c>
      <c r="B23" s="20" t="s">
        <v>19</v>
      </c>
      <c r="C23" s="20">
        <v>2250501291</v>
      </c>
      <c r="D23" s="20" t="s">
        <v>18</v>
      </c>
      <c r="E23" s="20">
        <v>21000</v>
      </c>
      <c r="F23" s="24" t="s">
        <v>8</v>
      </c>
      <c r="G23" s="23">
        <v>3.73E-2</v>
      </c>
      <c r="H23" s="20" t="s">
        <v>7</v>
      </c>
      <c r="I23" s="22">
        <f t="shared" si="0"/>
        <v>783.3</v>
      </c>
      <c r="J23" s="21" t="s">
        <v>6</v>
      </c>
      <c r="K23" s="21" t="s">
        <v>6</v>
      </c>
      <c r="L23" s="21" t="s">
        <v>5</v>
      </c>
      <c r="M23" s="21" t="s">
        <v>4</v>
      </c>
      <c r="N23" s="20" t="s">
        <v>17</v>
      </c>
      <c r="O23" s="19">
        <f>ROUND(E23/3000*0.16,2)</f>
        <v>1.1200000000000001</v>
      </c>
    </row>
    <row r="24" spans="1:15" ht="21" customHeight="1">
      <c r="A24" s="25">
        <v>6</v>
      </c>
      <c r="B24" s="20" t="s">
        <v>16</v>
      </c>
      <c r="C24" s="20">
        <v>2250401131</v>
      </c>
      <c r="D24" s="20" t="s">
        <v>15</v>
      </c>
      <c r="E24" s="20">
        <v>9000</v>
      </c>
      <c r="F24" s="24" t="s">
        <v>8</v>
      </c>
      <c r="G24" s="23">
        <v>1.47E-2</v>
      </c>
      <c r="H24" s="20" t="s">
        <v>7</v>
      </c>
      <c r="I24" s="22">
        <f t="shared" si="0"/>
        <v>132.30000000000001</v>
      </c>
      <c r="J24" s="21" t="s">
        <v>6</v>
      </c>
      <c r="K24" s="21" t="s">
        <v>6</v>
      </c>
      <c r="L24" s="21" t="s">
        <v>5</v>
      </c>
      <c r="M24" s="21" t="s">
        <v>4</v>
      </c>
      <c r="N24" s="20" t="s">
        <v>14</v>
      </c>
      <c r="O24" s="19">
        <f>ROUND(E24/3000*0.14,2)</f>
        <v>0.42</v>
      </c>
    </row>
    <row r="25" spans="1:15" ht="21" customHeight="1">
      <c r="A25" s="25">
        <v>7</v>
      </c>
      <c r="B25" s="20" t="s">
        <v>16</v>
      </c>
      <c r="C25" s="20">
        <v>2250401308</v>
      </c>
      <c r="D25" s="20" t="s">
        <v>15</v>
      </c>
      <c r="E25" s="20">
        <v>12000</v>
      </c>
      <c r="F25" s="24" t="s">
        <v>8</v>
      </c>
      <c r="G25" s="23">
        <v>1.47E-2</v>
      </c>
      <c r="H25" s="20" t="s">
        <v>7</v>
      </c>
      <c r="I25" s="22">
        <f t="shared" si="0"/>
        <v>176.4</v>
      </c>
      <c r="J25" s="21" t="s">
        <v>6</v>
      </c>
      <c r="K25" s="21" t="s">
        <v>6</v>
      </c>
      <c r="L25" s="21" t="s">
        <v>5</v>
      </c>
      <c r="M25" s="21" t="s">
        <v>4</v>
      </c>
      <c r="N25" s="20" t="s">
        <v>14</v>
      </c>
      <c r="O25" s="19">
        <f>ROUND(E25/3000*0.14,2)</f>
        <v>0.56000000000000005</v>
      </c>
    </row>
    <row r="26" spans="1:15" ht="21" customHeight="1">
      <c r="A26" s="25">
        <v>8</v>
      </c>
      <c r="B26" s="20" t="s">
        <v>13</v>
      </c>
      <c r="C26" s="20">
        <v>2250302396</v>
      </c>
      <c r="D26" s="20" t="s">
        <v>12</v>
      </c>
      <c r="E26" s="20">
        <v>3000</v>
      </c>
      <c r="F26" s="24" t="s">
        <v>8</v>
      </c>
      <c r="G26" s="23">
        <v>1.9699999999999999E-2</v>
      </c>
      <c r="H26" s="20" t="s">
        <v>7</v>
      </c>
      <c r="I26" s="22">
        <f t="shared" si="0"/>
        <v>59.1</v>
      </c>
      <c r="J26" s="21" t="s">
        <v>6</v>
      </c>
      <c r="K26" s="21" t="s">
        <v>6</v>
      </c>
      <c r="L26" s="21" t="s">
        <v>5</v>
      </c>
      <c r="M26" s="21" t="s">
        <v>4</v>
      </c>
      <c r="N26" s="20" t="s">
        <v>11</v>
      </c>
      <c r="O26" s="19">
        <f>ROUND(E26/3000*0.14,2)</f>
        <v>0.14000000000000001</v>
      </c>
    </row>
    <row r="27" spans="1:15" ht="21" customHeight="1">
      <c r="A27" s="25">
        <v>9</v>
      </c>
      <c r="B27" s="20" t="s">
        <v>10</v>
      </c>
      <c r="C27" s="20">
        <v>2241203282</v>
      </c>
      <c r="D27" s="20" t="s">
        <v>9</v>
      </c>
      <c r="E27" s="20">
        <v>364</v>
      </c>
      <c r="F27" s="24" t="s">
        <v>8</v>
      </c>
      <c r="G27" s="23">
        <v>4.4999999999999998E-2</v>
      </c>
      <c r="H27" s="20" t="s">
        <v>7</v>
      </c>
      <c r="I27" s="22">
        <f t="shared" si="0"/>
        <v>16.38</v>
      </c>
      <c r="J27" s="21" t="s">
        <v>6</v>
      </c>
      <c r="K27" s="21" t="s">
        <v>6</v>
      </c>
      <c r="L27" s="21" t="s">
        <v>5</v>
      </c>
      <c r="M27" s="21" t="s">
        <v>4</v>
      </c>
      <c r="N27" s="20" t="s">
        <v>3</v>
      </c>
      <c r="O27" s="19">
        <f>ROUND(7/25*E27/1000,2)</f>
        <v>0.1</v>
      </c>
    </row>
    <row r="28" spans="1:15" ht="21" customHeight="1">
      <c r="A28" s="25">
        <v>10</v>
      </c>
      <c r="B28" s="20" t="s">
        <v>10</v>
      </c>
      <c r="C28" s="20">
        <v>2250100316</v>
      </c>
      <c r="D28" s="20" t="s">
        <v>9</v>
      </c>
      <c r="E28" s="20">
        <v>2136</v>
      </c>
      <c r="F28" s="24" t="s">
        <v>8</v>
      </c>
      <c r="G28" s="23">
        <v>4.4999999999999998E-2</v>
      </c>
      <c r="H28" s="20" t="s">
        <v>7</v>
      </c>
      <c r="I28" s="22">
        <f t="shared" si="0"/>
        <v>96.12</v>
      </c>
      <c r="J28" s="21" t="s">
        <v>6</v>
      </c>
      <c r="K28" s="21" t="s">
        <v>6</v>
      </c>
      <c r="L28" s="21" t="s">
        <v>5</v>
      </c>
      <c r="M28" s="21" t="s">
        <v>4</v>
      </c>
      <c r="N28" s="20" t="s">
        <v>3</v>
      </c>
      <c r="O28" s="19">
        <f>ROUND(7/25*E28/1000,2)</f>
        <v>0.6</v>
      </c>
    </row>
    <row r="29" spans="1:15" ht="11.25" customHeight="1">
      <c r="A29" s="18"/>
      <c r="B29" s="12"/>
      <c r="C29" s="12"/>
      <c r="D29" s="12"/>
      <c r="E29" s="14"/>
      <c r="F29" s="17"/>
      <c r="G29" s="16"/>
      <c r="H29" s="14"/>
      <c r="I29" s="15"/>
      <c r="J29" s="14"/>
      <c r="K29" s="14"/>
      <c r="L29" s="13"/>
      <c r="M29" s="13"/>
      <c r="N29" s="12"/>
      <c r="O29" s="11"/>
    </row>
    <row r="30" spans="1:15" s="2" customFormat="1" ht="16.8">
      <c r="A30" s="10"/>
      <c r="B30" s="9"/>
      <c r="C30" s="138" t="s">
        <v>2</v>
      </c>
      <c r="D30" s="138"/>
      <c r="E30" s="8">
        <f>SUM(E19:E29)</f>
        <v>71500</v>
      </c>
      <c r="F30" s="7"/>
      <c r="G30" s="6"/>
      <c r="H30" s="6"/>
      <c r="I30" s="5">
        <f>SUM(I19:I29)</f>
        <v>2101.2000000000003</v>
      </c>
      <c r="J30" s="4"/>
      <c r="K30" s="4"/>
      <c r="L30" s="4"/>
      <c r="M30" s="4"/>
      <c r="N30" s="4"/>
      <c r="O30" s="3">
        <f>SUM(O19:O29)</f>
        <v>7.6199999999999983</v>
      </c>
    </row>
    <row r="33" spans="11:13" ht="27.6" thickBot="1">
      <c r="K33" s="139" t="s">
        <v>1</v>
      </c>
      <c r="L33" s="139"/>
      <c r="M33" s="139"/>
    </row>
    <row r="34" spans="11:13" ht="27.6" thickTop="1">
      <c r="K34" s="140" t="s">
        <v>0</v>
      </c>
      <c r="L34" s="140"/>
      <c r="M34" s="140"/>
    </row>
  </sheetData>
  <mergeCells count="12">
    <mergeCell ref="A15:B15"/>
    <mergeCell ref="C15:D15"/>
    <mergeCell ref="A17:B17"/>
    <mergeCell ref="C17:D17"/>
    <mergeCell ref="C30:D30"/>
    <mergeCell ref="K33:M33"/>
    <mergeCell ref="K34:M34"/>
    <mergeCell ref="A1:O1"/>
    <mergeCell ref="A4:D5"/>
    <mergeCell ref="F4:H4"/>
    <mergeCell ref="A9:D9"/>
    <mergeCell ref="A11:D13"/>
  </mergeCells>
  <phoneticPr fontId="3" type="noConversion"/>
  <pageMargins left="0.27559055118110237" right="0.15748031496062992" top="0.98425196850393704" bottom="0.98425196850393704" header="0.51181102362204722" footer="0.51181102362204722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tabSelected="1" view="pageBreakPreview" zoomScale="115" zoomScaleNormal="100" zoomScaleSheetLayoutView="115" workbookViewId="0">
      <selection activeCell="H13" sqref="H13"/>
    </sheetView>
  </sheetViews>
  <sheetFormatPr defaultColWidth="9" defaultRowHeight="16.8"/>
  <cols>
    <col min="1" max="1" width="9" style="2"/>
    <col min="2" max="2" width="17.125" style="2" customWidth="1"/>
    <col min="3" max="3" width="15" style="2" customWidth="1"/>
    <col min="4" max="4" width="37.375" style="2" customWidth="1"/>
    <col min="5" max="5" width="10.875" style="2" customWidth="1"/>
    <col min="6" max="6" width="13" style="2" bestFit="1" customWidth="1"/>
    <col min="7" max="7" width="10.875" style="2" customWidth="1"/>
    <col min="8" max="8" width="12" style="2" customWidth="1"/>
    <col min="9" max="9" width="16.75" style="2" customWidth="1"/>
    <col min="10" max="16384" width="9" style="2"/>
  </cols>
  <sheetData>
    <row r="1" spans="1:15" ht="29.4">
      <c r="A1" s="144" t="s">
        <v>85</v>
      </c>
      <c r="B1" s="145"/>
      <c r="C1" s="145"/>
      <c r="D1" s="145"/>
      <c r="E1" s="145"/>
      <c r="F1" s="145"/>
      <c r="G1" s="145"/>
      <c r="H1" s="145"/>
      <c r="I1" s="146"/>
      <c r="J1" s="120"/>
      <c r="K1" s="120"/>
      <c r="L1" s="120"/>
      <c r="M1" s="120"/>
      <c r="N1" s="120"/>
      <c r="O1" s="119"/>
    </row>
    <row r="2" spans="1:15">
      <c r="A2" s="118"/>
      <c r="B2" s="117"/>
      <c r="C2" s="117"/>
      <c r="D2" s="117"/>
      <c r="E2" s="117"/>
      <c r="F2" s="117"/>
      <c r="G2" s="117"/>
      <c r="H2" s="117"/>
      <c r="I2" s="116"/>
    </row>
    <row r="3" spans="1:15" ht="19.2">
      <c r="A3" s="99" t="s">
        <v>65</v>
      </c>
      <c r="B3" s="46"/>
      <c r="C3" s="46"/>
      <c r="D3" s="106"/>
      <c r="E3" s="99" t="s">
        <v>84</v>
      </c>
      <c r="F3" s="46"/>
      <c r="G3" s="46"/>
      <c r="H3" s="46"/>
      <c r="I3" s="43"/>
    </row>
    <row r="4" spans="1:15">
      <c r="A4" s="38" t="s">
        <v>63</v>
      </c>
      <c r="B4" s="82"/>
      <c r="C4" s="82"/>
      <c r="D4" s="115"/>
      <c r="E4" s="107" t="s">
        <v>62</v>
      </c>
      <c r="F4" s="82" t="str">
        <f>INVOICE!F3</f>
        <v>QYX004-2025-10611258</v>
      </c>
      <c r="G4" s="82"/>
      <c r="H4" s="82"/>
      <c r="I4" s="35"/>
    </row>
    <row r="5" spans="1:15">
      <c r="A5" s="129" t="s">
        <v>60</v>
      </c>
      <c r="B5" s="147"/>
      <c r="C5" s="147"/>
      <c r="D5" s="148"/>
      <c r="E5" s="107" t="s">
        <v>59</v>
      </c>
      <c r="F5" s="114">
        <f>INVOICE!F4</f>
        <v>45882</v>
      </c>
      <c r="G5" s="82"/>
      <c r="H5" s="82"/>
      <c r="I5" s="35"/>
    </row>
    <row r="6" spans="1:15">
      <c r="A6" s="149"/>
      <c r="B6" s="147"/>
      <c r="C6" s="147"/>
      <c r="D6" s="148"/>
      <c r="E6" s="107"/>
      <c r="F6" s="82"/>
      <c r="G6" s="82"/>
      <c r="H6" s="82"/>
      <c r="I6" s="35"/>
    </row>
    <row r="7" spans="1:15" ht="23.25" customHeight="1">
      <c r="A7" s="150"/>
      <c r="B7" s="151"/>
      <c r="C7" s="151"/>
      <c r="D7" s="152"/>
      <c r="E7" s="113"/>
      <c r="F7" s="94"/>
      <c r="G7" s="94"/>
      <c r="H7" s="94"/>
      <c r="I7" s="112"/>
    </row>
    <row r="8" spans="1:15" ht="19.8">
      <c r="A8" s="47" t="s">
        <v>58</v>
      </c>
      <c r="B8" s="111"/>
      <c r="C8" s="110"/>
      <c r="D8" s="109"/>
      <c r="E8" s="103" t="s">
        <v>83</v>
      </c>
      <c r="F8" s="108"/>
      <c r="G8" s="108"/>
      <c r="H8" s="108"/>
      <c r="I8" s="31"/>
    </row>
    <row r="9" spans="1:15" ht="21" customHeight="1">
      <c r="A9" s="107" t="s">
        <v>56</v>
      </c>
      <c r="B9" s="82"/>
      <c r="C9" s="37"/>
      <c r="D9" s="35"/>
      <c r="E9" s="81"/>
      <c r="F9" s="37"/>
      <c r="G9" s="37"/>
      <c r="H9" s="37"/>
      <c r="I9" s="35"/>
    </row>
    <row r="10" spans="1:15" ht="23.25" customHeight="1">
      <c r="A10" s="129" t="s">
        <v>54</v>
      </c>
      <c r="B10" s="153"/>
      <c r="C10" s="153"/>
      <c r="D10" s="154"/>
      <c r="E10" s="81"/>
      <c r="F10" s="82"/>
      <c r="G10" s="82"/>
      <c r="H10" s="37"/>
      <c r="I10" s="35"/>
    </row>
    <row r="11" spans="1:15" ht="10.5" customHeight="1">
      <c r="A11" s="155"/>
      <c r="B11" s="156"/>
      <c r="C11" s="156"/>
      <c r="D11" s="157"/>
      <c r="E11" s="81"/>
      <c r="F11" s="82"/>
      <c r="G11" s="82"/>
      <c r="H11" s="37"/>
      <c r="I11" s="35"/>
    </row>
    <row r="12" spans="1:15" ht="19.8">
      <c r="A12" s="47" t="s">
        <v>53</v>
      </c>
      <c r="B12" s="105"/>
      <c r="C12" s="46"/>
      <c r="D12" s="106"/>
      <c r="E12" s="82"/>
      <c r="F12" s="36"/>
      <c r="G12" s="82"/>
      <c r="H12" s="82"/>
      <c r="I12" s="35"/>
    </row>
    <row r="13" spans="1:15" ht="44.25" customHeight="1">
      <c r="A13" s="129" t="s">
        <v>51</v>
      </c>
      <c r="B13" s="147"/>
      <c r="C13" s="147"/>
      <c r="D13" s="148"/>
      <c r="E13" s="82"/>
      <c r="F13" s="36"/>
      <c r="G13" s="82"/>
      <c r="H13" s="82"/>
      <c r="I13" s="35"/>
    </row>
    <row r="14" spans="1:15" ht="44.25" customHeight="1">
      <c r="A14" s="149"/>
      <c r="B14" s="147"/>
      <c r="C14" s="147"/>
      <c r="D14" s="148"/>
      <c r="E14" s="82"/>
      <c r="F14" s="36"/>
      <c r="G14" s="82"/>
      <c r="H14" s="82"/>
      <c r="I14" s="35"/>
    </row>
    <row r="15" spans="1:15" ht="44.25" customHeight="1">
      <c r="A15" s="150"/>
      <c r="B15" s="151"/>
      <c r="C15" s="151"/>
      <c r="D15" s="152"/>
      <c r="E15" s="82"/>
      <c r="F15" s="36"/>
      <c r="G15" s="82"/>
      <c r="H15" s="82"/>
      <c r="I15" s="35"/>
    </row>
    <row r="16" spans="1:15" ht="19.2">
      <c r="A16" s="99" t="s">
        <v>82</v>
      </c>
      <c r="B16" s="105"/>
      <c r="C16" s="104"/>
      <c r="D16" s="103" t="s">
        <v>81</v>
      </c>
      <c r="E16" s="102"/>
      <c r="F16" s="101"/>
      <c r="G16" s="100"/>
      <c r="H16" s="82"/>
      <c r="I16" s="35"/>
    </row>
    <row r="17" spans="1:9">
      <c r="A17" s="141" t="s">
        <v>41</v>
      </c>
      <c r="B17" s="143"/>
      <c r="C17" s="142"/>
      <c r="D17" s="42" t="s">
        <v>46</v>
      </c>
      <c r="E17" s="102"/>
      <c r="F17" s="101"/>
      <c r="G17" s="100"/>
      <c r="H17" s="82"/>
      <c r="I17" s="35"/>
    </row>
    <row r="18" spans="1:9" ht="19.2">
      <c r="A18" s="99" t="s">
        <v>45</v>
      </c>
      <c r="B18" s="98"/>
      <c r="C18" s="97"/>
      <c r="D18" s="96" t="s">
        <v>44</v>
      </c>
      <c r="E18" s="82"/>
      <c r="F18" s="82"/>
      <c r="G18" s="82"/>
      <c r="H18" s="82"/>
      <c r="I18" s="35"/>
    </row>
    <row r="19" spans="1:9">
      <c r="A19" s="141" t="s">
        <v>43</v>
      </c>
      <c r="B19" s="143"/>
      <c r="C19" s="142"/>
      <c r="D19" s="95">
        <f>INVOICE!C17</f>
        <v>45883</v>
      </c>
      <c r="E19" s="94"/>
      <c r="F19" s="94"/>
      <c r="G19" s="94"/>
      <c r="H19" s="94"/>
      <c r="I19" s="35"/>
    </row>
    <row r="20" spans="1:9">
      <c r="A20" s="160" t="s">
        <v>80</v>
      </c>
      <c r="B20" s="162" t="s">
        <v>38</v>
      </c>
      <c r="C20" s="162" t="s">
        <v>39</v>
      </c>
      <c r="D20" s="162" t="s">
        <v>37</v>
      </c>
      <c r="E20" s="164" t="s">
        <v>36</v>
      </c>
      <c r="F20" s="164" t="s">
        <v>35</v>
      </c>
      <c r="G20" s="93" t="s">
        <v>79</v>
      </c>
      <c r="H20" s="93" t="s">
        <v>78</v>
      </c>
      <c r="I20" s="158" t="s">
        <v>77</v>
      </c>
    </row>
    <row r="21" spans="1:9">
      <c r="A21" s="161"/>
      <c r="B21" s="163"/>
      <c r="C21" s="163"/>
      <c r="D21" s="163"/>
      <c r="E21" s="165"/>
      <c r="F21" s="165"/>
      <c r="G21" s="92" t="s">
        <v>76</v>
      </c>
      <c r="H21" s="92" t="s">
        <v>76</v>
      </c>
      <c r="I21" s="159"/>
    </row>
    <row r="22" spans="1:9">
      <c r="A22" s="25" t="s">
        <v>75</v>
      </c>
      <c r="B22" s="20" t="s">
        <v>25</v>
      </c>
      <c r="C22" s="20">
        <v>2250701313</v>
      </c>
      <c r="D22" s="20" t="s">
        <v>24</v>
      </c>
      <c r="E22" s="20">
        <v>4000</v>
      </c>
      <c r="F22" s="24" t="s">
        <v>8</v>
      </c>
      <c r="G22" s="20">
        <f>ROUND(E22/4000*0.78,2)</f>
        <v>0.78</v>
      </c>
      <c r="H22" s="20">
        <f>E22/4000*0.88</f>
        <v>0.88</v>
      </c>
      <c r="I22" s="91" t="s">
        <v>74</v>
      </c>
    </row>
    <row r="23" spans="1:9">
      <c r="A23" s="25" t="s">
        <v>73</v>
      </c>
      <c r="B23" s="20" t="s">
        <v>25</v>
      </c>
      <c r="C23" s="20">
        <v>2250702108</v>
      </c>
      <c r="D23" s="20" t="s">
        <v>24</v>
      </c>
      <c r="E23" s="20">
        <v>4000</v>
      </c>
      <c r="F23" s="24" t="s">
        <v>8</v>
      </c>
      <c r="G23" s="20">
        <f>ROUND(E23/4000*0.78,2)</f>
        <v>0.78</v>
      </c>
      <c r="H23" s="20">
        <f>E23/4000*0.88</f>
        <v>0.88</v>
      </c>
      <c r="I23" s="91"/>
    </row>
    <row r="24" spans="1:9" ht="30">
      <c r="A24" s="25" t="s">
        <v>73</v>
      </c>
      <c r="B24" s="20" t="s">
        <v>22</v>
      </c>
      <c r="C24" s="20">
        <v>2250200108</v>
      </c>
      <c r="D24" s="20" t="s">
        <v>21</v>
      </c>
      <c r="E24" s="20">
        <v>12000</v>
      </c>
      <c r="F24" s="24" t="s">
        <v>8</v>
      </c>
      <c r="G24" s="20">
        <f>ROUND(E24/4000*0.78,2)</f>
        <v>2.34</v>
      </c>
      <c r="H24" s="20">
        <f>E24/4000*0.88</f>
        <v>2.64</v>
      </c>
      <c r="I24" s="91"/>
    </row>
    <row r="25" spans="1:9" ht="30">
      <c r="A25" s="25" t="s">
        <v>73</v>
      </c>
      <c r="B25" s="20" t="s">
        <v>22</v>
      </c>
      <c r="C25" s="20">
        <v>2250302062</v>
      </c>
      <c r="D25" s="20" t="s">
        <v>21</v>
      </c>
      <c r="E25" s="20">
        <v>4000</v>
      </c>
      <c r="F25" s="24" t="s">
        <v>8</v>
      </c>
      <c r="G25" s="20">
        <f>ROUND(E25/4000*0.78,2)</f>
        <v>0.78</v>
      </c>
      <c r="H25" s="20">
        <f>E25/4000*0.88</f>
        <v>0.88</v>
      </c>
      <c r="I25" s="91"/>
    </row>
    <row r="26" spans="1:9">
      <c r="A26" s="25" t="s">
        <v>73</v>
      </c>
      <c r="B26" s="20" t="s">
        <v>10</v>
      </c>
      <c r="C26" s="20">
        <v>2241203282</v>
      </c>
      <c r="D26" s="20" t="s">
        <v>9</v>
      </c>
      <c r="E26" s="20">
        <v>364</v>
      </c>
      <c r="F26" s="24" t="s">
        <v>8</v>
      </c>
      <c r="G26" s="20">
        <f>ROUND(7/25*E26/1000,2)</f>
        <v>0.1</v>
      </c>
      <c r="H26" s="20">
        <f>8/25*E26/1000</f>
        <v>0.11648</v>
      </c>
      <c r="I26" s="91"/>
    </row>
    <row r="27" spans="1:9">
      <c r="A27" s="25" t="s">
        <v>73</v>
      </c>
      <c r="B27" s="20" t="s">
        <v>10</v>
      </c>
      <c r="C27" s="20">
        <v>2250100316</v>
      </c>
      <c r="D27" s="20" t="s">
        <v>9</v>
      </c>
      <c r="E27" s="20">
        <v>2136</v>
      </c>
      <c r="F27" s="24" t="s">
        <v>8</v>
      </c>
      <c r="G27" s="20">
        <f>ROUND(7/25*E27/1000,2)</f>
        <v>0.6</v>
      </c>
      <c r="H27" s="20">
        <f>8/25*E27/1000</f>
        <v>0.68352000000000002</v>
      </c>
      <c r="I27" s="91"/>
    </row>
    <row r="28" spans="1:9">
      <c r="A28" s="25">
        <v>2</v>
      </c>
      <c r="B28" s="20" t="s">
        <v>19</v>
      </c>
      <c r="C28" s="20">
        <v>2250501291</v>
      </c>
      <c r="D28" s="20" t="s">
        <v>18</v>
      </c>
      <c r="E28" s="20">
        <v>21000</v>
      </c>
      <c r="F28" s="24" t="s">
        <v>8</v>
      </c>
      <c r="G28" s="20">
        <f>ROUND(E28/3000*0.16,2)</f>
        <v>1.1200000000000001</v>
      </c>
      <c r="H28" s="20">
        <f>E28/3000*0.18</f>
        <v>1.26</v>
      </c>
      <c r="I28" s="91" t="s">
        <v>74</v>
      </c>
    </row>
    <row r="29" spans="1:9">
      <c r="A29" s="25" t="s">
        <v>73</v>
      </c>
      <c r="B29" s="20" t="s">
        <v>16</v>
      </c>
      <c r="C29" s="20">
        <v>2250401131</v>
      </c>
      <c r="D29" s="20" t="s">
        <v>15</v>
      </c>
      <c r="E29" s="20">
        <v>9000</v>
      </c>
      <c r="F29" s="24" t="s">
        <v>8</v>
      </c>
      <c r="G29" s="20">
        <f>ROUND(E29/3000*0.14,2)</f>
        <v>0.42</v>
      </c>
      <c r="H29" s="20">
        <f>E29/3000*0.16</f>
        <v>0.48</v>
      </c>
      <c r="I29" s="91"/>
    </row>
    <row r="30" spans="1:9">
      <c r="A30" s="25" t="s">
        <v>73</v>
      </c>
      <c r="B30" s="20" t="s">
        <v>16</v>
      </c>
      <c r="C30" s="20">
        <v>2250401308</v>
      </c>
      <c r="D30" s="20" t="s">
        <v>15</v>
      </c>
      <c r="E30" s="20">
        <v>12000</v>
      </c>
      <c r="F30" s="24" t="s">
        <v>8</v>
      </c>
      <c r="G30" s="20">
        <f>ROUND(E30/3000*0.14,2)</f>
        <v>0.56000000000000005</v>
      </c>
      <c r="H30" s="20">
        <f>E30/3000*0.16</f>
        <v>0.64</v>
      </c>
      <c r="I30" s="91"/>
    </row>
    <row r="31" spans="1:9">
      <c r="A31" s="25" t="s">
        <v>73</v>
      </c>
      <c r="B31" s="20" t="s">
        <v>13</v>
      </c>
      <c r="C31" s="20">
        <v>2250302396</v>
      </c>
      <c r="D31" s="20" t="s">
        <v>12</v>
      </c>
      <c r="E31" s="20">
        <v>3000</v>
      </c>
      <c r="F31" s="24" t="s">
        <v>8</v>
      </c>
      <c r="G31" s="20">
        <f>ROUND(E31/3000*0.14,2)</f>
        <v>0.14000000000000001</v>
      </c>
      <c r="H31" s="20">
        <f>E31/3000*0.16</f>
        <v>0.16</v>
      </c>
      <c r="I31" s="91"/>
    </row>
    <row r="32" spans="1:9" ht="6.75" customHeight="1" thickBot="1">
      <c r="A32" s="90"/>
      <c r="B32" s="89"/>
      <c r="C32" s="87"/>
      <c r="D32" s="87"/>
      <c r="E32" s="88"/>
      <c r="F32" s="87"/>
      <c r="G32" s="86"/>
      <c r="H32" s="85"/>
      <c r="I32" s="84"/>
    </row>
    <row r="33" spans="1:9">
      <c r="A33" s="83">
        <v>2</v>
      </c>
      <c r="B33" s="82"/>
      <c r="C33" s="81"/>
      <c r="D33" s="79" t="s">
        <v>72</v>
      </c>
      <c r="E33" s="80">
        <f>SUM(E22:E32)</f>
        <v>71500</v>
      </c>
      <c r="F33" s="79"/>
      <c r="G33" s="78">
        <f>SUM(G22:G32)</f>
        <v>7.6199999999999983</v>
      </c>
      <c r="H33" s="78">
        <f>SUM(H22:H32)</f>
        <v>8.620000000000001</v>
      </c>
      <c r="I33" s="73"/>
    </row>
    <row r="34" spans="1:9">
      <c r="A34" s="76"/>
      <c r="D34" s="75" t="s">
        <v>71</v>
      </c>
      <c r="E34" s="77">
        <f>A33</f>
        <v>2</v>
      </c>
      <c r="I34" s="73"/>
    </row>
    <row r="35" spans="1:9">
      <c r="A35" s="76"/>
      <c r="D35" s="75" t="s">
        <v>70</v>
      </c>
      <c r="E35" s="74" t="s">
        <v>69</v>
      </c>
      <c r="I35" s="73"/>
    </row>
    <row r="36" spans="1:9">
      <c r="A36" s="72"/>
      <c r="B36" s="71"/>
      <c r="C36" s="71"/>
      <c r="D36" s="71"/>
      <c r="E36" s="71"/>
      <c r="F36" s="71"/>
      <c r="G36" s="71"/>
      <c r="H36" s="71"/>
      <c r="I36" s="70"/>
    </row>
    <row r="39" spans="1:9" ht="26.4" thickBot="1">
      <c r="G39" s="139" t="s">
        <v>68</v>
      </c>
      <c r="H39" s="139"/>
      <c r="I39" s="139"/>
    </row>
    <row r="40" spans="1:9" ht="17.399999999999999" thickTop="1">
      <c r="G40" s="140" t="s">
        <v>67</v>
      </c>
      <c r="H40" s="140"/>
      <c r="I40" s="140"/>
    </row>
  </sheetData>
  <mergeCells count="15">
    <mergeCell ref="I20:I21"/>
    <mergeCell ref="G39:I39"/>
    <mergeCell ref="G40:I40"/>
    <mergeCell ref="A20:A21"/>
    <mergeCell ref="B20:B21"/>
    <mergeCell ref="C20:C21"/>
    <mergeCell ref="D20:D21"/>
    <mergeCell ref="E20:E21"/>
    <mergeCell ref="F20:F21"/>
    <mergeCell ref="A19:C19"/>
    <mergeCell ref="A1:I1"/>
    <mergeCell ref="A5:D7"/>
    <mergeCell ref="A10:D11"/>
    <mergeCell ref="A13:D15"/>
    <mergeCell ref="A17:C17"/>
  </mergeCells>
  <phoneticPr fontId="3" type="noConversion"/>
  <pageMargins left="0.39" right="0.17" top="0.98425196850393704" bottom="0.98425196850393704" header="0.51181102362204722" footer="0.51181102362204722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INVOICE!Print_Area</vt:lpstr>
      <vt:lpstr>PACKING!Print_Area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吳宇羚</dc:creator>
  <cp:lastModifiedBy>Alex Liou</cp:lastModifiedBy>
  <dcterms:created xsi:type="dcterms:W3CDTF">2025-08-21T01:45:02Z</dcterms:created>
  <dcterms:modified xsi:type="dcterms:W3CDTF">2025-08-21T12:17:47Z</dcterms:modified>
</cp:coreProperties>
</file>