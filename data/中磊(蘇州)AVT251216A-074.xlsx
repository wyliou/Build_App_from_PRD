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 backup\AppData\Local\Microsoft\Windows\INetCache\Content.Outlook\R9RPZZYM\"/>
    </mc:Choice>
  </mc:AlternateContent>
  <xr:revisionPtr revIDLastSave="0" documentId="11_CBB223684BBB3D3E1884CB9496256DFC9C65F05A" xr6:coauthVersionLast="47" xr6:coauthVersionMax="47" xr10:uidLastSave="{00000000-0000-0000-0000-000000000000}"/>
  <bookViews>
    <workbookView xWindow="0" yWindow="0" windowWidth="23040" windowHeight="9012" xr2:uid="{00000000-000D-0000-FFFF-FFFF00000000}"/>
  </bookViews>
  <sheets>
    <sheet name="INVOICE" sheetId="1" r:id="rId1"/>
    <sheet name="PAC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2" l="1"/>
  <c r="H27" i="2"/>
  <c r="F27" i="2"/>
  <c r="O28" i="1"/>
  <c r="E28" i="1"/>
  <c r="I19" i="1" l="1"/>
  <c r="I20" i="1"/>
  <c r="I21" i="1"/>
  <c r="I22" i="1"/>
  <c r="I23" i="1"/>
  <c r="I24" i="1"/>
  <c r="I25" i="1"/>
  <c r="I26" i="1"/>
  <c r="I27" i="1"/>
  <c r="I18" i="1" l="1"/>
  <c r="I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</authors>
  <commentList>
    <comment ref="K17" authorId="0" shapeId="0" xr:uid="{00000000-0006-0000-0000-000001000000}">
      <text>
        <r>
          <rPr>
            <sz val="14"/>
            <rFont val="宋体"/>
          </rPr>
          <t>若是集成电路，需提供晶圆制造地,非集成电路,无需晶圆制造地</t>
        </r>
      </text>
    </comment>
  </commentList>
</comments>
</file>

<file path=xl/sharedStrings.xml><?xml version="1.0" encoding="utf-8"?>
<sst xmlns="http://schemas.openxmlformats.org/spreadsheetml/2006/main" count="235" uniqueCount="109">
  <si>
    <t>COMMERCIAL INVOICE</t>
  </si>
  <si>
    <t>Shipper/Exporter</t>
  </si>
  <si>
    <t>No. &amp; Date of Invoice</t>
  </si>
  <si>
    <t xml:space="preserve">Chieftron International Corp. </t>
    <phoneticPr fontId="14" type="noConversion"/>
  </si>
  <si>
    <t>Invoice No.:</t>
    <phoneticPr fontId="14" type="noConversion"/>
  </si>
  <si>
    <t>AVT251216A-074</t>
  </si>
  <si>
    <t>樵屋國際股份有限公司</t>
  </si>
  <si>
    <t>Invoice Date:</t>
    <phoneticPr fontId="14" type="noConversion"/>
  </si>
  <si>
    <t>2025/12/17</t>
    <phoneticPr fontId="14" type="noConversion"/>
  </si>
  <si>
    <t>12F,B Building, Xintai 5th Rd., No. 106, Sec.1, Xizhi Dist., New Taipei City,Taiwan,CHINA</t>
    <phoneticPr fontId="14" type="noConversion"/>
  </si>
  <si>
    <t>ASN #</t>
    <phoneticPr fontId="14" type="noConversion"/>
  </si>
  <si>
    <t>QST001-USD2025121600001</t>
  </si>
  <si>
    <t>Bill To:</t>
  </si>
  <si>
    <r>
      <t xml:space="preserve"> Payment Term</t>
    </r>
    <r>
      <rPr>
        <b/>
        <sz val="10"/>
        <rFont val="細明體"/>
        <family val="3"/>
        <charset val="136"/>
      </rPr>
      <t>：</t>
    </r>
    <phoneticPr fontId="14" type="noConversion"/>
  </si>
  <si>
    <t>OA 120 DAYS</t>
    <phoneticPr fontId="14" type="noConversion"/>
  </si>
  <si>
    <t>Sernet (Suzhou) Technologies Corporation.</t>
    <phoneticPr fontId="14" type="noConversion"/>
  </si>
  <si>
    <t>SHIPPING MODE:</t>
    <phoneticPr fontId="14" type="noConversion"/>
  </si>
  <si>
    <t>BY AIR</t>
    <phoneticPr fontId="14" type="noConversion"/>
  </si>
  <si>
    <t xml:space="preserve">中磊電子(蘇州)有限公司 </t>
  </si>
  <si>
    <r>
      <t>8 Tangzhuang Road</t>
    </r>
    <r>
      <rPr>
        <sz val="12"/>
        <color theme="1"/>
        <rFont val="宋体"/>
      </rPr>
      <t>，</t>
    </r>
    <r>
      <rPr>
        <sz val="12"/>
        <color theme="1"/>
        <rFont val="Calibri"/>
        <family val="2"/>
      </rPr>
      <t>Suzhou Industrial Park,Jiangsu,China</t>
    </r>
    <phoneticPr fontId="14" type="noConversion"/>
  </si>
  <si>
    <t>江蘇省蘇州工業園區唐莊路8號</t>
  </si>
  <si>
    <t>Ship To:</t>
  </si>
  <si>
    <t>Trade Term : FOB</t>
    <phoneticPr fontId="14" type="noConversion"/>
  </si>
  <si>
    <t>Sernet (Suzhou) Technologies Corporation</t>
    <phoneticPr fontId="14" type="noConversion"/>
  </si>
  <si>
    <r>
      <t>Via</t>
    </r>
    <r>
      <rPr>
        <b/>
        <sz val="10"/>
        <rFont val="細明體"/>
        <family val="3"/>
        <charset val="136"/>
      </rPr>
      <t>：</t>
    </r>
    <r>
      <rPr>
        <b/>
        <sz val="10"/>
        <rFont val="Arial"/>
        <family val="2"/>
      </rPr>
      <t>BY AIR</t>
    </r>
    <phoneticPr fontId="14" type="noConversion"/>
  </si>
  <si>
    <t>No.8 Tangzhuang Rd., Suzhou Industrial Park,  Jiangsu,China (Zip# 215000)</t>
    <phoneticPr fontId="14" type="noConversion"/>
  </si>
  <si>
    <t>Port of Loading</t>
    <phoneticPr fontId="14" type="noConversion"/>
  </si>
  <si>
    <t>Port of Discharge</t>
    <phoneticPr fontId="14" type="noConversion"/>
  </si>
  <si>
    <t xml:space="preserve"> Remarks:</t>
  </si>
  <si>
    <t>TAIPEI</t>
    <phoneticPr fontId="14" type="noConversion"/>
  </si>
  <si>
    <t>SHANGHAI</t>
    <phoneticPr fontId="14" type="noConversion"/>
  </si>
  <si>
    <t>贸易国：</t>
    <phoneticPr fontId="14" type="noConversion"/>
  </si>
  <si>
    <t>中國台灣</t>
    <phoneticPr fontId="14" type="noConversion"/>
  </si>
  <si>
    <t>Carrier</t>
    <phoneticPr fontId="14" type="noConversion"/>
  </si>
  <si>
    <t>Sailing on/or About</t>
    <phoneticPr fontId="14" type="noConversion"/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</si>
  <si>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</si>
  <si>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</si>
  <si>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</si>
  <si>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</si>
  <si>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</si>
  <si>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</si>
  <si>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</si>
  <si>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</si>
  <si>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</si>
  <si>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</si>
  <si>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</si>
  <si>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</si>
  <si>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</si>
  <si>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  <phoneticPr fontId="14" type="noConversion"/>
  </si>
  <si>
    <t>Net WT(KGS)</t>
  </si>
  <si>
    <t>1</t>
  </si>
  <si>
    <t>30116000YS</t>
  </si>
  <si>
    <t>DIODE</t>
  </si>
  <si>
    <t>PCS</t>
  </si>
  <si>
    <t>USD</t>
  </si>
  <si>
    <t>CN</t>
    <phoneticPr fontId="32" type="noConversion"/>
  </si>
  <si>
    <t>YS</t>
  </si>
  <si>
    <r>
      <t>境外品牌</t>
    </r>
    <r>
      <rPr>
        <b/>
        <sz val="11"/>
        <rFont val="Arial"/>
        <family val="2"/>
      </rPr>
      <t>(</t>
    </r>
    <r>
      <rPr>
        <b/>
        <sz val="11"/>
        <rFont val="細明體"/>
        <family val="3"/>
        <charset val="136"/>
      </rPr>
      <t>其他</t>
    </r>
    <r>
      <rPr>
        <b/>
        <sz val="11"/>
        <rFont val="Arial"/>
        <family val="2"/>
      </rPr>
      <t>)</t>
    </r>
  </si>
  <si>
    <t>BAS16</t>
  </si>
  <si>
    <t>2</t>
  </si>
  <si>
    <t>34194000GM</t>
  </si>
  <si>
    <t>Analog I.C.</t>
  </si>
  <si>
    <t>GMT</t>
  </si>
  <si>
    <t>G940KC1D</t>
  </si>
  <si>
    <t>3</t>
  </si>
  <si>
    <t>CN</t>
  </si>
  <si>
    <t>4</t>
  </si>
  <si>
    <t>301MB6S0YS</t>
  </si>
  <si>
    <t>MB6S</t>
  </si>
  <si>
    <t>5</t>
  </si>
  <si>
    <t>6</t>
  </si>
  <si>
    <t>32144010SC</t>
  </si>
  <si>
    <t>SECOS</t>
  </si>
  <si>
    <t>MMBT4401</t>
  </si>
  <si>
    <t>7</t>
  </si>
  <si>
    <t>8</t>
  </si>
  <si>
    <t>57557160SK0</t>
  </si>
  <si>
    <t>JP</t>
    <phoneticPr fontId="32" type="noConversion"/>
  </si>
  <si>
    <t>ABLIC</t>
  </si>
  <si>
    <t>S-5716ACDL1-M3T1U</t>
  </si>
  <si>
    <t>9</t>
  </si>
  <si>
    <t>10</t>
  </si>
  <si>
    <t>301SS340YS</t>
  </si>
  <si>
    <t>SS34</t>
  </si>
  <si>
    <t xml:space="preserve">                  TOTAL</t>
  </si>
  <si>
    <t>PACKING LIST</t>
  </si>
  <si>
    <t>No &amp; Date of Invoice</t>
  </si>
  <si>
    <t>Remarks:</t>
  </si>
  <si>
    <t xml:space="preserve">No.8  Tangzhuang Road, Suzhou Industrial Park, </t>
  </si>
  <si>
    <t>Jiangsu,215021,China</t>
  </si>
  <si>
    <t>No.8 Tangzhuang Rd., Suzhou Industrial Park, Jiangsu,China (Zip# 215000)</t>
    <phoneticPr fontId="14" type="noConversion"/>
  </si>
  <si>
    <t>Port of Departure</t>
  </si>
  <si>
    <t>Port of Arrival</t>
  </si>
  <si>
    <t>Carrier</t>
  </si>
  <si>
    <t>TAIPEI</t>
  </si>
  <si>
    <t>SHANGHAI</t>
  </si>
  <si>
    <t>Sailing on/or About</t>
  </si>
  <si>
    <r>
      <t>CTNS
(</t>
    </r>
    <r>
      <rPr>
        <b/>
        <sz val="10"/>
        <rFont val="細明體"/>
        <family val="3"/>
        <charset val="136"/>
      </rPr>
      <t>箱號</t>
    </r>
    <r>
      <rPr>
        <b/>
        <sz val="10"/>
        <rFont val="Arial"/>
        <family val="2"/>
      </rPr>
      <t>)</t>
    </r>
    <phoneticPr fontId="14" type="noConversion"/>
  </si>
  <si>
    <t>Description 
of Goods</t>
    <phoneticPr fontId="14" type="noConversion"/>
  </si>
  <si>
    <t>Net WT</t>
  </si>
  <si>
    <t>Gross WT</t>
  </si>
  <si>
    <t>MEASUREMENT  L*W*H(CM)</t>
  </si>
  <si>
    <t>KGS</t>
  </si>
  <si>
    <t>39*29*39</t>
    <phoneticPr fontId="14" type="noConversion"/>
  </si>
  <si>
    <t>TOTAL</t>
  </si>
  <si>
    <t>0.04m³</t>
    <phoneticPr fontId="14" type="noConversion"/>
  </si>
  <si>
    <t>件数 (箱)</t>
    <phoneticPr fontId="14" type="noConversion"/>
  </si>
  <si>
    <t>包装种类</t>
  </si>
  <si>
    <t>纸箱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</si>
</sst>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0_ "/>
    <numFmt numFmtId="178" formatCode="0.000_ "/>
    <numFmt numFmtId="179" formatCode="#,##0.00_ "/>
    <numFmt numFmtId="180" formatCode="0.0000_);[Red]\(0.0000\)"/>
    <numFmt numFmtId="181" formatCode="0.000000_);[Red]\(0.000000\)"/>
  </numFmts>
  <fonts count="33">
    <font>
      <sz val="11"/>
      <color theme="1"/>
      <name val="新細明體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宋体"/>
      <family val="3"/>
      <charset val="136"/>
    </font>
    <font>
      <sz val="10"/>
      <name val="宋体"/>
    </font>
    <font>
      <sz val="10"/>
      <name val="微软雅黑"/>
      <family val="2"/>
    </font>
    <font>
      <sz val="10"/>
      <name val="新細明體"/>
      <family val="1"/>
      <charset val="136"/>
    </font>
    <font>
      <b/>
      <sz val="10"/>
      <name val="宋体"/>
    </font>
    <font>
      <b/>
      <sz val="10"/>
      <name val="新細明體"/>
      <family val="1"/>
      <charset val="136"/>
    </font>
    <font>
      <sz val="18"/>
      <color theme="1"/>
      <name val="新細明體"/>
      <family val="1"/>
      <charset val="136"/>
      <scheme val="minor"/>
    </font>
    <font>
      <b/>
      <sz val="18"/>
      <name val="Arial"/>
      <family val="2"/>
    </font>
    <font>
      <sz val="10"/>
      <color indexed="12"/>
      <name val="新細明體"/>
      <family val="1"/>
      <charset val="136"/>
    </font>
    <font>
      <sz val="12"/>
      <name val="宋体"/>
    </font>
    <font>
      <sz val="14"/>
      <name val="宋体"/>
    </font>
    <font>
      <sz val="9"/>
      <name val="新細明體"/>
      <family val="3"/>
      <charset val="136"/>
      <scheme val="minor"/>
    </font>
    <font>
      <b/>
      <sz val="10"/>
      <name val="新細明體"/>
      <family val="1"/>
      <charset val="136"/>
      <scheme val="maj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12"/>
      <color theme="1"/>
      <name val="宋体"/>
    </font>
    <font>
      <sz val="11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ajor"/>
    </font>
    <font>
      <sz val="11"/>
      <color rgb="FFFF0000"/>
      <name val="Calibri"/>
      <family val="2"/>
    </font>
    <font>
      <b/>
      <sz val="10"/>
      <name val="細明體"/>
      <family val="3"/>
      <charset val="136"/>
    </font>
    <font>
      <b/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宋体"/>
    </font>
    <font>
      <b/>
      <sz val="10"/>
      <color rgb="FFFF0000"/>
      <name val="新細明體"/>
      <family val="1"/>
      <charset val="136"/>
    </font>
    <font>
      <sz val="11"/>
      <name val="Arial"/>
      <family val="2"/>
    </font>
    <font>
      <b/>
      <sz val="11"/>
      <name val="細明體"/>
      <family val="3"/>
      <charset val="136"/>
    </font>
    <font>
      <b/>
      <sz val="11"/>
      <name val="Arial"/>
      <family val="2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0" fontId="12" fillId="0" borderId="0"/>
    <xf numFmtId="0" fontId="12" fillId="0" borderId="0"/>
    <xf numFmtId="0" fontId="12" fillId="0" borderId="0"/>
  </cellStyleXfs>
  <cellXfs count="176">
    <xf numFmtId="0" fontId="0" fillId="0" borderId="0" xfId="0">
      <alignment vertical="center"/>
    </xf>
    <xf numFmtId="0" fontId="2" fillId="0" borderId="0" xfId="1" applyFont="1"/>
    <xf numFmtId="0" fontId="2" fillId="0" borderId="7" xfId="1" applyFont="1" applyBorder="1"/>
    <xf numFmtId="0" fontId="1" fillId="0" borderId="0" xfId="1" applyFont="1"/>
    <xf numFmtId="0" fontId="1" fillId="0" borderId="0" xfId="1" applyFont="1" applyAlignment="1">
      <alignment horizontal="center"/>
    </xf>
    <xf numFmtId="0" fontId="1" fillId="3" borderId="0" xfId="1" applyFont="1" applyFill="1" applyAlignment="1">
      <alignment horizontal="center"/>
    </xf>
    <xf numFmtId="176" fontId="1" fillId="3" borderId="0" xfId="1" applyNumberFormat="1" applyFont="1" applyFill="1" applyAlignment="1">
      <alignment horizontal="center"/>
    </xf>
    <xf numFmtId="0" fontId="0" fillId="0" borderId="3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6" fillId="0" borderId="5" xfId="0" applyFont="1" applyBorder="1" applyAlignment="1"/>
    <xf numFmtId="176" fontId="1" fillId="3" borderId="5" xfId="1" applyNumberFormat="1" applyFont="1" applyFill="1" applyBorder="1" applyAlignment="1">
      <alignment horizontal="center"/>
    </xf>
    <xf numFmtId="0" fontId="0" fillId="0" borderId="5" xfId="0" applyBorder="1">
      <alignment vertical="center"/>
    </xf>
    <xf numFmtId="0" fontId="0" fillId="0" borderId="8" xfId="0" applyBorder="1">
      <alignment vertical="center"/>
    </xf>
    <xf numFmtId="0" fontId="9" fillId="0" borderId="0" xfId="0" applyFont="1">
      <alignment vertical="center"/>
    </xf>
    <xf numFmtId="0" fontId="6" fillId="0" borderId="7" xfId="0" applyFont="1" applyBorder="1">
      <alignment vertical="center"/>
    </xf>
    <xf numFmtId="0" fontId="6" fillId="0" borderId="5" xfId="0" applyFont="1" applyBorder="1">
      <alignment vertical="center"/>
    </xf>
    <xf numFmtId="0" fontId="11" fillId="0" borderId="5" xfId="0" applyFont="1" applyBorder="1">
      <alignment vertical="center"/>
    </xf>
    <xf numFmtId="0" fontId="1" fillId="2" borderId="1" xfId="2" applyFont="1" applyFill="1" applyBorder="1" applyAlignment="1">
      <alignment vertical="center"/>
    </xf>
    <xf numFmtId="0" fontId="2" fillId="2" borderId="2" xfId="2" applyFont="1" applyFill="1" applyBorder="1" applyAlignment="1">
      <alignment vertical="center"/>
    </xf>
    <xf numFmtId="0" fontId="1" fillId="2" borderId="2" xfId="2" applyFont="1" applyFill="1" applyBorder="1" applyAlignment="1">
      <alignment vertical="center"/>
    </xf>
    <xf numFmtId="0" fontId="2" fillId="0" borderId="2" xfId="2" applyFont="1" applyBorder="1" applyAlignment="1">
      <alignment vertical="center"/>
    </xf>
    <xf numFmtId="0" fontId="15" fillId="3" borderId="3" xfId="0" applyFont="1" applyFill="1" applyBorder="1">
      <alignment vertical="center"/>
    </xf>
    <xf numFmtId="0" fontId="2" fillId="2" borderId="0" xfId="1" applyFont="1" applyFill="1" applyAlignment="1">
      <alignment horizontal="left" vertical="center"/>
    </xf>
    <xf numFmtId="0" fontId="2" fillId="0" borderId="0" xfId="2" applyFont="1" applyAlignment="1">
      <alignment vertical="center"/>
    </xf>
    <xf numFmtId="0" fontId="2" fillId="0" borderId="5" xfId="2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2" fillId="0" borderId="7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0" fontId="1" fillId="0" borderId="1" xfId="2" applyFont="1" applyBorder="1" applyAlignment="1">
      <alignment vertical="center"/>
    </xf>
    <xf numFmtId="0" fontId="1" fillId="0" borderId="2" xfId="2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1" fillId="0" borderId="3" xfId="2" applyFont="1" applyBorder="1" applyAlignment="1">
      <alignment vertical="center"/>
    </xf>
    <xf numFmtId="0" fontId="1" fillId="0" borderId="0" xfId="2" applyFont="1" applyAlignment="1">
      <alignment vertical="center"/>
    </xf>
    <xf numFmtId="0" fontId="15" fillId="2" borderId="3" xfId="0" applyFont="1" applyFill="1" applyBorder="1">
      <alignment vertical="center"/>
    </xf>
    <xf numFmtId="0" fontId="2" fillId="2" borderId="0" xfId="0" applyFont="1" applyFill="1" applyAlignment="1">
      <alignment vertical="center" wrapText="1"/>
    </xf>
    <xf numFmtId="0" fontId="2" fillId="0" borderId="0" xfId="2" applyFont="1" applyAlignment="1">
      <alignment horizontal="center" vertical="center"/>
    </xf>
    <xf numFmtId="0" fontId="2" fillId="0" borderId="4" xfId="2" applyFont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2" borderId="0" xfId="0" applyFont="1" applyFill="1">
      <alignment vertical="center"/>
    </xf>
    <xf numFmtId="0" fontId="6" fillId="0" borderId="0" xfId="0" applyFo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7" xfId="2" applyFont="1" applyBorder="1" applyAlignment="1">
      <alignment vertical="center"/>
    </xf>
    <xf numFmtId="0" fontId="2" fillId="0" borderId="8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1" fillId="2" borderId="3" xfId="2" applyFont="1" applyFill="1" applyBorder="1" applyAlignment="1">
      <alignment vertical="center"/>
    </xf>
    <xf numFmtId="0" fontId="1" fillId="2" borderId="6" xfId="2" applyFont="1" applyFill="1" applyBorder="1" applyAlignment="1">
      <alignment vertical="center"/>
    </xf>
    <xf numFmtId="0" fontId="22" fillId="2" borderId="5" xfId="0" applyFont="1" applyFill="1" applyBorder="1" applyAlignment="1">
      <alignment horizontal="left" vertical="center"/>
    </xf>
    <xf numFmtId="14" fontId="22" fillId="2" borderId="5" xfId="0" quotePrefix="1" applyNumberFormat="1" applyFont="1" applyFill="1" applyBorder="1" applyAlignment="1">
      <alignment horizontal="left" vertical="center"/>
    </xf>
    <xf numFmtId="0" fontId="1" fillId="0" borderId="4" xfId="2" applyFont="1" applyBorder="1" applyAlignment="1">
      <alignment vertical="center"/>
    </xf>
    <xf numFmtId="0" fontId="1" fillId="0" borderId="5" xfId="2" applyFont="1" applyBorder="1" applyAlignment="1">
      <alignment vertical="center"/>
    </xf>
    <xf numFmtId="0" fontId="2" fillId="0" borderId="5" xfId="2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1" fillId="2" borderId="0" xfId="2" applyFont="1" applyFill="1" applyAlignment="1">
      <alignment vertical="center"/>
    </xf>
    <xf numFmtId="0" fontId="2" fillId="2" borderId="0" xfId="2" applyFont="1" applyFill="1" applyAlignment="1">
      <alignment vertical="center"/>
    </xf>
    <xf numFmtId="0" fontId="2" fillId="0" borderId="7" xfId="1" applyFont="1" applyBorder="1" applyAlignment="1">
      <alignment horizontal="left" vertical="center"/>
    </xf>
    <xf numFmtId="0" fontId="2" fillId="2" borderId="7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6" fillId="0" borderId="8" xfId="0" applyFont="1" applyBorder="1">
      <alignment vertical="center"/>
    </xf>
    <xf numFmtId="0" fontId="2" fillId="0" borderId="0" xfId="1" applyFont="1" applyAlignment="1">
      <alignment vertical="center"/>
    </xf>
    <xf numFmtId="0" fontId="2" fillId="0" borderId="5" xfId="1" applyFont="1" applyBorder="1" applyAlignment="1">
      <alignment vertical="center"/>
    </xf>
    <xf numFmtId="0" fontId="4" fillId="0" borderId="0" xfId="2" applyFont="1" applyAlignment="1">
      <alignment vertical="center"/>
    </xf>
    <xf numFmtId="0" fontId="4" fillId="0" borderId="7" xfId="2" applyFont="1" applyBorder="1" applyAlignment="1">
      <alignment vertical="center"/>
    </xf>
    <xf numFmtId="0" fontId="2" fillId="0" borderId="0" xfId="0" applyFont="1">
      <alignment vertical="center"/>
    </xf>
    <xf numFmtId="0" fontId="1" fillId="3" borderId="3" xfId="2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2" fillId="2" borderId="5" xfId="2" applyFont="1" applyFill="1" applyBorder="1" applyAlignment="1">
      <alignment vertical="center"/>
    </xf>
    <xf numFmtId="0" fontId="24" fillId="0" borderId="12" xfId="2" applyFont="1" applyBorder="1" applyAlignment="1">
      <alignment horizontal="center" vertical="center"/>
    </xf>
    <xf numFmtId="0" fontId="24" fillId="2" borderId="12" xfId="2" applyFont="1" applyFill="1" applyBorder="1" applyAlignment="1">
      <alignment horizontal="center" vertical="center"/>
    </xf>
    <xf numFmtId="0" fontId="24" fillId="0" borderId="12" xfId="2" applyFont="1" applyBorder="1" applyAlignment="1">
      <alignment horizontal="center" vertical="center" wrapText="1"/>
    </xf>
    <xf numFmtId="0" fontId="25" fillId="2" borderId="12" xfId="0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0" fontId="18" fillId="0" borderId="3" xfId="0" applyFont="1" applyBorder="1">
      <alignment vertical="center"/>
    </xf>
    <xf numFmtId="0" fontId="21" fillId="2" borderId="3" xfId="0" applyFont="1" applyFill="1" applyBorder="1">
      <alignment vertical="center"/>
    </xf>
    <xf numFmtId="0" fontId="16" fillId="2" borderId="3" xfId="0" applyFont="1" applyFill="1" applyBorder="1">
      <alignment vertical="center"/>
    </xf>
    <xf numFmtId="0" fontId="20" fillId="0" borderId="6" xfId="0" applyFont="1" applyBorder="1">
      <alignment vertical="center"/>
    </xf>
    <xf numFmtId="0" fontId="6" fillId="0" borderId="8" xfId="0" applyFont="1" applyBorder="1" applyAlignment="1"/>
    <xf numFmtId="0" fontId="2" fillId="0" borderId="7" xfId="0" applyFont="1" applyBorder="1" applyAlignment="1">
      <alignment vertical="center" wrapText="1"/>
    </xf>
    <xf numFmtId="0" fontId="1" fillId="2" borderId="2" xfId="1" applyFont="1" applyFill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0" xfId="2" applyFont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0" xfId="1" applyFont="1" applyFill="1" applyAlignment="1">
      <alignment vertical="center"/>
    </xf>
    <xf numFmtId="0" fontId="1" fillId="0" borderId="0" xfId="1" applyFont="1" applyAlignment="1">
      <alignment vertical="center"/>
    </xf>
    <xf numFmtId="177" fontId="1" fillId="3" borderId="0" xfId="1" applyNumberFormat="1" applyFont="1" applyFill="1" applyAlignment="1">
      <alignment horizontal="center"/>
    </xf>
    <xf numFmtId="0" fontId="1" fillId="0" borderId="7" xfId="1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7" xfId="1" applyFont="1" applyFill="1" applyBorder="1" applyAlignment="1">
      <alignment vertical="center" wrapText="1"/>
    </xf>
    <xf numFmtId="0" fontId="20" fillId="0" borderId="7" xfId="0" applyFont="1" applyBorder="1">
      <alignment vertical="center"/>
    </xf>
    <xf numFmtId="0" fontId="1" fillId="0" borderId="8" xfId="2" applyFont="1" applyBorder="1" applyAlignment="1">
      <alignment vertical="center"/>
    </xf>
    <xf numFmtId="0" fontId="1" fillId="0" borderId="8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1" applyFont="1" applyBorder="1" applyAlignment="1">
      <alignment vertical="center"/>
    </xf>
    <xf numFmtId="0" fontId="1" fillId="0" borderId="8" xfId="1" applyFont="1" applyBorder="1" applyAlignment="1">
      <alignment vertical="center"/>
    </xf>
    <xf numFmtId="0" fontId="5" fillId="0" borderId="5" xfId="1" applyFont="1" applyBorder="1" applyAlignment="1">
      <alignment vertical="center"/>
    </xf>
    <xf numFmtId="0" fontId="1" fillId="2" borderId="12" xfId="1" applyFont="1" applyFill="1" applyBorder="1" applyAlignment="1">
      <alignment horizontal="center"/>
    </xf>
    <xf numFmtId="0" fontId="1" fillId="2" borderId="3" xfId="1" applyFont="1" applyFill="1" applyBorder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5" xfId="1" applyFont="1" applyFill="1" applyBorder="1" applyAlignment="1">
      <alignment vertical="center"/>
    </xf>
    <xf numFmtId="0" fontId="4" fillId="3" borderId="0" xfId="1" applyFont="1" applyFill="1" applyAlignment="1">
      <alignment horizontal="center" vertical="center"/>
    </xf>
    <xf numFmtId="0" fontId="17" fillId="2" borderId="6" xfId="0" applyFont="1" applyFill="1" applyBorder="1">
      <alignment vertical="center"/>
    </xf>
    <xf numFmtId="0" fontId="4" fillId="3" borderId="7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/>
    </xf>
    <xf numFmtId="0" fontId="4" fillId="3" borderId="7" xfId="1" applyFont="1" applyFill="1" applyBorder="1" applyAlignment="1">
      <alignment horizontal="center"/>
    </xf>
    <xf numFmtId="178" fontId="2" fillId="0" borderId="12" xfId="0" applyNumberFormat="1" applyFont="1" applyBorder="1" applyAlignment="1">
      <alignment horizontal="center" vertical="center" wrapText="1" shrinkToFit="1"/>
    </xf>
    <xf numFmtId="177" fontId="1" fillId="0" borderId="3" xfId="1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 vertical="center" wrapText="1" shrinkToFit="1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1" fillId="3" borderId="7" xfId="2" applyFont="1" applyFill="1" applyBorder="1" applyAlignment="1">
      <alignment vertical="center"/>
    </xf>
    <xf numFmtId="0" fontId="1" fillId="0" borderId="6" xfId="2" applyFont="1" applyBorder="1" applyAlignment="1">
      <alignment vertical="center"/>
    </xf>
    <xf numFmtId="0" fontId="28" fillId="0" borderId="12" xfId="0" applyFont="1" applyBorder="1" applyAlignment="1">
      <alignment horizontal="center" vertical="center" wrapText="1" shrinkToFit="1"/>
    </xf>
    <xf numFmtId="179" fontId="28" fillId="0" borderId="12" xfId="0" applyNumberFormat="1" applyFont="1" applyBorder="1" applyAlignment="1">
      <alignment horizontal="center" vertical="center" wrapText="1" shrinkToFit="1"/>
    </xf>
    <xf numFmtId="176" fontId="28" fillId="0" borderId="12" xfId="0" applyNumberFormat="1" applyFont="1" applyBorder="1" applyAlignment="1">
      <alignment horizontal="right" vertical="center" wrapText="1" shrinkToFit="1"/>
    </xf>
    <xf numFmtId="0" fontId="29" fillId="0" borderId="12" xfId="0" applyFont="1" applyBorder="1" applyAlignment="1">
      <alignment horizontal="center" vertical="center" wrapText="1" shrinkToFit="1"/>
    </xf>
    <xf numFmtId="0" fontId="28" fillId="3" borderId="12" xfId="0" applyFont="1" applyFill="1" applyBorder="1" applyAlignment="1">
      <alignment horizontal="center" vertical="center" wrapText="1" shrinkToFit="1"/>
    </xf>
    <xf numFmtId="0" fontId="28" fillId="0" borderId="9" xfId="2" applyFont="1" applyBorder="1"/>
    <xf numFmtId="0" fontId="28" fillId="0" borderId="10" xfId="2" applyFont="1" applyBorder="1"/>
    <xf numFmtId="0" fontId="30" fillId="0" borderId="10" xfId="2" applyFont="1" applyBorder="1"/>
    <xf numFmtId="180" fontId="30" fillId="0" borderId="10" xfId="2" applyNumberFormat="1" applyFont="1" applyBorder="1" applyAlignment="1">
      <alignment horizontal="center"/>
    </xf>
    <xf numFmtId="176" fontId="30" fillId="3" borderId="10" xfId="2" applyNumberFormat="1" applyFont="1" applyFill="1" applyBorder="1" applyAlignment="1">
      <alignment horizontal="center"/>
    </xf>
    <xf numFmtId="0" fontId="31" fillId="0" borderId="7" xfId="0" applyFont="1" applyBorder="1" applyAlignment="1"/>
    <xf numFmtId="176" fontId="30" fillId="3" borderId="11" xfId="2" applyNumberFormat="1" applyFont="1" applyFill="1" applyBorder="1" applyAlignment="1">
      <alignment horizontal="center"/>
    </xf>
    <xf numFmtId="0" fontId="1" fillId="0" borderId="3" xfId="1" applyFont="1" applyBorder="1"/>
    <xf numFmtId="0" fontId="3" fillId="0" borderId="5" xfId="1" applyFont="1" applyBorder="1"/>
    <xf numFmtId="0" fontId="1" fillId="0" borderId="7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27" fillId="0" borderId="7" xfId="0" applyFont="1" applyBorder="1">
      <alignment vertical="center"/>
    </xf>
    <xf numFmtId="0" fontId="1" fillId="0" borderId="1" xfId="1" applyFont="1" applyBorder="1" applyAlignment="1">
      <alignment vertical="center"/>
    </xf>
    <xf numFmtId="0" fontId="0" fillId="0" borderId="2" xfId="0" applyBorder="1">
      <alignment vertical="center"/>
    </xf>
    <xf numFmtId="177" fontId="30" fillId="3" borderId="10" xfId="2" applyNumberFormat="1" applyFont="1" applyFill="1" applyBorder="1" applyAlignment="1">
      <alignment horizontal="center"/>
    </xf>
    <xf numFmtId="0" fontId="0" fillId="0" borderId="4" xfId="0" applyBorder="1">
      <alignment vertical="center"/>
    </xf>
    <xf numFmtId="0" fontId="16" fillId="0" borderId="2" xfId="0" applyFont="1" applyBorder="1">
      <alignment vertical="center"/>
    </xf>
    <xf numFmtId="0" fontId="16" fillId="0" borderId="0" xfId="0" applyFont="1">
      <alignment vertical="center"/>
    </xf>
    <xf numFmtId="2" fontId="0" fillId="0" borderId="12" xfId="0" applyNumberFormat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0" fontId="29" fillId="0" borderId="12" xfId="0" applyFont="1" applyBorder="1" applyAlignment="1">
      <alignment horizontal="left" vertical="center" wrapText="1" shrinkToFit="1"/>
    </xf>
    <xf numFmtId="2" fontId="29" fillId="0" borderId="12" xfId="0" applyNumberFormat="1" applyFont="1" applyBorder="1" applyAlignment="1">
      <alignment horizontal="center" vertical="center" wrapText="1" shrinkToFit="1"/>
    </xf>
    <xf numFmtId="2" fontId="1" fillId="2" borderId="12" xfId="1" applyNumberFormat="1" applyFont="1" applyFill="1" applyBorder="1" applyAlignment="1">
      <alignment horizontal="center"/>
    </xf>
    <xf numFmtId="0" fontId="22" fillId="2" borderId="0" xfId="0" applyFont="1" applyFill="1" applyAlignment="1">
      <alignment horizontal="left" vertical="center"/>
    </xf>
    <xf numFmtId="14" fontId="22" fillId="2" borderId="0" xfId="0" quotePrefix="1" applyNumberFormat="1" applyFont="1" applyFill="1" applyAlignment="1">
      <alignment horizontal="left" vertical="center"/>
    </xf>
    <xf numFmtId="0" fontId="16" fillId="2" borderId="0" xfId="0" applyFont="1" applyFill="1">
      <alignment vertical="center"/>
    </xf>
    <xf numFmtId="0" fontId="27" fillId="0" borderId="0" xfId="0" applyFont="1">
      <alignment vertical="center"/>
    </xf>
    <xf numFmtId="0" fontId="11" fillId="0" borderId="0" xfId="0" applyFont="1">
      <alignment vertical="center"/>
    </xf>
    <xf numFmtId="181" fontId="28" fillId="0" borderId="12" xfId="0" applyNumberFormat="1" applyFont="1" applyBorder="1" applyAlignment="1">
      <alignment horizontal="center" vertical="center" wrapText="1" shrinkToFit="1"/>
    </xf>
    <xf numFmtId="0" fontId="28" fillId="0" borderId="10" xfId="2" applyFont="1" applyBorder="1" applyAlignment="1">
      <alignment horizontal="center"/>
    </xf>
    <xf numFmtId="0" fontId="1" fillId="0" borderId="0" xfId="2" applyFont="1" applyAlignment="1">
      <alignment horizontal="center" vertical="center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2" fillId="0" borderId="13" xfId="0" applyFont="1" applyBorder="1" applyAlignment="1">
      <alignment horizontal="center" vertical="center" wrapText="1" shrinkToFit="1"/>
    </xf>
    <xf numFmtId="0" fontId="2" fillId="0" borderId="15" xfId="0" applyFont="1" applyBorder="1" applyAlignment="1">
      <alignment horizontal="center" vertical="center" wrapText="1" shrinkToFit="1"/>
    </xf>
    <xf numFmtId="0" fontId="2" fillId="0" borderId="14" xfId="0" applyFont="1" applyBorder="1" applyAlignment="1">
      <alignment horizontal="center" vertical="center" wrapText="1" shrinkToFit="1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2" borderId="12" xfId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1" fillId="2" borderId="12" xfId="2" applyFont="1" applyFill="1" applyBorder="1" applyAlignment="1">
      <alignment horizontal="center" vertical="center" wrapText="1"/>
    </xf>
    <xf numFmtId="0" fontId="23" fillId="2" borderId="13" xfId="2" applyFont="1" applyFill="1" applyBorder="1" applyAlignment="1">
      <alignment horizontal="center" vertical="center" wrapText="1"/>
    </xf>
    <xf numFmtId="0" fontId="1" fillId="2" borderId="14" xfId="2" applyFont="1" applyFill="1" applyBorder="1" applyAlignment="1">
      <alignment horizontal="center" vertical="center" wrapText="1"/>
    </xf>
    <xf numFmtId="0" fontId="1" fillId="2" borderId="12" xfId="2" applyFont="1" applyFill="1" applyBorder="1" applyAlignment="1">
      <alignment horizontal="center" vertical="center"/>
    </xf>
  </cellXfs>
  <cellStyles count="4">
    <cellStyle name="一般" xfId="0" builtinId="0"/>
    <cellStyle name="一般_OMRON" xfId="2" xr:uid="{00000000-0005-0000-0000-000001000000}"/>
    <cellStyle name="一般_OMRON海運出口" xfId="1" xr:uid="{00000000-0005-0000-0000-000002000000}"/>
    <cellStyle name="常规_Sheet1_1" xfId="3" xr:uid="{00000000-0005-0000-0000-000003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8"/>
  <sheetViews>
    <sheetView tabSelected="1" workbookViewId="0">
      <selection activeCell="I15" sqref="I15"/>
    </sheetView>
  </sheetViews>
  <sheetFormatPr defaultColWidth="9" defaultRowHeight="24.6"/>
  <cols>
    <col min="1" max="1" width="10.140625" style="14" customWidth="1"/>
    <col min="2" max="3" width="18.5703125" style="14" customWidth="1"/>
    <col min="4" max="4" width="17.5703125" style="14" customWidth="1"/>
    <col min="5" max="5" width="14.28515625" style="14" customWidth="1"/>
    <col min="6" max="6" width="9" style="14"/>
    <col min="7" max="7" width="13.42578125" style="14" customWidth="1"/>
    <col min="8" max="8" width="9" style="14"/>
    <col min="9" max="9" width="12.7109375" style="14" customWidth="1"/>
    <col min="10" max="11" width="9.5703125" style="14" customWidth="1"/>
    <col min="12" max="12" width="9" style="14"/>
    <col min="13" max="13" width="18.42578125" style="14" customWidth="1"/>
    <col min="14" max="14" width="24.85546875" style="14" customWidth="1"/>
    <col min="15" max="15" width="15" style="14" customWidth="1"/>
    <col min="16" max="16384" width="9" style="14"/>
  </cols>
  <sheetData>
    <row r="1" spans="1:15" ht="30" customHeight="1">
      <c r="A1" s="153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5"/>
    </row>
    <row r="2" spans="1:15" ht="18" customHeight="1">
      <c r="A2" s="18" t="s">
        <v>1</v>
      </c>
      <c r="B2" s="55"/>
      <c r="C2" s="24"/>
      <c r="D2" s="67"/>
      <c r="E2" s="55"/>
      <c r="F2" s="56"/>
      <c r="G2" s="68"/>
      <c r="H2" s="55" t="s">
        <v>2</v>
      </c>
      <c r="I2" s="56"/>
      <c r="J2" s="41"/>
      <c r="K2" s="41"/>
      <c r="L2" s="41"/>
      <c r="M2" s="41"/>
      <c r="N2" s="41"/>
      <c r="O2" s="16"/>
    </row>
    <row r="3" spans="1:15" ht="18" customHeight="1">
      <c r="A3" s="22" t="s">
        <v>3</v>
      </c>
      <c r="B3" s="23"/>
      <c r="C3" s="24"/>
      <c r="D3" s="24"/>
      <c r="E3" s="152"/>
      <c r="F3" s="152"/>
      <c r="G3" s="49"/>
      <c r="H3" s="156" t="s">
        <v>4</v>
      </c>
      <c r="I3" s="156"/>
      <c r="J3" s="145" t="s">
        <v>5</v>
      </c>
      <c r="K3" s="41"/>
      <c r="L3" s="41"/>
      <c r="M3" s="41"/>
      <c r="N3" s="41"/>
      <c r="O3" s="16"/>
    </row>
    <row r="4" spans="1:15" ht="18" customHeight="1">
      <c r="A4" s="26" t="s">
        <v>6</v>
      </c>
      <c r="B4" s="27"/>
      <c r="C4" s="27"/>
      <c r="D4" s="27"/>
      <c r="E4" s="152"/>
      <c r="F4" s="152"/>
      <c r="G4" s="50"/>
      <c r="H4" s="156" t="s">
        <v>7</v>
      </c>
      <c r="I4" s="156"/>
      <c r="J4" s="146" t="s">
        <v>8</v>
      </c>
      <c r="K4" s="41"/>
      <c r="L4" s="41"/>
      <c r="M4" s="41"/>
      <c r="N4" s="41"/>
      <c r="O4" s="16"/>
    </row>
    <row r="5" spans="1:15" ht="18" customHeight="1">
      <c r="A5" s="75" t="s">
        <v>9</v>
      </c>
      <c r="B5" s="147"/>
      <c r="C5" s="27"/>
      <c r="D5" s="80"/>
      <c r="E5" s="44"/>
      <c r="F5" s="44"/>
      <c r="G5" s="29"/>
      <c r="H5" s="156" t="s">
        <v>10</v>
      </c>
      <c r="I5" s="156"/>
      <c r="J5" s="148" t="s">
        <v>11</v>
      </c>
      <c r="K5" s="15"/>
      <c r="L5" s="15"/>
      <c r="M5" s="15"/>
      <c r="N5" s="15"/>
      <c r="O5" s="60"/>
    </row>
    <row r="6" spans="1:15" ht="18" customHeight="1">
      <c r="A6" s="18" t="s">
        <v>12</v>
      </c>
      <c r="B6" s="20"/>
      <c r="C6" s="19"/>
      <c r="D6" s="56"/>
      <c r="E6" s="34"/>
      <c r="F6" s="24"/>
      <c r="G6" s="52"/>
      <c r="H6" s="31" t="s">
        <v>13</v>
      </c>
      <c r="I6" s="21"/>
      <c r="J6" s="31" t="s">
        <v>14</v>
      </c>
      <c r="K6" s="41"/>
      <c r="L6" s="41"/>
      <c r="M6" s="41"/>
      <c r="N6" s="41"/>
      <c r="O6" s="16"/>
    </row>
    <row r="7" spans="1:15" ht="18" customHeight="1">
      <c r="A7" s="76" t="s">
        <v>15</v>
      </c>
      <c r="B7" s="23"/>
      <c r="C7" s="32"/>
      <c r="D7" s="32"/>
      <c r="E7" s="34"/>
      <c r="F7" s="24"/>
      <c r="G7" s="52"/>
      <c r="H7" s="34" t="s">
        <v>16</v>
      </c>
      <c r="I7" s="24"/>
      <c r="J7" s="34" t="s">
        <v>17</v>
      </c>
      <c r="K7" s="41"/>
      <c r="L7" s="41"/>
      <c r="M7" s="41"/>
      <c r="N7" s="41"/>
      <c r="O7" s="16"/>
    </row>
    <row r="8" spans="1:15" ht="18" customHeight="1">
      <c r="A8" s="35" t="s">
        <v>18</v>
      </c>
      <c r="B8" s="36"/>
      <c r="C8" s="36"/>
      <c r="D8" s="36"/>
      <c r="E8" s="34"/>
      <c r="F8" s="24"/>
      <c r="G8" s="52"/>
      <c r="H8" s="24"/>
      <c r="I8" s="24"/>
      <c r="J8" s="149"/>
      <c r="K8" s="149"/>
      <c r="L8" s="149"/>
      <c r="M8" s="149"/>
      <c r="N8" s="149"/>
      <c r="O8" s="17"/>
    </row>
    <row r="9" spans="1:15" ht="18" customHeight="1">
      <c r="A9" s="77" t="s">
        <v>19</v>
      </c>
      <c r="B9" s="36"/>
      <c r="C9" s="36"/>
      <c r="D9" s="36"/>
      <c r="E9" s="37"/>
      <c r="F9" s="37"/>
      <c r="G9" s="53"/>
      <c r="H9" s="37"/>
      <c r="I9" s="37"/>
      <c r="J9" s="149"/>
      <c r="K9" s="149"/>
      <c r="L9" s="149"/>
      <c r="M9" s="149"/>
      <c r="N9" s="149"/>
      <c r="O9" s="17"/>
    </row>
    <row r="10" spans="1:15" ht="18" customHeight="1">
      <c r="A10" s="78" t="s">
        <v>20</v>
      </c>
      <c r="B10" s="36"/>
      <c r="C10" s="36"/>
      <c r="D10" s="36"/>
      <c r="E10" s="46"/>
      <c r="F10" s="46"/>
      <c r="G10" s="45"/>
      <c r="H10" s="37"/>
      <c r="I10" s="37"/>
      <c r="J10" s="149"/>
      <c r="K10" s="149"/>
      <c r="L10" s="149"/>
      <c r="M10" s="149"/>
      <c r="N10" s="149"/>
      <c r="O10" s="17"/>
    </row>
    <row r="11" spans="1:15" ht="18" customHeight="1">
      <c r="A11" s="18" t="s">
        <v>21</v>
      </c>
      <c r="B11" s="21"/>
      <c r="C11" s="21"/>
      <c r="D11" s="21"/>
      <c r="E11" s="55"/>
      <c r="F11" s="56"/>
      <c r="G11" s="54"/>
      <c r="H11" s="18" t="s">
        <v>22</v>
      </c>
      <c r="I11" s="19"/>
      <c r="J11" s="138"/>
      <c r="K11" s="21"/>
      <c r="L11" s="21"/>
      <c r="M11" s="21"/>
      <c r="N11" s="21"/>
      <c r="O11" s="38"/>
    </row>
    <row r="12" spans="1:15" ht="18" customHeight="1">
      <c r="A12" s="47" t="s">
        <v>23</v>
      </c>
      <c r="B12" s="39"/>
      <c r="C12" s="39"/>
      <c r="D12" s="24"/>
      <c r="E12" s="40"/>
      <c r="F12" s="40"/>
      <c r="G12" s="54"/>
      <c r="H12" s="55" t="s">
        <v>24</v>
      </c>
      <c r="I12" s="56"/>
      <c r="J12" s="41"/>
      <c r="K12" s="41"/>
      <c r="L12" s="41"/>
      <c r="M12" s="41"/>
      <c r="N12" s="41"/>
      <c r="O12" s="16"/>
    </row>
    <row r="13" spans="1:15" ht="18" customHeight="1">
      <c r="A13" s="48" t="s">
        <v>25</v>
      </c>
      <c r="B13" s="57"/>
      <c r="C13" s="57"/>
      <c r="D13" s="28"/>
      <c r="E13" s="58"/>
      <c r="F13" s="58"/>
      <c r="G13" s="59"/>
      <c r="H13" s="58"/>
      <c r="I13" s="58"/>
      <c r="J13" s="15"/>
      <c r="K13" s="15"/>
      <c r="L13" s="15"/>
      <c r="M13" s="15"/>
      <c r="N13" s="15"/>
      <c r="O13" s="60"/>
    </row>
    <row r="14" spans="1:15" ht="18" customHeight="1">
      <c r="A14" s="33" t="s">
        <v>26</v>
      </c>
      <c r="B14" s="24"/>
      <c r="C14" s="51"/>
      <c r="D14" s="34" t="s">
        <v>27</v>
      </c>
      <c r="E14" s="34"/>
      <c r="F14" s="61"/>
      <c r="G14" s="62"/>
      <c r="H14" s="34" t="s">
        <v>28</v>
      </c>
      <c r="I14" s="24"/>
      <c r="J14" s="41"/>
      <c r="K14" s="41"/>
      <c r="L14" s="41"/>
      <c r="M14" s="41"/>
      <c r="N14" s="41"/>
      <c r="O14" s="16"/>
    </row>
    <row r="15" spans="1:15" ht="18" customHeight="1">
      <c r="A15" s="66" t="s">
        <v>29</v>
      </c>
      <c r="B15" s="34"/>
      <c r="C15" s="95"/>
      <c r="D15" s="115" t="s">
        <v>30</v>
      </c>
      <c r="E15" s="64"/>
      <c r="F15" s="28"/>
      <c r="G15" s="28"/>
      <c r="H15" s="116" t="s">
        <v>31</v>
      </c>
      <c r="I15" s="44" t="s">
        <v>32</v>
      </c>
      <c r="J15" s="15"/>
      <c r="K15" s="15"/>
      <c r="L15" s="15"/>
      <c r="M15" s="15"/>
      <c r="N15" s="15"/>
      <c r="O15" s="60"/>
    </row>
    <row r="16" spans="1:15" ht="18" customHeight="1">
      <c r="A16" s="30" t="s">
        <v>33</v>
      </c>
      <c r="B16" s="21"/>
      <c r="C16" s="52"/>
      <c r="D16" s="34" t="s">
        <v>34</v>
      </c>
      <c r="E16" s="63"/>
      <c r="F16" s="65"/>
      <c r="G16" s="25"/>
      <c r="H16" s="24"/>
      <c r="I16" s="24"/>
      <c r="J16" s="41"/>
      <c r="K16" s="41"/>
      <c r="L16" s="41"/>
      <c r="M16" s="41"/>
      <c r="N16" s="41"/>
      <c r="O16" s="16"/>
    </row>
    <row r="17" spans="1:15">
      <c r="A17" s="69" t="s">
        <v>35</v>
      </c>
      <c r="B17" s="70" t="s">
        <v>36</v>
      </c>
      <c r="C17" s="70" t="s">
        <v>37</v>
      </c>
      <c r="D17" s="71" t="s">
        <v>38</v>
      </c>
      <c r="E17" s="70" t="s">
        <v>39</v>
      </c>
      <c r="F17" s="70" t="s">
        <v>40</v>
      </c>
      <c r="G17" s="70" t="s">
        <v>41</v>
      </c>
      <c r="H17" s="70" t="s">
        <v>42</v>
      </c>
      <c r="I17" s="70" t="s">
        <v>43</v>
      </c>
      <c r="J17" s="72" t="s">
        <v>44</v>
      </c>
      <c r="K17" s="72" t="s">
        <v>45</v>
      </c>
      <c r="L17" s="73" t="s">
        <v>46</v>
      </c>
      <c r="M17" s="73" t="s">
        <v>47</v>
      </c>
      <c r="N17" s="73" t="s">
        <v>48</v>
      </c>
      <c r="O17" s="74" t="s">
        <v>49</v>
      </c>
    </row>
    <row r="18" spans="1:15" ht="18" customHeight="1">
      <c r="A18" s="117" t="s">
        <v>50</v>
      </c>
      <c r="B18" s="117" t="s">
        <v>51</v>
      </c>
      <c r="C18" s="117">
        <v>2250802311</v>
      </c>
      <c r="D18" s="117" t="s">
        <v>52</v>
      </c>
      <c r="E18" s="117">
        <v>6000</v>
      </c>
      <c r="F18" s="118" t="s">
        <v>53</v>
      </c>
      <c r="G18" s="150">
        <v>5.0000000000000001E-3</v>
      </c>
      <c r="H18" s="117" t="s">
        <v>54</v>
      </c>
      <c r="I18" s="119">
        <f>SUM(E18*G18)</f>
        <v>30</v>
      </c>
      <c r="J18" s="140" t="s">
        <v>55</v>
      </c>
      <c r="K18" s="141"/>
      <c r="L18" s="117" t="s">
        <v>56</v>
      </c>
      <c r="M18" s="120" t="s">
        <v>57</v>
      </c>
      <c r="N18" s="142" t="s">
        <v>58</v>
      </c>
      <c r="O18" s="143">
        <v>0.05</v>
      </c>
    </row>
    <row r="19" spans="1:15" ht="18" customHeight="1">
      <c r="A19" s="117" t="s">
        <v>59</v>
      </c>
      <c r="B19" s="117" t="s">
        <v>60</v>
      </c>
      <c r="C19" s="117">
        <v>2250802483</v>
      </c>
      <c r="D19" s="121" t="s">
        <v>61</v>
      </c>
      <c r="E19" s="117">
        <v>3000</v>
      </c>
      <c r="F19" s="118" t="s">
        <v>53</v>
      </c>
      <c r="G19" s="150">
        <v>0.16700000000000001</v>
      </c>
      <c r="H19" s="117" t="s">
        <v>54</v>
      </c>
      <c r="I19" s="119">
        <f t="shared" ref="I19:I27" si="0">SUM(E19*G19)</f>
        <v>501.00000000000006</v>
      </c>
      <c r="J19" s="140"/>
      <c r="K19" s="141" t="s">
        <v>55</v>
      </c>
      <c r="L19" s="117" t="s">
        <v>62</v>
      </c>
      <c r="M19" s="120" t="s">
        <v>57</v>
      </c>
      <c r="N19" s="142" t="s">
        <v>63</v>
      </c>
      <c r="O19" s="143">
        <v>0.04</v>
      </c>
    </row>
    <row r="20" spans="1:15" ht="18" customHeight="1">
      <c r="A20" s="117" t="s">
        <v>64</v>
      </c>
      <c r="B20" s="117" t="s">
        <v>60</v>
      </c>
      <c r="C20" s="117">
        <v>2251201075</v>
      </c>
      <c r="D20" s="121" t="s">
        <v>61</v>
      </c>
      <c r="E20" s="117">
        <v>3000</v>
      </c>
      <c r="F20" s="118" t="s">
        <v>53</v>
      </c>
      <c r="G20" s="150">
        <v>0.16700000000000001</v>
      </c>
      <c r="H20" s="117" t="s">
        <v>54</v>
      </c>
      <c r="I20" s="119">
        <f t="shared" si="0"/>
        <v>501.00000000000006</v>
      </c>
      <c r="J20" s="140"/>
      <c r="K20" s="141" t="s">
        <v>65</v>
      </c>
      <c r="L20" s="117" t="s">
        <v>62</v>
      </c>
      <c r="M20" s="120" t="s">
        <v>57</v>
      </c>
      <c r="N20" s="142" t="s">
        <v>63</v>
      </c>
      <c r="O20" s="143">
        <v>0.04</v>
      </c>
    </row>
    <row r="21" spans="1:15" ht="18" customHeight="1">
      <c r="A21" s="117" t="s">
        <v>66</v>
      </c>
      <c r="B21" s="117" t="s">
        <v>67</v>
      </c>
      <c r="C21" s="117">
        <v>2250602558</v>
      </c>
      <c r="D21" s="117" t="s">
        <v>52</v>
      </c>
      <c r="E21" s="117">
        <v>3000</v>
      </c>
      <c r="F21" s="118" t="s">
        <v>53</v>
      </c>
      <c r="G21" s="150">
        <v>2.9499999999999998E-2</v>
      </c>
      <c r="H21" s="117" t="s">
        <v>54</v>
      </c>
      <c r="I21" s="119">
        <f t="shared" si="0"/>
        <v>88.5</v>
      </c>
      <c r="J21" s="140" t="s">
        <v>55</v>
      </c>
      <c r="K21" s="141"/>
      <c r="L21" s="117" t="s">
        <v>56</v>
      </c>
      <c r="M21" s="120" t="s">
        <v>57</v>
      </c>
      <c r="N21" s="142" t="s">
        <v>68</v>
      </c>
      <c r="O21" s="143">
        <v>0.34</v>
      </c>
    </row>
    <row r="22" spans="1:15" ht="18" customHeight="1">
      <c r="A22" s="117" t="s">
        <v>69</v>
      </c>
      <c r="B22" s="117" t="s">
        <v>67</v>
      </c>
      <c r="C22" s="117">
        <v>2250702866</v>
      </c>
      <c r="D22" s="117" t="s">
        <v>52</v>
      </c>
      <c r="E22" s="117">
        <v>3000</v>
      </c>
      <c r="F22" s="118" t="s">
        <v>53</v>
      </c>
      <c r="G22" s="150">
        <v>2.9499999999999998E-2</v>
      </c>
      <c r="H22" s="117" t="s">
        <v>54</v>
      </c>
      <c r="I22" s="119">
        <f t="shared" si="0"/>
        <v>88.5</v>
      </c>
      <c r="J22" s="140" t="s">
        <v>55</v>
      </c>
      <c r="K22" s="141"/>
      <c r="L22" s="117" t="s">
        <v>56</v>
      </c>
      <c r="M22" s="120" t="s">
        <v>57</v>
      </c>
      <c r="N22" s="142" t="s">
        <v>68</v>
      </c>
      <c r="O22" s="143">
        <v>0.34</v>
      </c>
    </row>
    <row r="23" spans="1:15" ht="18" customHeight="1">
      <c r="A23" s="117" t="s">
        <v>70</v>
      </c>
      <c r="B23" s="117" t="s">
        <v>71</v>
      </c>
      <c r="C23" s="117">
        <v>2250602462</v>
      </c>
      <c r="D23" s="117" t="s">
        <v>52</v>
      </c>
      <c r="E23" s="117">
        <v>9000</v>
      </c>
      <c r="F23" s="118" t="s">
        <v>53</v>
      </c>
      <c r="G23" s="150">
        <v>1.2E-2</v>
      </c>
      <c r="H23" s="117" t="s">
        <v>54</v>
      </c>
      <c r="I23" s="119">
        <f t="shared" si="0"/>
        <v>108</v>
      </c>
      <c r="J23" s="140" t="s">
        <v>55</v>
      </c>
      <c r="K23" s="141"/>
      <c r="L23" s="117" t="s">
        <v>72</v>
      </c>
      <c r="M23" s="120" t="s">
        <v>57</v>
      </c>
      <c r="N23" s="142" t="s">
        <v>73</v>
      </c>
      <c r="O23" s="143">
        <v>0.05</v>
      </c>
    </row>
    <row r="24" spans="1:15" ht="18" customHeight="1">
      <c r="A24" s="117" t="s">
        <v>74</v>
      </c>
      <c r="B24" s="117" t="s">
        <v>71</v>
      </c>
      <c r="C24" s="117">
        <v>2250700745</v>
      </c>
      <c r="D24" s="117" t="s">
        <v>52</v>
      </c>
      <c r="E24" s="117">
        <v>36000</v>
      </c>
      <c r="F24" s="118" t="s">
        <v>53</v>
      </c>
      <c r="G24" s="150">
        <v>1.2E-2</v>
      </c>
      <c r="H24" s="117" t="s">
        <v>54</v>
      </c>
      <c r="I24" s="119">
        <f t="shared" si="0"/>
        <v>432</v>
      </c>
      <c r="J24" s="140" t="s">
        <v>55</v>
      </c>
      <c r="K24" s="141"/>
      <c r="L24" s="117" t="s">
        <v>72</v>
      </c>
      <c r="M24" s="120" t="s">
        <v>57</v>
      </c>
      <c r="N24" s="142" t="s">
        <v>73</v>
      </c>
      <c r="O24" s="143">
        <v>0.19</v>
      </c>
    </row>
    <row r="25" spans="1:15" ht="18" customHeight="1">
      <c r="A25" s="117" t="s">
        <v>75</v>
      </c>
      <c r="B25" s="117" t="s">
        <v>76</v>
      </c>
      <c r="C25" s="117">
        <v>2250801830</v>
      </c>
      <c r="D25" s="121" t="s">
        <v>61</v>
      </c>
      <c r="E25" s="117">
        <v>18000</v>
      </c>
      <c r="F25" s="118" t="s">
        <v>53</v>
      </c>
      <c r="G25" s="150">
        <v>6.6000000000000003E-2</v>
      </c>
      <c r="H25" s="117" t="s">
        <v>54</v>
      </c>
      <c r="I25" s="119">
        <f t="shared" si="0"/>
        <v>1188</v>
      </c>
      <c r="J25" s="140"/>
      <c r="K25" s="141" t="s">
        <v>77</v>
      </c>
      <c r="L25" s="117" t="s">
        <v>78</v>
      </c>
      <c r="M25" s="120" t="s">
        <v>57</v>
      </c>
      <c r="N25" s="142" t="s">
        <v>79</v>
      </c>
      <c r="O25" s="143">
        <v>0.23</v>
      </c>
    </row>
    <row r="26" spans="1:15" ht="18" customHeight="1">
      <c r="A26" s="117" t="s">
        <v>80</v>
      </c>
      <c r="B26" s="117" t="s">
        <v>76</v>
      </c>
      <c r="C26" s="117">
        <v>2250803097</v>
      </c>
      <c r="D26" s="121" t="s">
        <v>61</v>
      </c>
      <c r="E26" s="117">
        <v>3000</v>
      </c>
      <c r="F26" s="118" t="s">
        <v>53</v>
      </c>
      <c r="G26" s="150">
        <v>6.6000000000000003E-2</v>
      </c>
      <c r="H26" s="117" t="s">
        <v>54</v>
      </c>
      <c r="I26" s="119">
        <f t="shared" si="0"/>
        <v>198</v>
      </c>
      <c r="J26" s="140"/>
      <c r="K26" s="141" t="s">
        <v>77</v>
      </c>
      <c r="L26" s="117" t="s">
        <v>78</v>
      </c>
      <c r="M26" s="120" t="s">
        <v>57</v>
      </c>
      <c r="N26" s="142" t="s">
        <v>79</v>
      </c>
      <c r="O26" s="143">
        <v>0.04</v>
      </c>
    </row>
    <row r="27" spans="1:15" ht="18" customHeight="1">
      <c r="A27" s="117" t="s">
        <v>81</v>
      </c>
      <c r="B27" s="117" t="s">
        <v>82</v>
      </c>
      <c r="C27" s="117">
        <v>2250802311</v>
      </c>
      <c r="D27" s="117" t="s">
        <v>52</v>
      </c>
      <c r="E27" s="117">
        <v>15000</v>
      </c>
      <c r="F27" s="118" t="s">
        <v>53</v>
      </c>
      <c r="G27" s="150">
        <v>0.02</v>
      </c>
      <c r="H27" s="117" t="s">
        <v>54</v>
      </c>
      <c r="I27" s="119">
        <f t="shared" si="0"/>
        <v>300</v>
      </c>
      <c r="J27" s="140" t="s">
        <v>55</v>
      </c>
      <c r="K27" s="141"/>
      <c r="L27" s="117" t="s">
        <v>56</v>
      </c>
      <c r="M27" s="120" t="s">
        <v>57</v>
      </c>
      <c r="N27" s="142" t="s">
        <v>83</v>
      </c>
      <c r="O27" s="143">
        <v>0.96</v>
      </c>
    </row>
    <row r="28" spans="1:15" ht="18" customHeight="1">
      <c r="A28" s="122"/>
      <c r="B28" s="123"/>
      <c r="C28" s="151" t="s">
        <v>84</v>
      </c>
      <c r="D28" s="151"/>
      <c r="E28" s="136">
        <f>SUM(E18:E27)</f>
        <v>99000</v>
      </c>
      <c r="F28" s="124"/>
      <c r="G28" s="125"/>
      <c r="H28" s="125"/>
      <c r="I28" s="126">
        <f>SUM(I18:I27)</f>
        <v>3435</v>
      </c>
      <c r="J28" s="127"/>
      <c r="K28" s="127"/>
      <c r="L28" s="127"/>
      <c r="M28" s="127"/>
      <c r="N28" s="127"/>
      <c r="O28" s="128">
        <f>SUM(O18:O27)</f>
        <v>2.2800000000000002</v>
      </c>
    </row>
  </sheetData>
  <mergeCells count="7">
    <mergeCell ref="C28:D28"/>
    <mergeCell ref="E3:F3"/>
    <mergeCell ref="E4:F4"/>
    <mergeCell ref="A1:O1"/>
    <mergeCell ref="H3:I3"/>
    <mergeCell ref="H4:I4"/>
    <mergeCell ref="H5:I5"/>
  </mergeCells>
  <phoneticPr fontId="14" type="noConversion"/>
  <pageMargins left="0.35433070866141736" right="0.15748031496062992" top="0.19685039370078741" bottom="0.19685039370078741" header="0.51181102362204722" footer="0.51181102362204722"/>
  <pageSetup scale="6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9"/>
  <sheetViews>
    <sheetView topLeftCell="A13" workbookViewId="0">
      <selection activeCell="D38" sqref="D38"/>
    </sheetView>
  </sheetViews>
  <sheetFormatPr defaultColWidth="9" defaultRowHeight="15"/>
  <cols>
    <col min="2" max="3" width="18.5703125" customWidth="1"/>
    <col min="4" max="4" width="15.42578125" customWidth="1"/>
    <col min="5" max="5" width="24.140625" customWidth="1"/>
    <col min="6" max="6" width="10.140625"/>
    <col min="8" max="9" width="10.5703125" customWidth="1"/>
    <col min="10" max="10" width="32.140625" customWidth="1"/>
  </cols>
  <sheetData>
    <row r="1" spans="1:10" ht="22.9">
      <c r="A1" s="163" t="s">
        <v>85</v>
      </c>
      <c r="B1" s="164"/>
      <c r="C1" s="164"/>
      <c r="D1" s="164"/>
      <c r="E1" s="164"/>
      <c r="F1" s="164"/>
      <c r="G1" s="164"/>
      <c r="H1" s="164"/>
      <c r="I1" s="164"/>
      <c r="J1" s="165"/>
    </row>
    <row r="2" spans="1:10" ht="15" customHeight="1">
      <c r="A2" s="102" t="s">
        <v>1</v>
      </c>
      <c r="B2" s="103"/>
      <c r="C2" s="61"/>
      <c r="D2" s="61"/>
      <c r="E2" s="61"/>
      <c r="F2" s="104"/>
      <c r="G2" s="103" t="s">
        <v>86</v>
      </c>
      <c r="I2" s="61"/>
      <c r="J2" s="62"/>
    </row>
    <row r="3" spans="1:10" ht="15" customHeight="1">
      <c r="A3" s="22" t="s">
        <v>3</v>
      </c>
      <c r="B3" s="23"/>
      <c r="C3" s="61"/>
      <c r="D3" s="61"/>
      <c r="E3" s="61"/>
      <c r="F3" s="52"/>
      <c r="G3" s="34" t="s">
        <v>4</v>
      </c>
      <c r="I3" s="145" t="s">
        <v>5</v>
      </c>
      <c r="J3" s="12"/>
    </row>
    <row r="4" spans="1:10" ht="15" customHeight="1">
      <c r="A4" s="26" t="s">
        <v>6</v>
      </c>
      <c r="B4" s="84"/>
      <c r="C4" s="84"/>
      <c r="D4" s="84"/>
      <c r="E4" s="84"/>
      <c r="F4" s="52"/>
      <c r="G4" s="34" t="s">
        <v>7</v>
      </c>
      <c r="I4" s="146" t="s">
        <v>8</v>
      </c>
      <c r="J4" s="12"/>
    </row>
    <row r="5" spans="1:10" ht="15" customHeight="1">
      <c r="A5" s="75" t="s">
        <v>9</v>
      </c>
      <c r="B5" s="84"/>
      <c r="C5" s="84"/>
      <c r="D5" s="84"/>
      <c r="E5" s="84"/>
      <c r="F5" s="52"/>
      <c r="G5" s="34" t="s">
        <v>10</v>
      </c>
      <c r="H5" s="133"/>
      <c r="I5" s="148" t="s">
        <v>11</v>
      </c>
      <c r="J5" s="12"/>
    </row>
    <row r="6" spans="1:10" ht="15" customHeight="1">
      <c r="A6" s="18" t="s">
        <v>12</v>
      </c>
      <c r="B6" s="81"/>
      <c r="C6" s="86"/>
      <c r="D6" s="86"/>
      <c r="E6" s="86"/>
      <c r="F6" s="98"/>
      <c r="G6" s="134" t="s">
        <v>87</v>
      </c>
      <c r="H6" s="135"/>
      <c r="I6" s="82"/>
      <c r="J6" s="83"/>
    </row>
    <row r="7" spans="1:10" ht="15" customHeight="1">
      <c r="A7" s="76" t="s">
        <v>15</v>
      </c>
      <c r="B7" s="23"/>
      <c r="C7" s="87"/>
      <c r="D7" s="87" t="s">
        <v>18</v>
      </c>
      <c r="E7" s="87"/>
      <c r="F7" s="52"/>
      <c r="G7" s="33" t="s">
        <v>13</v>
      </c>
      <c r="I7" s="34" t="s">
        <v>14</v>
      </c>
      <c r="J7" s="12"/>
    </row>
    <row r="8" spans="1:10" ht="15" customHeight="1">
      <c r="A8" s="76" t="s">
        <v>88</v>
      </c>
      <c r="B8" s="23"/>
      <c r="C8" s="87"/>
      <c r="D8" s="87"/>
      <c r="E8" s="87"/>
      <c r="F8" s="52"/>
      <c r="G8" s="33"/>
      <c r="I8" s="34"/>
      <c r="J8" s="12"/>
    </row>
    <row r="9" spans="1:10" ht="15" customHeight="1">
      <c r="A9" s="106" t="s">
        <v>89</v>
      </c>
      <c r="B9" s="93"/>
      <c r="C9" s="93"/>
      <c r="D9" s="94" t="s">
        <v>20</v>
      </c>
      <c r="E9" s="94"/>
      <c r="F9" s="99"/>
      <c r="G9" s="116" t="s">
        <v>16</v>
      </c>
      <c r="H9" s="9"/>
      <c r="I9" s="44" t="s">
        <v>17</v>
      </c>
      <c r="J9" s="13"/>
    </row>
    <row r="10" spans="1:10" ht="15" customHeight="1">
      <c r="A10" s="47" t="s">
        <v>21</v>
      </c>
      <c r="B10" s="88"/>
      <c r="C10" s="61"/>
      <c r="D10" s="61"/>
      <c r="E10" s="61"/>
      <c r="F10" s="100"/>
      <c r="G10" s="18" t="s">
        <v>22</v>
      </c>
      <c r="I10" s="139"/>
      <c r="J10" s="137"/>
    </row>
    <row r="11" spans="1:10" ht="15" customHeight="1">
      <c r="A11" s="47" t="s">
        <v>23</v>
      </c>
      <c r="B11" s="39"/>
      <c r="C11" s="39"/>
      <c r="D11" s="39"/>
      <c r="E11" s="39"/>
      <c r="F11" s="100"/>
      <c r="G11" s="55" t="s">
        <v>24</v>
      </c>
      <c r="H11" s="40"/>
      <c r="I11" s="40"/>
      <c r="J11" s="16"/>
    </row>
    <row r="12" spans="1:10" ht="15" customHeight="1">
      <c r="A12" s="48" t="s">
        <v>90</v>
      </c>
      <c r="B12" s="57"/>
      <c r="C12" s="43"/>
      <c r="D12" s="43"/>
      <c r="E12" s="43"/>
      <c r="F12" s="85"/>
      <c r="G12" s="42"/>
      <c r="H12" s="131"/>
      <c r="I12" s="131"/>
      <c r="J12" s="132"/>
    </row>
    <row r="13" spans="1:10" ht="15" customHeight="1">
      <c r="A13" s="129" t="s">
        <v>91</v>
      </c>
      <c r="B13" s="3"/>
      <c r="C13" s="130"/>
      <c r="D13" s="3" t="s">
        <v>92</v>
      </c>
      <c r="E13" s="3"/>
      <c r="F13" s="97"/>
      <c r="G13" s="3" t="s">
        <v>93</v>
      </c>
      <c r="I13" s="1"/>
      <c r="J13" s="10"/>
    </row>
    <row r="14" spans="1:10" ht="15" customHeight="1">
      <c r="A14" s="166" t="s">
        <v>94</v>
      </c>
      <c r="B14" s="167"/>
      <c r="C14" s="168"/>
      <c r="D14" s="91" t="s">
        <v>95</v>
      </c>
      <c r="E14" s="92"/>
      <c r="F14" s="96"/>
      <c r="G14" s="90" t="s">
        <v>96</v>
      </c>
      <c r="I14" s="2"/>
      <c r="J14" s="79"/>
    </row>
    <row r="15" spans="1:10" ht="15" customHeight="1">
      <c r="A15" s="172" t="s">
        <v>97</v>
      </c>
      <c r="B15" s="175" t="s">
        <v>37</v>
      </c>
      <c r="C15" s="175" t="s">
        <v>36</v>
      </c>
      <c r="D15" s="172" t="s">
        <v>98</v>
      </c>
      <c r="E15" s="173" t="s">
        <v>48</v>
      </c>
      <c r="F15" s="169" t="s">
        <v>39</v>
      </c>
      <c r="G15" s="169" t="s">
        <v>40</v>
      </c>
      <c r="H15" s="101" t="s">
        <v>99</v>
      </c>
      <c r="I15" s="101" t="s">
        <v>100</v>
      </c>
      <c r="J15" s="170" t="s">
        <v>101</v>
      </c>
    </row>
    <row r="16" spans="1:10" ht="15" customHeight="1">
      <c r="A16" s="175"/>
      <c r="B16" s="175"/>
      <c r="C16" s="175"/>
      <c r="D16" s="172"/>
      <c r="E16" s="174"/>
      <c r="F16" s="169"/>
      <c r="G16" s="169"/>
      <c r="H16" s="101" t="s">
        <v>102</v>
      </c>
      <c r="I16" s="101" t="s">
        <v>102</v>
      </c>
      <c r="J16" s="171"/>
    </row>
    <row r="17" spans="1:10" ht="15" customHeight="1">
      <c r="A17" s="157" t="s">
        <v>50</v>
      </c>
      <c r="B17" s="117">
        <v>2250802311</v>
      </c>
      <c r="C17" s="117" t="s">
        <v>51</v>
      </c>
      <c r="D17" s="117" t="s">
        <v>52</v>
      </c>
      <c r="E17" s="142" t="s">
        <v>58</v>
      </c>
      <c r="F17" s="117">
        <v>6000</v>
      </c>
      <c r="G17" s="110" t="s">
        <v>53</v>
      </c>
      <c r="H17" s="143">
        <v>0.05</v>
      </c>
      <c r="I17" s="144">
        <v>0.4</v>
      </c>
      <c r="J17" s="160" t="s">
        <v>103</v>
      </c>
    </row>
    <row r="18" spans="1:10" ht="15" customHeight="1">
      <c r="A18" s="158"/>
      <c r="B18" s="117">
        <v>2250802483</v>
      </c>
      <c r="C18" s="117" t="s">
        <v>60</v>
      </c>
      <c r="D18" s="121" t="s">
        <v>61</v>
      </c>
      <c r="E18" s="142" t="s">
        <v>63</v>
      </c>
      <c r="F18" s="117">
        <v>3000</v>
      </c>
      <c r="G18" s="110" t="s">
        <v>53</v>
      </c>
      <c r="H18" s="143">
        <v>0.04</v>
      </c>
      <c r="I18" s="144">
        <v>0.3</v>
      </c>
      <c r="J18" s="161"/>
    </row>
    <row r="19" spans="1:10" ht="15" customHeight="1">
      <c r="A19" s="158"/>
      <c r="B19" s="117">
        <v>2251201075</v>
      </c>
      <c r="C19" s="117" t="s">
        <v>60</v>
      </c>
      <c r="D19" s="121" t="s">
        <v>61</v>
      </c>
      <c r="E19" s="142" t="s">
        <v>63</v>
      </c>
      <c r="F19" s="117">
        <v>3000</v>
      </c>
      <c r="G19" s="110" t="s">
        <v>53</v>
      </c>
      <c r="H19" s="143">
        <v>0.04</v>
      </c>
      <c r="I19" s="144">
        <v>0.3</v>
      </c>
      <c r="J19" s="161"/>
    </row>
    <row r="20" spans="1:10" ht="15" customHeight="1">
      <c r="A20" s="158"/>
      <c r="B20" s="117">
        <v>2250602558</v>
      </c>
      <c r="C20" s="117" t="s">
        <v>67</v>
      </c>
      <c r="D20" s="117" t="s">
        <v>52</v>
      </c>
      <c r="E20" s="142" t="s">
        <v>68</v>
      </c>
      <c r="F20" s="117">
        <v>3000</v>
      </c>
      <c r="G20" s="110" t="s">
        <v>53</v>
      </c>
      <c r="H20" s="143">
        <v>0.34</v>
      </c>
      <c r="I20" s="144">
        <v>0.75</v>
      </c>
      <c r="J20" s="161"/>
    </row>
    <row r="21" spans="1:10" ht="15" customHeight="1">
      <c r="A21" s="158"/>
      <c r="B21" s="117">
        <v>2250702866</v>
      </c>
      <c r="C21" s="117" t="s">
        <v>67</v>
      </c>
      <c r="D21" s="117" t="s">
        <v>52</v>
      </c>
      <c r="E21" s="142" t="s">
        <v>68</v>
      </c>
      <c r="F21" s="117">
        <v>3000</v>
      </c>
      <c r="G21" s="110" t="s">
        <v>53</v>
      </c>
      <c r="H21" s="143">
        <v>0.34</v>
      </c>
      <c r="I21" s="144">
        <v>0.75</v>
      </c>
      <c r="J21" s="161"/>
    </row>
    <row r="22" spans="1:10" ht="15" customHeight="1">
      <c r="A22" s="158"/>
      <c r="B22" s="117">
        <v>2250602462</v>
      </c>
      <c r="C22" s="117" t="s">
        <v>71</v>
      </c>
      <c r="D22" s="117" t="s">
        <v>52</v>
      </c>
      <c r="E22" s="142" t="s">
        <v>73</v>
      </c>
      <c r="F22" s="117">
        <v>9000</v>
      </c>
      <c r="G22" s="110" t="s">
        <v>53</v>
      </c>
      <c r="H22" s="143">
        <v>0.05</v>
      </c>
      <c r="I22" s="144">
        <v>0.45</v>
      </c>
      <c r="J22" s="161"/>
    </row>
    <row r="23" spans="1:10" ht="15" customHeight="1">
      <c r="A23" s="158"/>
      <c r="B23" s="117">
        <v>2250700745</v>
      </c>
      <c r="C23" s="117" t="s">
        <v>71</v>
      </c>
      <c r="D23" s="117" t="s">
        <v>52</v>
      </c>
      <c r="E23" s="142" t="s">
        <v>73</v>
      </c>
      <c r="F23" s="117">
        <v>36000</v>
      </c>
      <c r="G23" s="110" t="s">
        <v>53</v>
      </c>
      <c r="H23" s="143">
        <v>0.19</v>
      </c>
      <c r="I23" s="144">
        <v>1.5</v>
      </c>
      <c r="J23" s="161"/>
    </row>
    <row r="24" spans="1:10" ht="15" customHeight="1">
      <c r="A24" s="158"/>
      <c r="B24" s="117">
        <v>2250801830</v>
      </c>
      <c r="C24" s="117" t="s">
        <v>76</v>
      </c>
      <c r="D24" s="121" t="s">
        <v>61</v>
      </c>
      <c r="E24" s="142" t="s">
        <v>79</v>
      </c>
      <c r="F24" s="117">
        <v>18000</v>
      </c>
      <c r="G24" s="110" t="s">
        <v>53</v>
      </c>
      <c r="H24" s="143">
        <v>0.23</v>
      </c>
      <c r="I24" s="144">
        <v>0.9</v>
      </c>
      <c r="J24" s="161"/>
    </row>
    <row r="25" spans="1:10" ht="15" customHeight="1">
      <c r="A25" s="158"/>
      <c r="B25" s="117">
        <v>2250803097</v>
      </c>
      <c r="C25" s="117" t="s">
        <v>76</v>
      </c>
      <c r="D25" s="121" t="s">
        <v>61</v>
      </c>
      <c r="E25" s="142" t="s">
        <v>79</v>
      </c>
      <c r="F25" s="117">
        <v>3000</v>
      </c>
      <c r="G25" s="110" t="s">
        <v>53</v>
      </c>
      <c r="H25" s="143">
        <v>0.04</v>
      </c>
      <c r="I25" s="144">
        <v>0.2</v>
      </c>
      <c r="J25" s="161"/>
    </row>
    <row r="26" spans="1:10" ht="15" customHeight="1">
      <c r="A26" s="159"/>
      <c r="B26" s="117">
        <v>2250802311</v>
      </c>
      <c r="C26" s="117" t="s">
        <v>82</v>
      </c>
      <c r="D26" s="117" t="s">
        <v>52</v>
      </c>
      <c r="E26" s="142" t="s">
        <v>83</v>
      </c>
      <c r="F26" s="117">
        <v>15000</v>
      </c>
      <c r="G26" s="110" t="s">
        <v>53</v>
      </c>
      <c r="H26" s="143">
        <v>0.96</v>
      </c>
      <c r="I26" s="144">
        <v>1.95</v>
      </c>
      <c r="J26" s="162"/>
    </row>
    <row r="27" spans="1:10">
      <c r="A27" s="111"/>
      <c r="B27" s="1"/>
      <c r="C27" s="3"/>
      <c r="D27" s="4"/>
      <c r="E27" s="5" t="s">
        <v>104</v>
      </c>
      <c r="F27" s="89">
        <f>SUM(F17:F26)</f>
        <v>99000</v>
      </c>
      <c r="G27" s="112" t="s">
        <v>53</v>
      </c>
      <c r="H27" s="6">
        <f>SUM(H17:H26)</f>
        <v>2.2800000000000002</v>
      </c>
      <c r="I27" s="6">
        <f>SUM(I17:I26)</f>
        <v>7.5000000000000009</v>
      </c>
      <c r="J27" s="11" t="s">
        <v>105</v>
      </c>
    </row>
    <row r="28" spans="1:10">
      <c r="A28" s="7"/>
      <c r="D28" s="113"/>
      <c r="E28" s="105" t="s">
        <v>106</v>
      </c>
      <c r="F28" s="108">
        <v>1</v>
      </c>
      <c r="G28" s="112"/>
      <c r="J28" s="12"/>
    </row>
    <row r="29" spans="1:10">
      <c r="A29" s="8"/>
      <c r="B29" s="9"/>
      <c r="C29" s="9"/>
      <c r="D29" s="114"/>
      <c r="E29" s="107" t="s">
        <v>107</v>
      </c>
      <c r="F29" s="109" t="s">
        <v>108</v>
      </c>
      <c r="G29" s="9"/>
      <c r="H29" s="9"/>
      <c r="I29" s="9"/>
      <c r="J29" s="13"/>
    </row>
  </sheetData>
  <mergeCells count="12">
    <mergeCell ref="A17:A26"/>
    <mergeCell ref="J17:J26"/>
    <mergeCell ref="A1:J1"/>
    <mergeCell ref="A14:C14"/>
    <mergeCell ref="F15:F16"/>
    <mergeCell ref="G15:G16"/>
    <mergeCell ref="J15:J16"/>
    <mergeCell ref="D15:D16"/>
    <mergeCell ref="E15:E16"/>
    <mergeCell ref="A15:A16"/>
    <mergeCell ref="B15:B16"/>
    <mergeCell ref="C15:C16"/>
  </mergeCells>
  <phoneticPr fontId="14" type="noConversion"/>
  <pageMargins left="0.35433070866141736" right="0.55118110236220474" top="0.19685039370078741" bottom="0" header="0.51181102362204722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2025-12-19T22:51:52Z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