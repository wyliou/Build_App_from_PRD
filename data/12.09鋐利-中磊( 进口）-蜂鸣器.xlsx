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87\custom\1.进出货报关资料(IDEAL）\苏州众诚国际-中磊\2025\"/>
    </mc:Choice>
  </mc:AlternateContent>
  <bookViews>
    <workbookView xWindow="0" yWindow="0" windowWidth="19200" windowHeight="8205" activeTab="1"/>
  </bookViews>
  <sheets>
    <sheet name="INVOICE" sheetId="1" r:id="rId1"/>
    <sheet name="PACKING" sheetId="2" r:id="rId2"/>
  </sheets>
  <calcPr calcId="162913"/>
</workbook>
</file>

<file path=xl/calcChain.xml><?xml version="1.0" encoding="utf-8"?>
<calcChain xmlns="http://schemas.openxmlformats.org/spreadsheetml/2006/main">
  <c r="J24" i="2" l="1"/>
  <c r="A24" i="2" l="1"/>
  <c r="F25" i="2" l="1"/>
  <c r="O20" i="1" l="1"/>
  <c r="F22" i="2"/>
  <c r="D22" i="2"/>
  <c r="C22" i="2"/>
  <c r="B22" i="2"/>
  <c r="F4" i="2"/>
  <c r="F3" i="2"/>
  <c r="I24" i="2" l="1"/>
  <c r="H24" i="2"/>
  <c r="F24" i="2"/>
  <c r="O22" i="1"/>
  <c r="E22" i="1"/>
  <c r="I20" i="1"/>
  <c r="I22" i="1" s="1"/>
</calcChain>
</file>

<file path=xl/sharedStrings.xml><?xml version="1.0" encoding="utf-8"?>
<sst xmlns="http://schemas.openxmlformats.org/spreadsheetml/2006/main" count="92" uniqueCount="79">
  <si>
    <t>COMMERCIAL INVOICE</t>
  </si>
  <si>
    <t>Shipper/Exporter</t>
  </si>
  <si>
    <t>No. &amp; Date of Invoice</t>
  </si>
  <si>
    <t>Bill To:</t>
  </si>
  <si>
    <t xml:space="preserve"> Payment Term</t>
  </si>
  <si>
    <t>Ship To:</t>
  </si>
  <si>
    <t xml:space="preserve"> Trade Term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</si>
  <si>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</si>
  <si>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</si>
  <si>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</si>
  <si>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</si>
  <si>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</si>
  <si>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</si>
  <si>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</si>
  <si>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</si>
  <si>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</si>
  <si>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</si>
  <si>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</si>
  <si>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</si>
  <si>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</si>
  <si>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</si>
  <si>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</si>
  <si>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</si>
  <si>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</si>
  <si>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</si>
  <si>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</si>
  <si>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</si>
  <si>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1</t>
  </si>
  <si>
    <t>PCS</t>
  </si>
  <si>
    <t>USD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</si>
  <si>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</si>
  <si>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</si>
  <si>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</si>
  <si>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</si>
  <si>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</si>
  <si>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</si>
  <si>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</si>
  <si>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KGS</t>
  </si>
  <si>
    <t>TOTAL</t>
  </si>
  <si>
    <t>件数</t>
  </si>
  <si>
    <t>包装种类</t>
  </si>
  <si>
    <t>Vansonic Enterprise Co., Ltd.</t>
    <phoneticPr fontId="13" type="noConversion"/>
  </si>
  <si>
    <r>
      <rPr>
        <sz val="10"/>
        <rFont val="宋体"/>
        <family val="3"/>
        <charset val="134"/>
      </rPr>
      <t>中磊电子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苏州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有限公司</t>
    </r>
    <phoneticPr fontId="13" type="noConversion"/>
  </si>
  <si>
    <t>DDU JIANGSU</t>
    <phoneticPr fontId="13" type="noConversion"/>
  </si>
  <si>
    <t>蜂鸣器</t>
    <phoneticPr fontId="13" type="noConversion"/>
  </si>
  <si>
    <t>CN</t>
    <phoneticPr fontId="13" type="noConversion"/>
  </si>
  <si>
    <t>Taiwan,China</t>
    <phoneticPr fontId="13" type="noConversion"/>
  </si>
  <si>
    <t>无品牌</t>
    <phoneticPr fontId="13" type="noConversion"/>
  </si>
  <si>
    <t>无型号</t>
    <phoneticPr fontId="13" type="noConversion"/>
  </si>
  <si>
    <t>无品牌</t>
    <phoneticPr fontId="13" type="noConversion"/>
  </si>
  <si>
    <t>3F., No. 123, Zhongcheng Rd., Tucheng Dist., New Taipei City, Taiwan,China
886-2-2267 2389</t>
    <phoneticPr fontId="13" type="noConversion"/>
  </si>
  <si>
    <r>
      <rPr>
        <sz val="10"/>
        <rFont val="宋体"/>
        <family val="3"/>
        <charset val="134"/>
      </rPr>
      <t>中磊电子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苏州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有限公司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</si>
  <si>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
86 512 6761 3993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</si>
  <si>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
86 512 6761 3993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</si>
  <si>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</si>
  <si>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</t>
    </r>
    <phoneticPr fontId="13" type="noConversion"/>
  </si>
  <si>
    <r>
      <t>纸箱</t>
    </r>
    <r>
      <rPr>
        <sz val="10"/>
        <rFont val="Arial"/>
        <family val="2"/>
      </rPr>
      <t/>
    </r>
    <phoneticPr fontId="13" type="noConversion"/>
  </si>
  <si>
    <t>CTNS</t>
    <phoneticPr fontId="13" type="noConversion"/>
  </si>
  <si>
    <t>G.W.</t>
    <phoneticPr fontId="13" type="noConversion"/>
  </si>
  <si>
    <t>N.W.</t>
    <phoneticPr fontId="13" type="noConversion"/>
  </si>
  <si>
    <t>N.W.
(KGS)</t>
    <phoneticPr fontId="13" type="noConversion"/>
  </si>
  <si>
    <t>Vansonic Enterprise Co., Ltd.</t>
  </si>
  <si>
    <t>Vansonic Enterprise Co., Ltd.</t>
    <phoneticPr fontId="13" type="noConversion"/>
  </si>
  <si>
    <t>3F., No. 123, Zhongcheng Rd., Tucheng Dist., New Taipei City, Taiwan,China
886-2-2267 2389</t>
    <phoneticPr fontId="13" type="noConversion"/>
  </si>
  <si>
    <t>42X35.5X36.5</t>
    <phoneticPr fontId="13" type="noConversion"/>
  </si>
  <si>
    <t>MEASUREMENT 
m³</t>
    <phoneticPr fontId="13" type="noConversion"/>
  </si>
  <si>
    <t>报关行</t>
    <phoneticPr fontId="13" type="noConversion"/>
  </si>
  <si>
    <t>江苏众诚报关代理有限公司</t>
    <phoneticPr fontId="13" type="noConversion"/>
  </si>
  <si>
    <t>申报地海关</t>
    <phoneticPr fontId="13" type="noConversion"/>
  </si>
  <si>
    <t>关联备案号</t>
    <phoneticPr fontId="13" type="noConversion"/>
  </si>
  <si>
    <t>新帐册号T2358W000197</t>
    <phoneticPr fontId="13" type="noConversion"/>
  </si>
  <si>
    <t>运输方式</t>
    <phoneticPr fontId="13" type="noConversion"/>
  </si>
  <si>
    <t>保税港区</t>
    <phoneticPr fontId="13" type="noConversion"/>
  </si>
  <si>
    <t>ASN number</t>
  </si>
  <si>
    <t>VF-1141209-01</t>
    <phoneticPr fontId="13" type="noConversion"/>
  </si>
  <si>
    <t>2025.12.09</t>
    <phoneticPr fontId="13" type="noConversion"/>
  </si>
  <si>
    <t xml:space="preserve">48310010VS   </t>
    <phoneticPr fontId="13" type="noConversion"/>
  </si>
  <si>
    <t xml:space="preserve">2250303826/1.1 </t>
    <phoneticPr fontId="13" type="noConversion"/>
  </si>
  <si>
    <t>PQDHL018-USD2025120900001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</si>
</sst>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0_ "/>
    <numFmt numFmtId="177" formatCode="yyyy/m/d;@"/>
    <numFmt numFmtId="178" formatCode="0_ "/>
    <numFmt numFmtId="179" formatCode="0.00_);[Red]\(0.00\)"/>
    <numFmt numFmtId="180" formatCode="0.000_ "/>
    <numFmt numFmtId="181" formatCode="#,##0.00_ "/>
    <numFmt numFmtId="182" formatCode="0.0000_);[Red]\(0.0000\)"/>
  </numFmts>
  <fonts count="29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name val="微软雅黑"/>
      <family val="2"/>
      <charset val="134"/>
    </font>
    <font>
      <sz val="10"/>
      <color rgb="FFFF0000"/>
      <name val="Arial"/>
      <family val="2"/>
    </font>
    <font>
      <sz val="10"/>
      <name val="新細明體"/>
      <family val="1"/>
    </font>
    <font>
      <b/>
      <sz val="10"/>
      <name val="新細明體"/>
      <family val="1"/>
    </font>
    <font>
      <sz val="18"/>
      <color theme="1"/>
      <name val="宋体"/>
      <family val="3"/>
      <charset val="134"/>
      <scheme val="minor"/>
    </font>
    <font>
      <sz val="10"/>
      <color indexed="12"/>
      <name val="新細明體"/>
      <family val="1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6"/>
      <name val="Arial"/>
      <family val="2"/>
    </font>
    <font>
      <b/>
      <sz val="18"/>
      <name val="Arial"/>
      <family val="2"/>
    </font>
    <font>
      <b/>
      <sz val="14"/>
      <color theme="1"/>
      <name val="宋体"/>
      <family val="3"/>
      <charset val="134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sz val="9"/>
      <name val="宋体"/>
      <family val="3"/>
      <charset val="134"/>
    </font>
    <font>
      <b/>
      <sz val="9"/>
      <name val="新細明體"/>
      <family val="1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>
      <alignment vertical="center"/>
    </xf>
    <xf numFmtId="0" fontId="12" fillId="0" borderId="0"/>
    <xf numFmtId="0" fontId="12" fillId="0" borderId="0"/>
    <xf numFmtId="0" fontId="12" fillId="0" borderId="0"/>
  </cellStyleXfs>
  <cellXfs count="175">
    <xf numFmtId="0" fontId="0" fillId="0" borderId="0" xfId="0">
      <alignment vertical="center"/>
    </xf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/>
    </xf>
    <xf numFmtId="0" fontId="2" fillId="0" borderId="9" xfId="3" applyFont="1" applyFill="1" applyBorder="1" applyAlignment="1">
      <alignment horizontal="center" vertical="center" wrapText="1" shrinkToFit="1"/>
    </xf>
    <xf numFmtId="0" fontId="2" fillId="0" borderId="10" xfId="3" applyFont="1" applyFill="1" applyBorder="1" applyAlignment="1">
      <alignment horizontal="center" vertical="center" wrapText="1" shrinkToFit="1"/>
    </xf>
    <xf numFmtId="0" fontId="1" fillId="0" borderId="0" xfId="1" applyFont="1" applyFill="1" applyBorder="1" applyAlignment="1">
      <alignment horizontal="left"/>
    </xf>
    <xf numFmtId="0" fontId="1" fillId="0" borderId="0" xfId="1" applyFont="1" applyFill="1" applyBorder="1" applyAlignment="1">
      <alignment horizontal="center"/>
    </xf>
    <xf numFmtId="0" fontId="8" fillId="0" borderId="5" xfId="0" applyFont="1" applyFill="1" applyBorder="1" applyAlignment="1"/>
    <xf numFmtId="177" fontId="2" fillId="0" borderId="0" xfId="0" applyNumberFormat="1" applyFont="1" applyFill="1" applyBorder="1" applyAlignment="1">
      <alignment horizontal="left"/>
    </xf>
    <xf numFmtId="0" fontId="4" fillId="0" borderId="6" xfId="0" applyFont="1" applyFill="1" applyBorder="1" applyAlignment="1"/>
    <xf numFmtId="0" fontId="2" fillId="0" borderId="8" xfId="0" applyFont="1" applyFill="1" applyBorder="1" applyAlignment="1">
      <alignment horizontal="center"/>
    </xf>
    <xf numFmtId="0" fontId="1" fillId="0" borderId="13" xfId="2" applyFont="1" applyFill="1" applyBorder="1"/>
    <xf numFmtId="0" fontId="8" fillId="0" borderId="2" xfId="0" applyFont="1" applyFill="1" applyBorder="1" applyAlignment="1"/>
    <xf numFmtId="0" fontId="8" fillId="0" borderId="0" xfId="0" applyFont="1" applyFill="1" applyAlignment="1"/>
    <xf numFmtId="0" fontId="8" fillId="0" borderId="7" xfId="0" applyFont="1" applyFill="1" applyBorder="1" applyAlignment="1">
      <alignment vertical="center"/>
    </xf>
    <xf numFmtId="0" fontId="11" fillId="0" borderId="8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5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5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7" xfId="0" applyFont="1" applyFill="1" applyBorder="1" applyAlignment="1"/>
    <xf numFmtId="0" fontId="9" fillId="0" borderId="7" xfId="0" applyFont="1" applyFill="1" applyBorder="1" applyAlignment="1"/>
    <xf numFmtId="0" fontId="15" fillId="0" borderId="3" xfId="0" applyFont="1" applyFill="1" applyBorder="1" applyAlignment="1">
      <alignment horizontal="center" vertical="center" wrapText="1" shrinkToFit="1"/>
    </xf>
    <xf numFmtId="0" fontId="16" fillId="0" borderId="0" xfId="0" applyFont="1" applyFill="1" applyBorder="1" applyAlignment="1">
      <alignment horizontal="center" vertical="center" wrapText="1" shrinkToFit="1"/>
    </xf>
    <xf numFmtId="0" fontId="0" fillId="0" borderId="0" xfId="0" applyFill="1">
      <alignment vertical="center"/>
    </xf>
    <xf numFmtId="0" fontId="1" fillId="0" borderId="1" xfId="1" applyFont="1" applyFill="1" applyBorder="1"/>
    <xf numFmtId="0" fontId="1" fillId="0" borderId="2" xfId="1" applyFont="1" applyFill="1" applyBorder="1"/>
    <xf numFmtId="0" fontId="2" fillId="0" borderId="2" xfId="1" applyFont="1" applyFill="1" applyBorder="1"/>
    <xf numFmtId="0" fontId="3" fillId="0" borderId="4" xfId="1" applyFont="1" applyFill="1" applyBorder="1"/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/>
    <xf numFmtId="0" fontId="2" fillId="0" borderId="5" xfId="1" applyFont="1" applyFill="1" applyBorder="1"/>
    <xf numFmtId="0" fontId="2" fillId="0" borderId="3" xfId="0" applyFont="1" applyFill="1" applyBorder="1" applyAlignment="1"/>
    <xf numFmtId="0" fontId="2" fillId="0" borderId="6" xfId="2" applyFont="1" applyFill="1" applyBorder="1" applyAlignment="1">
      <alignment horizontal="left"/>
    </xf>
    <xf numFmtId="0" fontId="2" fillId="0" borderId="7" xfId="2" applyFont="1" applyFill="1" applyBorder="1"/>
    <xf numFmtId="0" fontId="2" fillId="0" borderId="6" xfId="1" applyFont="1" applyFill="1" applyBorder="1"/>
    <xf numFmtId="0" fontId="2" fillId="0" borderId="7" xfId="1" applyFont="1" applyFill="1" applyBorder="1"/>
    <xf numFmtId="0" fontId="2" fillId="0" borderId="8" xfId="1" applyFont="1" applyFill="1" applyBorder="1"/>
    <xf numFmtId="0" fontId="1" fillId="0" borderId="1" xfId="2" applyFont="1" applyFill="1" applyBorder="1"/>
    <xf numFmtId="0" fontId="2" fillId="0" borderId="4" xfId="1" applyFont="1" applyFill="1" applyBorder="1"/>
    <xf numFmtId="0" fontId="2" fillId="0" borderId="0" xfId="1" applyFont="1" applyFill="1"/>
    <xf numFmtId="0" fontId="2" fillId="0" borderId="3" xfId="1" applyFont="1" applyFill="1" applyBorder="1" applyAlignment="1">
      <alignment horizontal="left"/>
    </xf>
    <xf numFmtId="0" fontId="1" fillId="0" borderId="0" xfId="1" applyFont="1" applyFill="1"/>
    <xf numFmtId="0" fontId="2" fillId="0" borderId="0" xfId="2" applyFont="1" applyFill="1"/>
    <xf numFmtId="0" fontId="5" fillId="0" borderId="0" xfId="1" applyFont="1" applyFill="1"/>
    <xf numFmtId="0" fontId="6" fillId="0" borderId="0" xfId="1" applyFont="1" applyFill="1" applyBorder="1"/>
    <xf numFmtId="0" fontId="2" fillId="0" borderId="0" xfId="1" applyFont="1" applyFill="1" applyAlignment="1">
      <alignment horizontal="left"/>
    </xf>
    <xf numFmtId="0" fontId="2" fillId="0" borderId="5" xfId="1" applyFont="1" applyFill="1" applyBorder="1" applyAlignment="1">
      <alignment horizontal="left"/>
    </xf>
    <xf numFmtId="0" fontId="2" fillId="0" borderId="0" xfId="1" applyFont="1" applyFill="1" applyAlignment="1">
      <alignment horizontal="center" vertical="center"/>
    </xf>
    <xf numFmtId="0" fontId="3" fillId="0" borderId="4" xfId="2" applyFont="1" applyFill="1" applyBorder="1" applyAlignment="1"/>
    <xf numFmtId="0" fontId="1" fillId="0" borderId="0" xfId="1" applyFont="1" applyFill="1" applyBorder="1"/>
    <xf numFmtId="0" fontId="3" fillId="0" borderId="5" xfId="1" applyFont="1" applyFill="1" applyBorder="1"/>
    <xf numFmtId="0" fontId="7" fillId="0" borderId="5" xfId="1" applyFont="1" applyFill="1" applyBorder="1" applyAlignment="1">
      <alignment horizontal="right"/>
    </xf>
    <xf numFmtId="0" fontId="2" fillId="0" borderId="10" xfId="1" applyFont="1" applyFill="1" applyBorder="1" applyAlignment="1">
      <alignment horizontal="center" vertical="center" wrapText="1" shrinkToFit="1"/>
    </xf>
    <xf numFmtId="180" fontId="3" fillId="0" borderId="10" xfId="1" applyNumberFormat="1" applyFont="1" applyFill="1" applyBorder="1" applyAlignment="1">
      <alignment horizontal="center" vertical="center" wrapText="1" shrinkToFit="1"/>
    </xf>
    <xf numFmtId="179" fontId="2" fillId="0" borderId="10" xfId="1" applyNumberFormat="1" applyFont="1" applyFill="1" applyBorder="1" applyAlignment="1">
      <alignment horizontal="center" vertical="center" wrapText="1" shrinkToFit="1"/>
    </xf>
    <xf numFmtId="179" fontId="1" fillId="0" borderId="10" xfId="1" applyNumberFormat="1" applyFont="1" applyFill="1" applyBorder="1" applyAlignment="1">
      <alignment horizontal="center" vertical="center" wrapText="1" shrinkToFit="1"/>
    </xf>
    <xf numFmtId="179" fontId="1" fillId="0" borderId="11" xfId="1" applyNumberFormat="1" applyFont="1" applyFill="1" applyBorder="1" applyAlignment="1">
      <alignment horizontal="center" vertical="center" wrapText="1" shrinkToFit="1"/>
    </xf>
    <xf numFmtId="178" fontId="1" fillId="0" borderId="3" xfId="1" applyNumberFormat="1" applyFont="1" applyFill="1" applyBorder="1" applyAlignment="1">
      <alignment horizontal="center"/>
    </xf>
    <xf numFmtId="179" fontId="1" fillId="0" borderId="0" xfId="1" applyNumberFormat="1" applyFont="1" applyFill="1" applyBorder="1" applyAlignment="1">
      <alignment horizontal="center"/>
    </xf>
    <xf numFmtId="179" fontId="1" fillId="0" borderId="5" xfId="1" applyNumberFormat="1" applyFont="1" applyFill="1" applyBorder="1" applyAlignment="1">
      <alignment horizontal="center"/>
    </xf>
    <xf numFmtId="0" fontId="0" fillId="0" borderId="3" xfId="0" applyFill="1" applyBorder="1">
      <alignment vertical="center"/>
    </xf>
    <xf numFmtId="0" fontId="4" fillId="0" borderId="0" xfId="1" applyFont="1" applyFill="1" applyAlignment="1">
      <alignment horizontal="center" vertical="center"/>
    </xf>
    <xf numFmtId="0" fontId="0" fillId="0" borderId="5" xfId="0" applyFill="1" applyBorder="1">
      <alignment vertical="center"/>
    </xf>
    <xf numFmtId="0" fontId="4" fillId="0" borderId="0" xfId="1" applyFont="1" applyFill="1"/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15" fillId="0" borderId="5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 shrinkToFit="1"/>
    </xf>
    <xf numFmtId="178" fontId="15" fillId="0" borderId="0" xfId="0" applyNumberFormat="1" applyFont="1" applyFill="1" applyBorder="1" applyAlignment="1">
      <alignment horizontal="center" vertical="center" shrinkToFit="1"/>
    </xf>
    <xf numFmtId="180" fontId="15" fillId="0" borderId="0" xfId="0" applyNumberFormat="1" applyFont="1" applyFill="1" applyBorder="1" applyAlignment="1">
      <alignment horizontal="center" vertical="center" wrapText="1" shrinkToFit="1"/>
    </xf>
    <xf numFmtId="179" fontId="15" fillId="0" borderId="0" xfId="0" applyNumberFormat="1" applyFont="1" applyFill="1" applyBorder="1" applyAlignment="1">
      <alignment horizontal="center" vertical="center" wrapText="1" shrinkToFit="1"/>
    </xf>
    <xf numFmtId="0" fontId="17" fillId="0" borderId="0" xfId="0" applyFont="1" applyFill="1">
      <alignment vertical="center"/>
    </xf>
    <xf numFmtId="0" fontId="1" fillId="0" borderId="3" xfId="1" applyFont="1" applyFill="1" applyBorder="1"/>
    <xf numFmtId="0" fontId="10" fillId="0" borderId="0" xfId="0" applyFont="1" applyFill="1">
      <alignment vertical="center"/>
    </xf>
    <xf numFmtId="0" fontId="1" fillId="0" borderId="3" xfId="2" applyFont="1" applyFill="1" applyBorder="1"/>
    <xf numFmtId="0" fontId="1" fillId="0" borderId="0" xfId="2" applyFont="1" applyFill="1" applyBorder="1"/>
    <xf numFmtId="0" fontId="2" fillId="0" borderId="0" xfId="2" applyFont="1" applyFill="1" applyBorder="1"/>
    <xf numFmtId="0" fontId="2" fillId="0" borderId="5" xfId="2" applyFont="1" applyFill="1" applyBorder="1"/>
    <xf numFmtId="49" fontId="2" fillId="0" borderId="0" xfId="2" applyNumberFormat="1" applyFont="1" applyFill="1" applyBorder="1" applyAlignment="1">
      <alignment horizontal="center"/>
    </xf>
    <xf numFmtId="177" fontId="2" fillId="0" borderId="3" xfId="0" applyNumberFormat="1" applyFont="1" applyFill="1" applyBorder="1" applyAlignment="1"/>
    <xf numFmtId="177" fontId="2" fillId="0" borderId="0" xfId="0" applyNumberFormat="1" applyFont="1" applyFill="1" applyBorder="1" applyAlignment="1"/>
    <xf numFmtId="0" fontId="2" fillId="0" borderId="3" xfId="2" applyFont="1" applyFill="1" applyBorder="1"/>
    <xf numFmtId="0" fontId="2" fillId="0" borderId="7" xfId="2" applyFont="1" applyFill="1" applyBorder="1" applyAlignment="1">
      <alignment horizontal="left"/>
    </xf>
    <xf numFmtId="0" fontId="2" fillId="0" borderId="8" xfId="2" applyFont="1" applyFill="1" applyBorder="1"/>
    <xf numFmtId="0" fontId="2" fillId="0" borderId="6" xfId="2" applyFont="1" applyFill="1" applyBorder="1"/>
    <xf numFmtId="0" fontId="1" fillId="0" borderId="2" xfId="2" applyFont="1" applyFill="1" applyBorder="1"/>
    <xf numFmtId="0" fontId="2" fillId="0" borderId="2" xfId="2" applyFont="1" applyFill="1" applyBorder="1"/>
    <xf numFmtId="0" fontId="2" fillId="0" borderId="4" xfId="2" applyFont="1" applyFill="1" applyBorder="1"/>
    <xf numFmtId="0" fontId="1" fillId="0" borderId="5" xfId="1" applyFont="1" applyFill="1" applyBorder="1" applyAlignment="1">
      <alignment horizontal="left"/>
    </xf>
    <xf numFmtId="0" fontId="3" fillId="0" borderId="7" xfId="1" applyFont="1" applyFill="1" applyBorder="1"/>
    <xf numFmtId="0" fontId="4" fillId="0" borderId="0" xfId="2" applyFont="1" applyFill="1" applyBorder="1"/>
    <xf numFmtId="0" fontId="2" fillId="0" borderId="8" xfId="2" applyFont="1" applyFill="1" applyBorder="1" applyAlignment="1"/>
    <xf numFmtId="0" fontId="4" fillId="0" borderId="6" xfId="2" applyFont="1" applyFill="1" applyBorder="1"/>
    <xf numFmtId="181" fontId="15" fillId="0" borderId="0" xfId="0" applyNumberFormat="1" applyFont="1" applyFill="1" applyBorder="1" applyAlignment="1">
      <alignment horizontal="center" vertical="center" wrapText="1" shrinkToFit="1"/>
    </xf>
    <xf numFmtId="182" fontId="15" fillId="0" borderId="0" xfId="0" applyNumberFormat="1" applyFont="1" applyFill="1" applyBorder="1" applyAlignment="1">
      <alignment horizontal="center" vertical="center" wrapText="1" shrinkToFit="1"/>
    </xf>
    <xf numFmtId="0" fontId="15" fillId="0" borderId="0" xfId="0" applyNumberFormat="1" applyFont="1" applyFill="1" applyBorder="1" applyAlignment="1">
      <alignment horizontal="center" vertical="center" wrapText="1" shrinkToFit="1"/>
    </xf>
    <xf numFmtId="0" fontId="10" fillId="0" borderId="3" xfId="0" applyFont="1" applyFill="1" applyBorder="1">
      <alignment vertical="center"/>
    </xf>
    <xf numFmtId="0" fontId="10" fillId="0" borderId="7" xfId="0" applyFont="1" applyFill="1" applyBorder="1">
      <alignment vertical="center"/>
    </xf>
    <xf numFmtId="0" fontId="10" fillId="0" borderId="8" xfId="0" applyFont="1" applyFill="1" applyBorder="1">
      <alignment vertical="center"/>
    </xf>
    <xf numFmtId="0" fontId="2" fillId="0" borderId="12" xfId="2" applyFont="1" applyFill="1" applyBorder="1"/>
    <xf numFmtId="0" fontId="2" fillId="0" borderId="13" xfId="2" applyFont="1" applyFill="1" applyBorder="1"/>
    <xf numFmtId="0" fontId="1" fillId="0" borderId="13" xfId="2" applyNumberFormat="1" applyFont="1" applyFill="1" applyBorder="1" applyAlignment="1">
      <alignment horizontal="center"/>
    </xf>
    <xf numFmtId="182" fontId="1" fillId="0" borderId="13" xfId="2" applyNumberFormat="1" applyFont="1" applyFill="1" applyBorder="1" applyAlignment="1">
      <alignment horizontal="center"/>
    </xf>
    <xf numFmtId="179" fontId="1" fillId="0" borderId="13" xfId="2" applyNumberFormat="1" applyFont="1" applyFill="1" applyBorder="1" applyAlignment="1">
      <alignment horizontal="center"/>
    </xf>
    <xf numFmtId="0" fontId="18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22" fillId="0" borderId="0" xfId="0" applyFont="1" applyFill="1">
      <alignment vertical="center"/>
    </xf>
    <xf numFmtId="178" fontId="2" fillId="0" borderId="0" xfId="1" applyNumberFormat="1" applyFont="1" applyFill="1" applyAlignment="1">
      <alignment horizontal="center"/>
    </xf>
    <xf numFmtId="0" fontId="4" fillId="0" borderId="0" xfId="1" applyFont="1" applyFill="1" applyAlignment="1">
      <alignment horizontal="center" vertical="center" wrapText="1"/>
    </xf>
    <xf numFmtId="0" fontId="24" fillId="0" borderId="2" xfId="1" applyFont="1" applyFill="1" applyBorder="1" applyAlignment="1">
      <alignment wrapText="1"/>
    </xf>
    <xf numFmtId="0" fontId="14" fillId="0" borderId="0" xfId="1" applyFont="1" applyFill="1" applyAlignment="1">
      <alignment horizontal="center" vertical="center"/>
    </xf>
    <xf numFmtId="0" fontId="23" fillId="0" borderId="0" xfId="1" applyFont="1" applyFill="1" applyBorder="1" applyAlignment="1">
      <alignment horizontal="center"/>
    </xf>
    <xf numFmtId="0" fontId="23" fillId="0" borderId="3" xfId="2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/>
    <xf numFmtId="0" fontId="28" fillId="0" borderId="3" xfId="0" applyFont="1" applyFill="1" applyBorder="1" applyAlignment="1"/>
    <xf numFmtId="0" fontId="1" fillId="0" borderId="0" xfId="1" applyNumberFormat="1" applyFont="1" applyFill="1" applyBorder="1" applyAlignment="1">
      <alignment horizontal="center"/>
    </xf>
    <xf numFmtId="176" fontId="15" fillId="0" borderId="5" xfId="0" applyNumberFormat="1" applyFont="1" applyFill="1" applyBorder="1" applyAlignment="1">
      <alignment horizontal="center" vertical="center" wrapText="1" shrinkToFit="1"/>
    </xf>
    <xf numFmtId="0" fontId="27" fillId="0" borderId="5" xfId="0" applyFont="1" applyFill="1" applyBorder="1" applyAlignment="1">
      <alignment horizontal="center" vertical="center"/>
    </xf>
    <xf numFmtId="0" fontId="27" fillId="0" borderId="0" xfId="0" applyFont="1" applyFill="1">
      <alignment vertical="center"/>
    </xf>
    <xf numFmtId="0" fontId="27" fillId="0" borderId="0" xfId="0" applyFont="1" applyFill="1" applyAlignment="1">
      <alignment horizontal="left" vertical="center"/>
    </xf>
    <xf numFmtId="0" fontId="2" fillId="2" borderId="3" xfId="1" applyFont="1" applyFill="1" applyBorder="1"/>
    <xf numFmtId="0" fontId="2" fillId="2" borderId="0" xfId="1" applyFont="1" applyFill="1" applyBorder="1"/>
    <xf numFmtId="0" fontId="15" fillId="2" borderId="6" xfId="1" applyFont="1" applyFill="1" applyBorder="1"/>
    <xf numFmtId="0" fontId="2" fillId="2" borderId="7" xfId="1" applyFont="1" applyFill="1" applyBorder="1"/>
    <xf numFmtId="0" fontId="2" fillId="0" borderId="13" xfId="2" applyFont="1" applyFill="1" applyBorder="1" applyAlignment="1">
      <alignment horizontal="left"/>
    </xf>
    <xf numFmtId="0" fontId="2" fillId="0" borderId="3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1" fillId="0" borderId="12" xfId="2" applyFont="1" applyFill="1" applyBorder="1" applyAlignment="1">
      <alignment horizontal="center"/>
    </xf>
    <xf numFmtId="0" fontId="21" fillId="0" borderId="13" xfId="2" applyFont="1" applyFill="1" applyBorder="1" applyAlignment="1">
      <alignment horizontal="center"/>
    </xf>
    <xf numFmtId="0" fontId="21" fillId="0" borderId="14" xfId="2" applyFont="1" applyFill="1" applyBorder="1" applyAlignment="1">
      <alignment horizontal="center"/>
    </xf>
    <xf numFmtId="0" fontId="2" fillId="0" borderId="3" xfId="2" applyFont="1" applyFill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177" fontId="2" fillId="0" borderId="6" xfId="0" applyNumberFormat="1" applyFont="1" applyFill="1" applyBorder="1" applyAlignment="1">
      <alignment horizontal="left"/>
    </xf>
    <xf numFmtId="177" fontId="2" fillId="0" borderId="8" xfId="0" applyNumberFormat="1" applyFont="1" applyFill="1" applyBorder="1" applyAlignment="1">
      <alignment horizontal="left"/>
    </xf>
    <xf numFmtId="0" fontId="23" fillId="0" borderId="0" xfId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vertical="top" wrapText="1"/>
    </xf>
    <xf numFmtId="0" fontId="2" fillId="0" borderId="0" xfId="1" applyFont="1" applyFill="1" applyBorder="1" applyAlignment="1">
      <alignment vertical="top" wrapText="1"/>
    </xf>
    <xf numFmtId="0" fontId="2" fillId="0" borderId="5" xfId="1" applyFont="1" applyFill="1" applyBorder="1" applyAlignment="1">
      <alignment vertical="top" wrapText="1"/>
    </xf>
    <xf numFmtId="0" fontId="23" fillId="0" borderId="0" xfId="2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20" fillId="0" borderId="12" xfId="1" applyFont="1" applyFill="1" applyBorder="1" applyAlignment="1">
      <alignment horizontal="center" vertical="center"/>
    </xf>
    <xf numFmtId="0" fontId="20" fillId="0" borderId="13" xfId="1" applyFont="1" applyFill="1" applyBorder="1" applyAlignment="1">
      <alignment horizontal="center" vertical="center"/>
    </xf>
    <xf numFmtId="0" fontId="20" fillId="0" borderId="14" xfId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5" fillId="0" borderId="3" xfId="2" applyFont="1" applyFill="1" applyBorder="1" applyAlignment="1">
      <alignment horizontal="left" vertical="top" wrapText="1"/>
    </xf>
    <xf numFmtId="0" fontId="15" fillId="0" borderId="0" xfId="2" applyFont="1" applyFill="1" applyBorder="1" applyAlignment="1">
      <alignment horizontal="left" vertical="top" wrapText="1"/>
    </xf>
    <xf numFmtId="0" fontId="15" fillId="0" borderId="5" xfId="2" applyFont="1" applyFill="1" applyBorder="1" applyAlignment="1">
      <alignment horizontal="left" vertical="top" wrapText="1"/>
    </xf>
    <xf numFmtId="0" fontId="15" fillId="0" borderId="6" xfId="2" applyFont="1" applyFill="1" applyBorder="1" applyAlignment="1">
      <alignment horizontal="left" vertical="top" wrapText="1"/>
    </xf>
    <xf numFmtId="0" fontId="15" fillId="0" borderId="7" xfId="2" applyFont="1" applyFill="1" applyBorder="1" applyAlignment="1">
      <alignment horizontal="left" vertical="top" wrapText="1"/>
    </xf>
    <xf numFmtId="0" fontId="15" fillId="0" borderId="8" xfId="2" applyFont="1" applyFill="1" applyBorder="1" applyAlignment="1">
      <alignment horizontal="left" vertical="top" wrapText="1"/>
    </xf>
    <xf numFmtId="0" fontId="1" fillId="0" borderId="15" xfId="1" applyFont="1" applyFill="1" applyBorder="1" applyAlignment="1">
      <alignment horizontal="right"/>
    </xf>
    <xf numFmtId="0" fontId="15" fillId="0" borderId="0" xfId="0" applyFont="1" applyFill="1" applyAlignment="1">
      <alignment horizontal="left" vertical="center" shrinkToFit="1"/>
    </xf>
    <xf numFmtId="0" fontId="23" fillId="0" borderId="3" xfId="2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/>
    </xf>
  </cellXfs>
  <cellStyles count="4">
    <cellStyle name="常规" xfId="0" builtinId="0"/>
    <cellStyle name="常规_Sheet1_1" xfId="3"/>
    <cellStyle name="一般_OMRON" xfId="2"/>
    <cellStyle name="一般_OMRON海運出口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22</xdr:row>
      <xdr:rowOff>228600</xdr:rowOff>
    </xdr:from>
    <xdr:to>
      <xdr:col>8</xdr:col>
      <xdr:colOff>104775</xdr:colOff>
      <xdr:row>26</xdr:row>
      <xdr:rowOff>228600</xdr:rowOff>
    </xdr:to>
    <xdr:pic>
      <xdr:nvPicPr>
        <xdr:cNvPr id="3" name="Picture 1" descr="TT{_GCLFJ`S{T0HZ~J%_V[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DEDCE9"/>
            </a:clrFrom>
            <a:clrTo>
              <a:srgbClr val="DEDCE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581775"/>
          <a:ext cx="12192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31</xdr:row>
      <xdr:rowOff>0</xdr:rowOff>
    </xdr:from>
    <xdr:to>
      <xdr:col>7</xdr:col>
      <xdr:colOff>38100</xdr:colOff>
      <xdr:row>37</xdr:row>
      <xdr:rowOff>114300</xdr:rowOff>
    </xdr:to>
    <xdr:pic>
      <xdr:nvPicPr>
        <xdr:cNvPr id="2" name="Picture 1" descr="TT{_GCLFJ`S{T0HZ~J%_V[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DEDCE9"/>
            </a:clrFrom>
            <a:clrTo>
              <a:srgbClr val="DEDCE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6353175"/>
          <a:ext cx="12192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8"/>
  <sheetViews>
    <sheetView workbookViewId="0">
      <selection activeCell="E21" sqref="E21"/>
    </sheetView>
  </sheetViews>
  <sheetFormatPr defaultColWidth="9" defaultRowHeight="22.5"/>
  <cols>
    <col min="1" max="1" width="6.125" style="81" customWidth="1"/>
    <col min="2" max="2" width="11.375" style="81" customWidth="1"/>
    <col min="3" max="3" width="14.25" style="81" customWidth="1"/>
    <col min="4" max="4" width="9" style="81"/>
    <col min="5" max="5" width="10.125" style="81" customWidth="1"/>
    <col min="6" max="6" width="6.875" style="81" customWidth="1"/>
    <col min="7" max="9" width="9" style="81"/>
    <col min="10" max="10" width="5.875" style="81" customWidth="1"/>
    <col min="11" max="11" width="5.5" style="81" customWidth="1"/>
    <col min="12" max="12" width="7.125" style="81" customWidth="1"/>
    <col min="13" max="13" width="7" style="81" customWidth="1"/>
    <col min="14" max="14" width="7.125" style="81" customWidth="1"/>
    <col min="15" max="15" width="7.875" style="81" customWidth="1"/>
    <col min="16" max="16384" width="9" style="81"/>
  </cols>
  <sheetData>
    <row r="1" spans="1:15" ht="23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4"/>
    </row>
    <row r="2" spans="1:15">
      <c r="A2" s="82" t="s">
        <v>1</v>
      </c>
      <c r="B2" s="83"/>
      <c r="C2" s="84"/>
      <c r="D2" s="57"/>
      <c r="E2" s="82" t="s">
        <v>2</v>
      </c>
      <c r="F2" s="84"/>
      <c r="G2" s="84"/>
      <c r="H2" s="84"/>
      <c r="I2" s="84"/>
      <c r="J2" s="25"/>
      <c r="K2" s="25"/>
      <c r="L2" s="25"/>
      <c r="M2" s="25"/>
      <c r="N2" s="25"/>
      <c r="O2" s="11"/>
    </row>
    <row r="3" spans="1:15" ht="17.25" customHeight="1">
      <c r="A3" s="127" t="s">
        <v>41</v>
      </c>
      <c r="B3" s="35"/>
      <c r="C3" s="84"/>
      <c r="D3" s="85"/>
      <c r="E3" s="38" t="s">
        <v>74</v>
      </c>
      <c r="F3" s="84"/>
      <c r="G3" s="86"/>
      <c r="H3" s="86"/>
      <c r="I3" s="84"/>
      <c r="J3" s="17"/>
      <c r="K3" s="17"/>
      <c r="L3" s="17"/>
      <c r="M3" s="17"/>
      <c r="N3" s="17"/>
      <c r="O3" s="11"/>
    </row>
    <row r="4" spans="1:15">
      <c r="A4" s="139" t="s">
        <v>50</v>
      </c>
      <c r="B4" s="140"/>
      <c r="C4" s="140"/>
      <c r="D4" s="141"/>
      <c r="E4" s="87" t="s">
        <v>75</v>
      </c>
      <c r="F4" s="88"/>
      <c r="G4" s="88"/>
      <c r="H4" s="12"/>
      <c r="I4" s="84"/>
      <c r="J4" s="17"/>
      <c r="K4" s="17"/>
      <c r="L4" s="17"/>
      <c r="M4" s="17"/>
      <c r="N4" s="17"/>
      <c r="O4" s="11"/>
    </row>
    <row r="5" spans="1:15">
      <c r="A5" s="139"/>
      <c r="B5" s="140"/>
      <c r="C5" s="140"/>
      <c r="D5" s="141"/>
      <c r="E5" s="89"/>
      <c r="F5" s="84"/>
      <c r="G5" s="84"/>
      <c r="H5" s="84"/>
      <c r="I5" s="84"/>
      <c r="J5" s="17"/>
      <c r="K5" s="17"/>
      <c r="L5" s="17"/>
      <c r="M5" s="17"/>
      <c r="N5" s="17"/>
      <c r="O5" s="11"/>
    </row>
    <row r="6" spans="1:15">
      <c r="A6" s="39"/>
      <c r="B6" s="90"/>
      <c r="C6" s="40"/>
      <c r="D6" s="91"/>
      <c r="E6" s="92"/>
      <c r="F6" s="40"/>
      <c r="G6" s="40"/>
      <c r="H6" s="40"/>
      <c r="I6" s="40"/>
      <c r="J6" s="18"/>
      <c r="K6" s="18"/>
      <c r="L6" s="18"/>
      <c r="M6" s="18"/>
      <c r="N6" s="18"/>
      <c r="O6" s="19"/>
    </row>
    <row r="7" spans="1:15">
      <c r="A7" s="44" t="s">
        <v>3</v>
      </c>
      <c r="B7" s="93"/>
      <c r="C7" s="94"/>
      <c r="D7" s="95"/>
      <c r="E7" s="44" t="s">
        <v>4</v>
      </c>
      <c r="F7" s="94"/>
      <c r="G7" s="94"/>
      <c r="H7" s="94"/>
      <c r="I7" s="94"/>
      <c r="J7" s="20"/>
      <c r="K7" s="21"/>
      <c r="L7" s="21"/>
      <c r="M7" s="21"/>
      <c r="N7" s="21"/>
      <c r="O7" s="22"/>
    </row>
    <row r="8" spans="1:15">
      <c r="A8" s="47" t="s">
        <v>42</v>
      </c>
      <c r="B8" s="35"/>
      <c r="C8" s="9"/>
      <c r="D8" s="96"/>
      <c r="E8" s="89"/>
      <c r="F8" s="84"/>
      <c r="G8" s="84"/>
      <c r="H8" s="84"/>
      <c r="I8" s="84"/>
      <c r="J8" s="21"/>
      <c r="K8" s="21"/>
      <c r="L8" s="21"/>
      <c r="M8" s="21"/>
      <c r="N8" s="21"/>
      <c r="O8" s="22"/>
    </row>
    <row r="9" spans="1:15">
      <c r="A9" s="139" t="s">
        <v>52</v>
      </c>
      <c r="B9" s="140"/>
      <c r="C9" s="140"/>
      <c r="D9" s="141"/>
      <c r="E9" s="145"/>
      <c r="F9" s="146"/>
      <c r="G9" s="146"/>
      <c r="H9" s="146"/>
      <c r="I9" s="146"/>
      <c r="J9" s="23"/>
      <c r="K9" s="23"/>
      <c r="L9" s="23"/>
      <c r="M9" s="23"/>
      <c r="N9" s="23"/>
      <c r="O9" s="24"/>
    </row>
    <row r="10" spans="1:15">
      <c r="A10" s="139"/>
      <c r="B10" s="140"/>
      <c r="C10" s="140"/>
      <c r="D10" s="141"/>
      <c r="E10" s="89"/>
      <c r="F10" s="84"/>
      <c r="G10" s="84"/>
      <c r="H10" s="84"/>
      <c r="I10" s="84"/>
      <c r="J10" s="23"/>
      <c r="K10" s="23"/>
      <c r="L10" s="23"/>
      <c r="M10" s="23"/>
      <c r="N10" s="23"/>
      <c r="O10" s="24"/>
    </row>
    <row r="11" spans="1:15">
      <c r="A11" s="44" t="s">
        <v>5</v>
      </c>
      <c r="B11" s="94"/>
      <c r="C11" s="94"/>
      <c r="D11" s="95"/>
      <c r="E11" s="44" t="s">
        <v>6</v>
      </c>
      <c r="F11" s="94"/>
      <c r="G11" s="94"/>
      <c r="H11" s="94"/>
      <c r="I11" s="94"/>
      <c r="J11" s="94"/>
      <c r="K11" s="94"/>
      <c r="L11" s="94"/>
      <c r="M11" s="94"/>
      <c r="N11" s="94"/>
      <c r="O11" s="95"/>
    </row>
    <row r="12" spans="1:15" ht="20.25" customHeight="1">
      <c r="A12" s="47" t="s">
        <v>54</v>
      </c>
      <c r="B12" s="35"/>
      <c r="C12" s="35"/>
      <c r="D12" s="85"/>
      <c r="E12" s="38" t="s">
        <v>43</v>
      </c>
      <c r="F12" s="3"/>
      <c r="G12" s="3"/>
      <c r="H12" s="3"/>
      <c r="I12" s="3"/>
      <c r="J12" s="25"/>
      <c r="K12" s="25"/>
      <c r="L12" s="25"/>
      <c r="M12" s="25"/>
      <c r="N12" s="25"/>
      <c r="O12" s="11"/>
    </row>
    <row r="13" spans="1:15">
      <c r="A13" s="41"/>
      <c r="B13" s="42"/>
      <c r="C13" s="42"/>
      <c r="D13" s="91"/>
      <c r="E13" s="92"/>
      <c r="F13" s="40"/>
      <c r="G13" s="40"/>
      <c r="H13" s="40"/>
      <c r="I13" s="97"/>
      <c r="J13" s="25"/>
      <c r="K13" s="25"/>
      <c r="L13" s="25"/>
      <c r="M13" s="25"/>
      <c r="N13" s="25"/>
      <c r="O13" s="19"/>
    </row>
    <row r="14" spans="1:15">
      <c r="A14" s="44" t="s">
        <v>7</v>
      </c>
      <c r="B14" s="94"/>
      <c r="C14" s="44" t="s">
        <v>8</v>
      </c>
      <c r="D14" s="95"/>
      <c r="E14" s="83" t="s">
        <v>9</v>
      </c>
      <c r="F14" s="46"/>
      <c r="G14" s="46"/>
      <c r="H14" s="46"/>
      <c r="I14" s="49"/>
      <c r="J14" s="16"/>
      <c r="K14" s="16"/>
      <c r="L14" s="16"/>
      <c r="M14" s="16"/>
      <c r="N14" s="16"/>
      <c r="O14" s="11"/>
    </row>
    <row r="15" spans="1:15">
      <c r="A15" s="147"/>
      <c r="B15" s="148"/>
      <c r="C15" s="147"/>
      <c r="D15" s="148"/>
      <c r="E15" s="98"/>
      <c r="F15" s="84"/>
      <c r="G15" s="84"/>
      <c r="H15" s="84"/>
      <c r="I15" s="49"/>
      <c r="J15" s="25"/>
      <c r="K15" s="25"/>
      <c r="L15" s="25"/>
      <c r="M15" s="25"/>
      <c r="N15" s="25"/>
      <c r="O15" s="11"/>
    </row>
    <row r="16" spans="1:15">
      <c r="A16" s="1"/>
      <c r="B16" s="2"/>
      <c r="C16" s="13"/>
      <c r="D16" s="99"/>
      <c r="E16" s="98"/>
      <c r="F16" s="3"/>
      <c r="G16" s="84"/>
      <c r="H16" s="84"/>
      <c r="I16" s="49"/>
      <c r="J16" s="25"/>
      <c r="K16" s="25"/>
      <c r="L16" s="25"/>
      <c r="M16" s="25"/>
      <c r="N16" s="25"/>
      <c r="O16" s="11"/>
    </row>
    <row r="17" spans="1:15">
      <c r="A17" s="44" t="s">
        <v>10</v>
      </c>
      <c r="B17" s="95"/>
      <c r="C17" s="82" t="s">
        <v>11</v>
      </c>
      <c r="D17" s="58"/>
      <c r="E17" s="98"/>
      <c r="F17" s="3"/>
      <c r="G17" s="49"/>
      <c r="H17" s="49"/>
      <c r="I17" s="49"/>
      <c r="J17" s="25"/>
      <c r="K17" s="25"/>
      <c r="L17" s="25"/>
      <c r="M17" s="25"/>
      <c r="N17" s="25"/>
      <c r="O17" s="11"/>
    </row>
    <row r="18" spans="1:15">
      <c r="A18" s="6"/>
      <c r="B18" s="14"/>
      <c r="C18" s="149"/>
      <c r="D18" s="150"/>
      <c r="E18" s="100" t="s">
        <v>12</v>
      </c>
      <c r="F18" s="40" t="s">
        <v>46</v>
      </c>
      <c r="G18" s="40"/>
      <c r="H18" s="40"/>
      <c r="I18" s="40"/>
      <c r="J18" s="26"/>
      <c r="K18" s="25"/>
      <c r="L18" s="25"/>
      <c r="M18" s="25"/>
      <c r="N18" s="25"/>
      <c r="O18" s="11"/>
    </row>
    <row r="19" spans="1:15" ht="24">
      <c r="A19" s="120" t="s">
        <v>13</v>
      </c>
      <c r="B19" s="121" t="s">
        <v>14</v>
      </c>
      <c r="C19" s="121" t="s">
        <v>15</v>
      </c>
      <c r="D19" s="122" t="s">
        <v>16</v>
      </c>
      <c r="E19" s="121" t="s">
        <v>17</v>
      </c>
      <c r="F19" s="121" t="s">
        <v>18</v>
      </c>
      <c r="G19" s="121" t="s">
        <v>19</v>
      </c>
      <c r="H19" s="121" t="s">
        <v>20</v>
      </c>
      <c r="I19" s="121" t="s">
        <v>21</v>
      </c>
      <c r="J19" s="123" t="s">
        <v>22</v>
      </c>
      <c r="K19" s="123" t="s">
        <v>23</v>
      </c>
      <c r="L19" s="124" t="s">
        <v>24</v>
      </c>
      <c r="M19" s="125" t="s">
        <v>25</v>
      </c>
      <c r="N19" s="124" t="s">
        <v>26</v>
      </c>
      <c r="O19" s="126" t="s">
        <v>60</v>
      </c>
    </row>
    <row r="20" spans="1:15" s="79" customFormat="1" ht="20.25" customHeight="1">
      <c r="A20" s="28" t="s">
        <v>27</v>
      </c>
      <c r="B20" s="75" t="s">
        <v>76</v>
      </c>
      <c r="C20" s="75" t="s">
        <v>77</v>
      </c>
      <c r="D20" s="29" t="s">
        <v>44</v>
      </c>
      <c r="E20" s="75">
        <v>5000</v>
      </c>
      <c r="F20" s="101" t="s">
        <v>28</v>
      </c>
      <c r="G20" s="102">
        <v>0.5</v>
      </c>
      <c r="H20" s="103" t="s">
        <v>29</v>
      </c>
      <c r="I20" s="78">
        <f t="shared" ref="I20" si="0">ROUND(E20*G20,2)</f>
        <v>2500</v>
      </c>
      <c r="J20" s="75" t="s">
        <v>45</v>
      </c>
      <c r="K20" s="75"/>
      <c r="L20" s="29" t="s">
        <v>47</v>
      </c>
      <c r="M20" s="29" t="s">
        <v>49</v>
      </c>
      <c r="N20" s="29" t="s">
        <v>48</v>
      </c>
      <c r="O20" s="130">
        <f>PACKING!H22</f>
        <v>2.5</v>
      </c>
    </row>
    <row r="21" spans="1:15" ht="16.5" customHeight="1">
      <c r="A21" s="104"/>
      <c r="J21" s="105"/>
      <c r="K21" s="105"/>
      <c r="L21" s="105"/>
      <c r="M21" s="105"/>
      <c r="N21" s="105"/>
      <c r="O21" s="106"/>
    </row>
    <row r="22" spans="1:15">
      <c r="A22" s="107"/>
      <c r="B22" s="108"/>
      <c r="C22" s="138" t="s">
        <v>30</v>
      </c>
      <c r="D22" s="138"/>
      <c r="E22" s="109">
        <f>SUM(E20:E21)</f>
        <v>5000</v>
      </c>
      <c r="F22" s="15"/>
      <c r="G22" s="110"/>
      <c r="H22" s="110"/>
      <c r="I22" s="111">
        <f>SUM(I20:I21)</f>
        <v>2500</v>
      </c>
      <c r="J22" s="27"/>
      <c r="K22" s="27"/>
      <c r="L22" s="27"/>
      <c r="M22" s="27"/>
      <c r="N22" s="27"/>
      <c r="O22" s="111">
        <f>SUM(O20:O21)</f>
        <v>2.5</v>
      </c>
    </row>
    <row r="24" spans="1:15">
      <c r="B24" s="132" t="s">
        <v>66</v>
      </c>
      <c r="C24" s="132" t="s">
        <v>67</v>
      </c>
      <c r="D24" s="79"/>
    </row>
    <row r="25" spans="1:15">
      <c r="B25" s="132" t="s">
        <v>68</v>
      </c>
      <c r="C25" s="133">
        <v>2358</v>
      </c>
      <c r="D25" s="79"/>
    </row>
    <row r="26" spans="1:15">
      <c r="B26" s="132" t="s">
        <v>69</v>
      </c>
      <c r="C26" s="132" t="s">
        <v>70</v>
      </c>
      <c r="D26" s="79"/>
    </row>
    <row r="27" spans="1:15">
      <c r="B27" s="132" t="s">
        <v>71</v>
      </c>
      <c r="C27" s="132" t="s">
        <v>72</v>
      </c>
      <c r="D27" s="79"/>
    </row>
    <row r="28" spans="1:15">
      <c r="F28" s="112" t="s">
        <v>62</v>
      </c>
      <c r="G28" s="113"/>
      <c r="H28" s="113"/>
      <c r="I28" s="113"/>
    </row>
  </sheetData>
  <mergeCells count="8">
    <mergeCell ref="C22:D22"/>
    <mergeCell ref="A4:D5"/>
    <mergeCell ref="A9:D10"/>
    <mergeCell ref="A1:O1"/>
    <mergeCell ref="E9:I9"/>
    <mergeCell ref="A15:B15"/>
    <mergeCell ref="C15:D15"/>
    <mergeCell ref="C18:D18"/>
  </mergeCells>
  <phoneticPr fontId="13" type="noConversion"/>
  <pageMargins left="0.75" right="0.75" top="1" bottom="1" header="0.5" footer="0.5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9"/>
  <sheetViews>
    <sheetView tabSelected="1" workbookViewId="0">
      <selection activeCell="D29" sqref="D29"/>
    </sheetView>
  </sheetViews>
  <sheetFormatPr defaultColWidth="9" defaultRowHeight="13.5"/>
  <cols>
    <col min="1" max="1" width="5.5" style="30" customWidth="1"/>
    <col min="2" max="2" width="15.125" style="30" customWidth="1"/>
    <col min="3" max="3" width="12.375" style="30" customWidth="1"/>
    <col min="4" max="4" width="9" style="30"/>
    <col min="5" max="5" width="5.25" style="30" customWidth="1"/>
    <col min="6" max="6" width="10.125" style="30"/>
    <col min="7" max="7" width="5.375" style="30" customWidth="1"/>
    <col min="8" max="8" width="7" style="30" customWidth="1"/>
    <col min="9" max="9" width="8.375" style="30" customWidth="1"/>
    <col min="10" max="10" width="12.875" style="30" customWidth="1"/>
    <col min="11" max="16384" width="9" style="30"/>
  </cols>
  <sheetData>
    <row r="1" spans="1:10" ht="20.25">
      <c r="A1" s="161" t="s">
        <v>31</v>
      </c>
      <c r="B1" s="162"/>
      <c r="C1" s="162"/>
      <c r="D1" s="162"/>
      <c r="E1" s="162"/>
      <c r="F1" s="162"/>
      <c r="G1" s="162"/>
      <c r="H1" s="162"/>
      <c r="I1" s="162"/>
      <c r="J1" s="163"/>
    </row>
    <row r="2" spans="1:10" ht="14.25">
      <c r="A2" s="80" t="s">
        <v>1</v>
      </c>
      <c r="B2" s="56"/>
      <c r="C2" s="36"/>
      <c r="D2" s="36"/>
      <c r="E2" s="57"/>
      <c r="F2" s="56" t="s">
        <v>32</v>
      </c>
      <c r="G2" s="36"/>
      <c r="H2" s="36"/>
      <c r="I2" s="36"/>
      <c r="J2" s="11"/>
    </row>
    <row r="3" spans="1:10" ht="15">
      <c r="A3" s="128" t="s">
        <v>41</v>
      </c>
      <c r="B3" s="35"/>
      <c r="C3" s="36"/>
      <c r="D3" s="36"/>
      <c r="E3" s="37"/>
      <c r="F3" s="38" t="str">
        <f>INVOICE!E3</f>
        <v>VF-1141209-01</v>
      </c>
      <c r="G3" s="36"/>
      <c r="H3" s="36"/>
      <c r="I3" s="36"/>
      <c r="J3" s="11"/>
    </row>
    <row r="4" spans="1:10" ht="14.25" customHeight="1">
      <c r="A4" s="165" t="s">
        <v>63</v>
      </c>
      <c r="B4" s="166"/>
      <c r="C4" s="166"/>
      <c r="D4" s="166"/>
      <c r="E4" s="167"/>
      <c r="F4" s="38" t="str">
        <f>INVOICE!E4</f>
        <v>2025.12.09</v>
      </c>
      <c r="G4" s="36"/>
      <c r="H4" s="36"/>
      <c r="I4" s="36"/>
      <c r="J4" s="11"/>
    </row>
    <row r="5" spans="1:10" ht="14.25">
      <c r="A5" s="165"/>
      <c r="B5" s="166"/>
      <c r="C5" s="166"/>
      <c r="D5" s="166"/>
      <c r="E5" s="167"/>
      <c r="F5" s="134" t="s">
        <v>73</v>
      </c>
      <c r="G5" s="135"/>
      <c r="H5" s="135"/>
      <c r="I5" s="135"/>
      <c r="J5" s="11"/>
    </row>
    <row r="6" spans="1:10">
      <c r="A6" s="168"/>
      <c r="B6" s="169"/>
      <c r="C6" s="169"/>
      <c r="D6" s="169"/>
      <c r="E6" s="170"/>
      <c r="F6" s="136" t="s">
        <v>78</v>
      </c>
      <c r="G6" s="137"/>
      <c r="H6" s="137"/>
      <c r="I6" s="137"/>
      <c r="J6" s="43"/>
    </row>
    <row r="7" spans="1:10" ht="14.25">
      <c r="A7" s="44" t="s">
        <v>3</v>
      </c>
      <c r="B7" s="32"/>
      <c r="C7" s="33"/>
      <c r="D7" s="33"/>
      <c r="E7" s="45"/>
      <c r="F7" s="32" t="s">
        <v>33</v>
      </c>
      <c r="G7" s="46"/>
      <c r="H7" s="46"/>
      <c r="I7" s="46"/>
      <c r="J7" s="11"/>
    </row>
    <row r="8" spans="1:10" ht="14.25">
      <c r="A8" s="47" t="s">
        <v>51</v>
      </c>
      <c r="B8" s="35"/>
      <c r="C8" s="36"/>
      <c r="D8" s="36"/>
      <c r="E8" s="37"/>
      <c r="F8" s="48"/>
      <c r="G8" s="49"/>
      <c r="H8" s="49"/>
      <c r="I8" s="49"/>
      <c r="J8" s="11"/>
    </row>
    <row r="9" spans="1:10" ht="14.25">
      <c r="A9" s="154" t="s">
        <v>53</v>
      </c>
      <c r="B9" s="155"/>
      <c r="C9" s="155"/>
      <c r="D9" s="155"/>
      <c r="E9" s="156"/>
      <c r="F9" s="48"/>
      <c r="G9" s="46"/>
      <c r="H9" s="36"/>
      <c r="I9" s="49"/>
      <c r="J9" s="11"/>
    </row>
    <row r="10" spans="1:10" ht="14.25">
      <c r="A10" s="154"/>
      <c r="B10" s="155"/>
      <c r="C10" s="155"/>
      <c r="D10" s="155"/>
      <c r="E10" s="156"/>
      <c r="F10" s="48"/>
      <c r="G10" s="46"/>
      <c r="H10" s="36"/>
      <c r="I10" s="49"/>
      <c r="J10" s="11"/>
    </row>
    <row r="11" spans="1:10" ht="14.25">
      <c r="A11" s="1"/>
      <c r="B11" s="2"/>
      <c r="C11" s="42"/>
      <c r="D11" s="42"/>
      <c r="E11" s="43"/>
      <c r="F11" s="36"/>
      <c r="G11" s="50"/>
      <c r="H11" s="50"/>
      <c r="I11" s="46"/>
      <c r="J11" s="11"/>
    </row>
    <row r="12" spans="1:10" ht="16.5">
      <c r="A12" s="44" t="s">
        <v>5</v>
      </c>
      <c r="B12" s="48"/>
      <c r="C12" s="46"/>
      <c r="D12" s="46"/>
      <c r="E12" s="37"/>
      <c r="F12" s="51"/>
      <c r="G12" s="3"/>
      <c r="H12" s="36"/>
      <c r="I12" s="46"/>
      <c r="J12" s="11"/>
    </row>
    <row r="13" spans="1:10" ht="16.5">
      <c r="A13" s="47" t="s">
        <v>55</v>
      </c>
      <c r="B13" s="52"/>
      <c r="C13" s="52"/>
      <c r="D13" s="52"/>
      <c r="E13" s="37"/>
      <c r="F13" s="51"/>
      <c r="G13" s="3"/>
      <c r="H13" s="36"/>
      <c r="I13" s="46"/>
      <c r="J13" s="11"/>
    </row>
    <row r="14" spans="1:10" ht="14.25">
      <c r="A14" s="47"/>
      <c r="B14" s="52"/>
      <c r="C14" s="36"/>
      <c r="D14" s="36"/>
      <c r="E14" s="53"/>
      <c r="F14" s="46"/>
      <c r="G14" s="46"/>
      <c r="H14" s="46"/>
      <c r="I14" s="46"/>
      <c r="J14" s="11"/>
    </row>
    <row r="15" spans="1:10" ht="14.25">
      <c r="A15" s="41"/>
      <c r="B15" s="42"/>
      <c r="C15" s="42"/>
      <c r="D15" s="42"/>
      <c r="E15" s="43"/>
      <c r="F15" s="164"/>
      <c r="G15" s="164"/>
      <c r="H15" s="4"/>
      <c r="I15" s="54"/>
      <c r="J15" s="11"/>
    </row>
    <row r="16" spans="1:10" ht="14.25">
      <c r="A16" s="31" t="s">
        <v>34</v>
      </c>
      <c r="B16" s="32"/>
      <c r="C16" s="34"/>
      <c r="D16" s="32" t="s">
        <v>35</v>
      </c>
      <c r="E16" s="55"/>
      <c r="F16" s="164"/>
      <c r="G16" s="164"/>
      <c r="H16" s="5"/>
      <c r="I16" s="46"/>
      <c r="J16" s="11"/>
    </row>
    <row r="17" spans="1:10" ht="14.25">
      <c r="A17" s="158"/>
      <c r="B17" s="159"/>
      <c r="C17" s="160"/>
      <c r="D17" s="158"/>
      <c r="E17" s="160"/>
      <c r="F17" s="164"/>
      <c r="G17" s="164"/>
      <c r="H17" s="5"/>
      <c r="I17" s="46"/>
      <c r="J17" s="11"/>
    </row>
    <row r="18" spans="1:10" ht="23.25">
      <c r="A18" s="31" t="s">
        <v>10</v>
      </c>
      <c r="B18" s="56"/>
      <c r="C18" s="57"/>
      <c r="D18" s="117" t="s">
        <v>11</v>
      </c>
      <c r="E18" s="58"/>
      <c r="F18" s="36"/>
      <c r="G18" s="46"/>
      <c r="H18" s="46"/>
      <c r="I18" s="46"/>
      <c r="J18" s="11"/>
    </row>
    <row r="19" spans="1:10" ht="14.25">
      <c r="A19" s="158"/>
      <c r="B19" s="159"/>
      <c r="C19" s="160"/>
      <c r="D19" s="149"/>
      <c r="E19" s="150"/>
      <c r="F19" s="42"/>
      <c r="G19" s="42"/>
      <c r="H19" s="42"/>
      <c r="I19" s="42"/>
      <c r="J19" s="11"/>
    </row>
    <row r="20" spans="1:10">
      <c r="A20" s="173" t="s">
        <v>36</v>
      </c>
      <c r="B20" s="174" t="s">
        <v>15</v>
      </c>
      <c r="C20" s="174" t="s">
        <v>14</v>
      </c>
      <c r="D20" s="157" t="s">
        <v>16</v>
      </c>
      <c r="E20" s="157"/>
      <c r="F20" s="151" t="s">
        <v>17</v>
      </c>
      <c r="G20" s="151" t="s">
        <v>18</v>
      </c>
      <c r="H20" s="119" t="s">
        <v>59</v>
      </c>
      <c r="I20" s="119" t="s">
        <v>58</v>
      </c>
      <c r="J20" s="152" t="s">
        <v>65</v>
      </c>
    </row>
    <row r="21" spans="1:10">
      <c r="A21" s="173"/>
      <c r="B21" s="174"/>
      <c r="C21" s="174"/>
      <c r="D21" s="157"/>
      <c r="E21" s="157"/>
      <c r="F21" s="151"/>
      <c r="G21" s="151"/>
      <c r="H21" s="119" t="s">
        <v>37</v>
      </c>
      <c r="I21" s="119" t="s">
        <v>37</v>
      </c>
      <c r="J21" s="153"/>
    </row>
    <row r="22" spans="1:10" s="79" customFormat="1" ht="18.75" customHeight="1">
      <c r="A22" s="28">
        <v>1</v>
      </c>
      <c r="B22" s="75" t="str">
        <f>INVOICE!C20</f>
        <v xml:space="preserve">2250303826/1.1 </v>
      </c>
      <c r="C22" s="75" t="str">
        <f>INVOICE!B20</f>
        <v xml:space="preserve">48310010VS   </v>
      </c>
      <c r="D22" s="172" t="str">
        <f>INVOICE!D20</f>
        <v>蜂鸣器</v>
      </c>
      <c r="E22" s="172"/>
      <c r="F22" s="76">
        <f>INVOICE!E20</f>
        <v>5000</v>
      </c>
      <c r="G22" s="77" t="s">
        <v>28</v>
      </c>
      <c r="H22" s="78">
        <v>2.5</v>
      </c>
      <c r="I22" s="78">
        <v>5</v>
      </c>
      <c r="J22" s="74" t="s">
        <v>64</v>
      </c>
    </row>
    <row r="23" spans="1:10" ht="20.25" customHeight="1" thickBot="1">
      <c r="A23" s="7"/>
      <c r="B23" s="8"/>
      <c r="C23" s="59"/>
      <c r="D23" s="59"/>
      <c r="E23" s="59"/>
      <c r="F23" s="60"/>
      <c r="G23" s="59"/>
      <c r="H23" s="61"/>
      <c r="I23" s="62"/>
      <c r="J23" s="63"/>
    </row>
    <row r="24" spans="1:10">
      <c r="A24" s="64">
        <f>SUM(A22:A23)</f>
        <v>1</v>
      </c>
      <c r="B24" s="36" t="s">
        <v>57</v>
      </c>
      <c r="C24" s="56"/>
      <c r="D24" s="171" t="s">
        <v>38</v>
      </c>
      <c r="E24" s="171"/>
      <c r="F24" s="129">
        <f>SUM(F22:F23)</f>
        <v>5000</v>
      </c>
      <c r="G24" s="10"/>
      <c r="H24" s="65">
        <f>SUM(H22:H23)</f>
        <v>2.5</v>
      </c>
      <c r="I24" s="65">
        <f>SUM(I22:I23)</f>
        <v>5</v>
      </c>
      <c r="J24" s="66">
        <f>0.42*0.355*0.365*A24</f>
        <v>5.4421499999999991E-2</v>
      </c>
    </row>
    <row r="25" spans="1:10">
      <c r="A25" s="67"/>
      <c r="E25" s="68" t="s">
        <v>39</v>
      </c>
      <c r="F25" s="115">
        <f>A24</f>
        <v>1</v>
      </c>
      <c r="J25" s="131"/>
    </row>
    <row r="26" spans="1:10" ht="24">
      <c r="A26" s="67"/>
      <c r="E26" s="116" t="s">
        <v>40</v>
      </c>
      <c r="F26" s="118" t="s">
        <v>56</v>
      </c>
      <c r="J26" s="69"/>
    </row>
    <row r="27" spans="1:10">
      <c r="A27" s="67"/>
      <c r="E27" s="68"/>
      <c r="F27" s="70"/>
      <c r="J27" s="69"/>
    </row>
    <row r="28" spans="1:10">
      <c r="A28" s="71"/>
      <c r="B28" s="72"/>
      <c r="C28" s="72"/>
      <c r="D28" s="72"/>
      <c r="E28" s="72"/>
      <c r="F28" s="72"/>
      <c r="G28" s="72"/>
      <c r="H28" s="72"/>
      <c r="I28" s="72"/>
      <c r="J28" s="73"/>
    </row>
    <row r="39" spans="5:5" ht="18.75">
      <c r="E39" s="114" t="s">
        <v>61</v>
      </c>
    </row>
  </sheetData>
  <mergeCells count="19">
    <mergeCell ref="D24:E24"/>
    <mergeCell ref="D22:E22"/>
    <mergeCell ref="A20:A21"/>
    <mergeCell ref="B20:B21"/>
    <mergeCell ref="C20:C21"/>
    <mergeCell ref="A1:J1"/>
    <mergeCell ref="F15:G15"/>
    <mergeCell ref="F16:G16"/>
    <mergeCell ref="A17:C17"/>
    <mergeCell ref="D17:E17"/>
    <mergeCell ref="F17:G17"/>
    <mergeCell ref="A4:E6"/>
    <mergeCell ref="F20:F21"/>
    <mergeCell ref="G20:G21"/>
    <mergeCell ref="J20:J21"/>
    <mergeCell ref="A9:E10"/>
    <mergeCell ref="D20:E21"/>
    <mergeCell ref="A19:C19"/>
    <mergeCell ref="D19:E19"/>
  </mergeCells>
  <phoneticPr fontId="13" type="noConversion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acc11</cp:lastModifiedBy>
  <cp:lastPrinted>2025-11-06T02:06:54Z</cp:lastPrinted>
  <dcterms:created xsi:type="dcterms:W3CDTF">2025-07-17T08:11:00Z</dcterms:created>
  <dcterms:modified xsi:type="dcterms:W3CDTF">2025-12-09T01:49:12Z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AB6CE5CA9D464D5CA50786145C3F910A</vt:lpwstr>
  </property>
  <property fmtid="{D5CDD505-2E9C-101B-9397-08002B2CF9AE}" pid="3" name="KSOProductBuildVer">
    <vt:lpwstr>2052-11.8.2.12118</vt:lpwstr>
  </property>
</Properties>
</file>