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sharedStrings.xml><?xml version="1.0" encoding="utf-8"?>
<sst xmlns="http://schemas.openxmlformats.org/spreadsheetml/2006/main" count="151" uniqueCount="78">
  <si>
    <t>COMMERCIAL INVOICE</t>
  </si>
  <si>
    <t>Shipper/Exporter</t>
  </si>
  <si>
    <t>No. &amp; Date of Invoice</t>
  </si>
  <si>
    <t>HongKong Hope Sun Industrial Limited</t>
  </si>
  <si>
    <t>Invoice No</t>
  </si>
  <si>
    <t>NT251212001</t>
  </si>
  <si>
    <t>No. A1, Room 1501, Grand Millennium Plaza, 181 Queen’s Road Central, Hongkong</t>
  </si>
  <si>
    <t>Invoice Date:</t>
  </si>
  <si>
    <t>Bill To:</t>
  </si>
  <si>
    <t xml:space="preserve"> Payment Term</t>
  </si>
  <si>
    <t>Sernet (Suzhou) Technologies Corporation</t>
  </si>
  <si>
    <t>No.8,Tangzhuang Road, Suzhou Industrial Park, Jiangsu, China</t>
  </si>
  <si>
    <t>Ship To:</t>
  </si>
  <si>
    <t xml:space="preserve"> Trade Term</t>
  </si>
  <si>
    <t>DDP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</si>
  <si>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</si>
  <si>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</si>
  <si>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</si>
  <si>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</si>
  <si>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</si>
  <si>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</si>
  <si>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</si>
  <si>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</si>
  <si>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</si>
  <si>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</si>
  <si>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</si>
  <si>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</si>
  <si>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</si>
  <si>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</si>
  <si>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</si>
  <si>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</si>
  <si>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</si>
  <si>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</si>
  <si>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</si>
  <si>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</si>
  <si>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</si>
  <si>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</si>
  <si>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</si>
  <si>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942DE203KP</t>
  </si>
  <si>
    <t>下盖组件</t>
  </si>
  <si>
    <t>SET</t>
  </si>
  <si>
    <t>USD</t>
  </si>
  <si>
    <t>CN</t>
  </si>
  <si>
    <t>无品牌</t>
  </si>
  <si>
    <t>无型号</t>
  </si>
  <si>
    <t>942DE221KP</t>
  </si>
  <si>
    <t>支架</t>
  </si>
  <si>
    <t>PCS</t>
  </si>
  <si>
    <t>942CQK14KP</t>
  </si>
  <si>
    <t>外壳</t>
  </si>
  <si>
    <t>942DB104KP</t>
  </si>
  <si>
    <t>942DKS03KP</t>
  </si>
  <si>
    <t xml:space="preserve">                  TOTAL</t>
  </si>
  <si>
    <t>进境口岸关别代码</t>
  </si>
  <si>
    <t>南通综保（2376）</t>
  </si>
  <si>
    <t>申报地口岸关别代码</t>
  </si>
  <si>
    <t>报关行名称及代码</t>
  </si>
  <si>
    <t>南通煦伟国际货运代理有限公司 3206980081，91320600MA1MH7FP0H</t>
  </si>
  <si>
    <t>关联手册（账册）编码</t>
  </si>
  <si>
    <t>T2376W000083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</si>
  <si>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</si>
  <si>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</si>
  <si>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</si>
  <si>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</si>
  <si>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</si>
  <si>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</si>
  <si>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</si>
  <si>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</si>
  <si>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</si>
  <si>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</si>
  <si>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</si>
  <si>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</si>
  <si>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61*32*24</t>
  </si>
  <si>
    <t>52.3*44.8*20</t>
  </si>
  <si>
    <t>57.5*39*25</t>
  </si>
  <si>
    <t>30*24*20.5</t>
  </si>
  <si>
    <r>
      <rPr>
        <sz val="10"/>
        <rFont val="Arial"/>
        <charset val="134"/>
      </rPr>
      <t>348</t>
    </r>
    <r>
      <rPr>
        <sz val="10"/>
        <rFont val="宋体"/>
        <charset val="134"/>
      </rPr>
      <t>（</t>
    </r>
    <r>
      <rPr>
        <sz val="10"/>
        <rFont val="Arial"/>
        <charset val="134"/>
      </rPr>
      <t>256</t>
    </r>
    <r>
      <rPr>
        <sz val="10"/>
        <rFont val="宋体"/>
        <charset val="134"/>
      </rPr>
      <t>胶框</t>
    </r>
    <r>
      <rPr>
        <sz val="10"/>
        <rFont val="Arial"/>
        <charset val="134"/>
      </rPr>
      <t>+92</t>
    </r>
    <r>
      <rPr>
        <sz val="10"/>
        <rFont val="宋体"/>
        <charset val="134"/>
      </rPr>
      <t>纸箱）</t>
    </r>
  </si>
  <si>
    <t>胶框+纸箱</t>
  </si>
</sst>
</file>

<file path=xl/styles.xml><?xml version="1.0" encoding="utf-8"?>
<styleSheet xmlns="http://schemas.openxmlformats.org/spreadsheetml/2006/main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yyyy&quot;年&quot;m&quot;月&quot;d&quot;日&quot;;@"/>
    <numFmt numFmtId="179" formatCode="yyyy/m/d;@"/>
    <numFmt numFmtId="180" formatCode="0.00_ "/>
    <numFmt numFmtId="181" formatCode="0_ "/>
    <numFmt numFmtId="182" formatCode="0.000_ "/>
    <numFmt numFmtId="183" formatCode="0.00_);[Red]\(0.00\)"/>
    <numFmt numFmtId="184" formatCode="#,##0.00_ "/>
    <numFmt numFmtId="185" formatCode="0.0000_);[Red]\(0.0000\)"/>
  </numFmts>
  <fonts count="3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宋体"/>
      <charset val="134"/>
    </font>
    <font>
      <sz val="10"/>
      <name val="新細明體"/>
      <charset val="134"/>
    </font>
    <font>
      <b/>
      <sz val="10"/>
      <name val="宋体"/>
      <charset val="134"/>
    </font>
    <font>
      <b/>
      <sz val="10"/>
      <name val="新細明體"/>
      <charset val="134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10"/>
      <color indexed="12"/>
      <name val="新細明體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新細明體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8" fillId="13" borderId="15" applyNumberFormat="0" applyAlignment="0" applyProtection="0">
      <alignment vertical="center"/>
    </xf>
    <xf numFmtId="0" fontId="29" fillId="13" borderId="11" applyNumberFormat="0" applyAlignment="0" applyProtection="0">
      <alignment vertical="center"/>
    </xf>
    <xf numFmtId="0" fontId="30" fillId="14" borderId="16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0"/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6" fillId="0" borderId="0"/>
    <xf numFmtId="0" fontId="37" fillId="0" borderId="0"/>
    <xf numFmtId="0" fontId="33" fillId="0" borderId="0"/>
  </cellStyleXfs>
  <cellXfs count="166">
    <xf numFmtId="0" fontId="0" fillId="0" borderId="0" xfId="0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3" borderId="3" xfId="0" applyFont="1" applyFill="1" applyBorder="1" applyAlignment="1"/>
    <xf numFmtId="0" fontId="3" fillId="2" borderId="0" xfId="31" applyFont="1" applyFill="1" applyAlignment="1">
      <alignment horizontal="left"/>
    </xf>
    <xf numFmtId="0" fontId="3" fillId="0" borderId="0" xfId="31" applyFont="1"/>
    <xf numFmtId="0" fontId="3" fillId="3" borderId="3" xfId="0" applyFont="1" applyFill="1" applyBorder="1" applyAlignment="1"/>
    <xf numFmtId="0" fontId="3" fillId="0" borderId="3" xfId="52" applyFont="1" applyBorder="1" applyAlignment="1">
      <alignment horizontal="left" vertical="top" wrapText="1"/>
    </xf>
    <xf numFmtId="0" fontId="3" fillId="0" borderId="0" xfId="52" applyFont="1" applyAlignment="1">
      <alignment horizontal="left" vertical="top" wrapText="1"/>
    </xf>
    <xf numFmtId="179" fontId="3" fillId="3" borderId="3" xfId="0" applyNumberFormat="1" applyFont="1" applyFill="1" applyBorder="1" applyAlignment="1"/>
    <xf numFmtId="178" fontId="3" fillId="0" borderId="0" xfId="31" applyNumberFormat="1" applyFont="1" applyAlignment="1">
      <alignment horizontal="left"/>
    </xf>
    <xf numFmtId="0" fontId="3" fillId="0" borderId="3" xfId="31" applyFont="1" applyBorder="1"/>
    <xf numFmtId="0" fontId="3" fillId="0" borderId="4" xfId="52" applyFont="1" applyBorder="1" applyAlignment="1">
      <alignment horizontal="left"/>
    </xf>
    <xf numFmtId="0" fontId="3" fillId="0" borderId="5" xfId="52" applyFont="1" applyBorder="1"/>
    <xf numFmtId="0" fontId="3" fillId="0" borderId="5" xfId="51" applyFont="1" applyBorder="1"/>
    <xf numFmtId="0" fontId="3" fillId="0" borderId="4" xfId="31" applyFont="1" applyBorder="1"/>
    <xf numFmtId="0" fontId="3" fillId="0" borderId="5" xfId="31" applyFont="1" applyBorder="1"/>
    <xf numFmtId="0" fontId="1" fillId="2" borderId="1" xfId="52" applyFont="1" applyFill="1" applyBorder="1"/>
    <xf numFmtId="0" fontId="3" fillId="2" borderId="2" xfId="31" applyFont="1" applyFill="1" applyBorder="1"/>
    <xf numFmtId="0" fontId="1" fillId="0" borderId="2" xfId="31" applyFont="1" applyBorder="1"/>
    <xf numFmtId="0" fontId="3" fillId="3" borderId="3" xfId="31" applyFont="1" applyFill="1" applyBorder="1" applyAlignment="1">
      <alignment horizontal="left"/>
    </xf>
    <xf numFmtId="0" fontId="3" fillId="2" borderId="0" xfId="31" applyFont="1" applyFill="1"/>
    <xf numFmtId="0" fontId="1" fillId="0" borderId="0" xfId="31" applyFont="1"/>
    <xf numFmtId="0" fontId="3" fillId="0" borderId="0" xfId="52" applyFont="1"/>
    <xf numFmtId="0" fontId="3" fillId="2" borderId="3" xfId="31" applyFont="1" applyFill="1" applyBorder="1" applyAlignment="1">
      <alignment vertical="top" wrapText="1"/>
    </xf>
    <xf numFmtId="0" fontId="3" fillId="2" borderId="0" xfId="31" applyFont="1" applyFill="1" applyAlignment="1">
      <alignment vertical="top" wrapText="1"/>
    </xf>
    <xf numFmtId="0" fontId="3" fillId="0" borderId="4" xfId="0" applyFont="1" applyBorder="1" applyAlignment="1"/>
    <xf numFmtId="0" fontId="3" fillId="0" borderId="5" xfId="0" applyFont="1" applyBorder="1" applyAlignment="1"/>
    <xf numFmtId="0" fontId="5" fillId="0" borderId="0" xfId="31" applyFont="1"/>
    <xf numFmtId="0" fontId="6" fillId="0" borderId="0" xfId="31" applyFont="1"/>
    <xf numFmtId="0" fontId="3" fillId="0" borderId="0" xfId="0" applyFont="1" applyAlignment="1"/>
    <xf numFmtId="0" fontId="3" fillId="0" borderId="0" xfId="31" applyFont="1" applyAlignment="1">
      <alignment horizontal="left"/>
    </xf>
    <xf numFmtId="0" fontId="3" fillId="0" borderId="3" xfId="3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31" applyFont="1" applyAlignment="1">
      <alignment horizontal="center" vertical="center"/>
    </xf>
    <xf numFmtId="0" fontId="1" fillId="0" borderId="1" xfId="31" applyFont="1" applyBorder="1"/>
    <xf numFmtId="0" fontId="7" fillId="0" borderId="6" xfId="31" applyFont="1" applyBorder="1"/>
    <xf numFmtId="180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7" fillId="0" borderId="8" xfId="31" applyFont="1" applyBorder="1"/>
    <xf numFmtId="179" fontId="3" fillId="0" borderId="4" xfId="0" applyNumberFormat="1" applyFont="1" applyBorder="1" applyAlignment="1">
      <alignment horizontal="left"/>
    </xf>
    <xf numFmtId="0" fontId="1" fillId="2" borderId="3" xfId="52" applyFont="1" applyFill="1" applyBorder="1" applyAlignment="1">
      <alignment horizontal="center" vertical="center"/>
    </xf>
    <xf numFmtId="0" fontId="1" fillId="2" borderId="0" xfId="52" applyFont="1" applyFill="1" applyAlignment="1">
      <alignment horizontal="center" vertical="center"/>
    </xf>
    <xf numFmtId="0" fontId="1" fillId="2" borderId="0" xfId="52" applyFont="1" applyFill="1" applyAlignment="1">
      <alignment horizontal="center" vertical="center" wrapText="1"/>
    </xf>
    <xf numFmtId="0" fontId="1" fillId="2" borderId="0" xfId="31" applyFont="1" applyFill="1" applyAlignment="1">
      <alignment horizontal="center" vertical="center"/>
    </xf>
    <xf numFmtId="0" fontId="1" fillId="2" borderId="0" xfId="31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0" xfId="0" applyFont="1" applyFill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181" fontId="3" fillId="3" borderId="0" xfId="0" applyNumberFormat="1" applyFont="1" applyFill="1" applyAlignment="1">
      <alignment horizontal="center" vertical="center" shrinkToFit="1"/>
    </xf>
    <xf numFmtId="182" fontId="3" fillId="3" borderId="0" xfId="0" applyNumberFormat="1" applyFont="1" applyFill="1" applyAlignment="1">
      <alignment horizontal="center" vertical="center" wrapText="1" shrinkToFit="1"/>
    </xf>
    <xf numFmtId="183" fontId="3" fillId="3" borderId="0" xfId="0" applyNumberFormat="1" applyFont="1" applyFill="1" applyAlignment="1">
      <alignment horizontal="center" vertical="center" wrapText="1" shrinkToFit="1"/>
    </xf>
    <xf numFmtId="0" fontId="3" fillId="3" borderId="4" xfId="0" applyFont="1" applyFill="1" applyBorder="1" applyAlignment="1">
      <alignment horizontal="center" vertical="center" wrapText="1" shrinkToFit="1"/>
    </xf>
    <xf numFmtId="0" fontId="3" fillId="3" borderId="5" xfId="0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center" wrapText="1" shrinkToFit="1"/>
    </xf>
    <xf numFmtId="181" fontId="3" fillId="3" borderId="5" xfId="0" applyNumberFormat="1" applyFont="1" applyFill="1" applyBorder="1" applyAlignment="1">
      <alignment horizontal="center" vertical="center" shrinkToFit="1"/>
    </xf>
    <xf numFmtId="182" fontId="3" fillId="3" borderId="5" xfId="0" applyNumberFormat="1" applyFont="1" applyFill="1" applyBorder="1" applyAlignment="1">
      <alignment horizontal="center" vertical="center" wrapText="1" shrinkToFit="1"/>
    </xf>
    <xf numFmtId="183" fontId="3" fillId="3" borderId="5" xfId="0" applyNumberFormat="1" applyFont="1" applyFill="1" applyBorder="1" applyAlignment="1">
      <alignment horizontal="center" vertical="center" wrapText="1" shrinkToFit="1"/>
    </xf>
    <xf numFmtId="181" fontId="1" fillId="3" borderId="3" xfId="31" applyNumberFormat="1" applyFont="1" applyFill="1" applyBorder="1" applyAlignment="1">
      <alignment horizontal="center"/>
    </xf>
    <xf numFmtId="0" fontId="1" fillId="0" borderId="0" xfId="31" applyFont="1" applyAlignment="1">
      <alignment horizontal="left"/>
    </xf>
    <xf numFmtId="182" fontId="1" fillId="3" borderId="0" xfId="31" applyNumberFormat="1" applyFont="1" applyFill="1" applyAlignment="1">
      <alignment horizontal="center"/>
    </xf>
    <xf numFmtId="0" fontId="1" fillId="3" borderId="0" xfId="31" applyFont="1" applyFill="1" applyAlignment="1">
      <alignment horizontal="center"/>
    </xf>
    <xf numFmtId="183" fontId="1" fillId="3" borderId="0" xfId="31" applyNumberFormat="1" applyFont="1" applyFill="1" applyAlignment="1">
      <alignment horizontal="center"/>
    </xf>
    <xf numFmtId="0" fontId="0" fillId="0" borderId="3" xfId="0" applyBorder="1">
      <alignment vertical="center"/>
    </xf>
    <xf numFmtId="0" fontId="3" fillId="3" borderId="0" xfId="31" applyFont="1" applyFill="1" applyAlignment="1">
      <alignment horizontal="center"/>
    </xf>
    <xf numFmtId="0" fontId="4" fillId="3" borderId="0" xfId="31" applyFont="1" applyFill="1"/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6" xfId="31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8" fillId="0" borderId="8" xfId="0" applyFont="1" applyBorder="1" applyAlignment="1"/>
    <xf numFmtId="0" fontId="3" fillId="0" borderId="7" xfId="31" applyFont="1" applyBorder="1"/>
    <xf numFmtId="0" fontId="9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83" fontId="3" fillId="3" borderId="7" xfId="31" applyNumberFormat="1" applyFont="1" applyFill="1" applyBorder="1" applyAlignment="1">
      <alignment horizontal="center" vertical="center" wrapText="1" shrinkToFit="1"/>
    </xf>
    <xf numFmtId="183" fontId="1" fillId="3" borderId="8" xfId="31" applyNumberFormat="1" applyFont="1" applyFill="1" applyBorder="1" applyAlignment="1">
      <alignment horizont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11" fillId="0" borderId="0" xfId="0" applyFont="1">
      <alignment vertical="center"/>
    </xf>
    <xf numFmtId="0" fontId="12" fillId="0" borderId="1" xfId="52" applyFont="1" applyBorder="1" applyAlignment="1">
      <alignment horizontal="center"/>
    </xf>
    <xf numFmtId="0" fontId="12" fillId="0" borderId="2" xfId="52" applyFont="1" applyBorder="1" applyAlignment="1">
      <alignment horizontal="center"/>
    </xf>
    <xf numFmtId="0" fontId="1" fillId="2" borderId="2" xfId="52" applyFont="1" applyFill="1" applyBorder="1"/>
    <xf numFmtId="0" fontId="3" fillId="0" borderId="2" xfId="52" applyFont="1" applyBorder="1"/>
    <xf numFmtId="0" fontId="3" fillId="2" borderId="2" xfId="52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2" borderId="0" xfId="52" applyFont="1" applyFill="1"/>
    <xf numFmtId="49" fontId="3" fillId="2" borderId="0" xfId="52" applyNumberFormat="1" applyFont="1" applyFill="1" applyAlignment="1">
      <alignment horizontal="center"/>
    </xf>
    <xf numFmtId="49" fontId="3" fillId="0" borderId="0" xfId="52" applyNumberFormat="1" applyFont="1" applyAlignment="1">
      <alignment horizontal="center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top" wrapText="1"/>
    </xf>
    <xf numFmtId="178" fontId="3" fillId="2" borderId="0" xfId="0" applyNumberFormat="1" applyFont="1" applyFill="1" applyAlignment="1">
      <alignment horizontal="left"/>
    </xf>
    <xf numFmtId="179" fontId="3" fillId="2" borderId="0" xfId="0" applyNumberFormat="1" applyFont="1" applyFill="1" applyAlignment="1"/>
    <xf numFmtId="179" fontId="3" fillId="0" borderId="0" xfId="0" applyNumberFormat="1" applyFont="1" applyAlignment="1">
      <alignment horizontal="left"/>
    </xf>
    <xf numFmtId="0" fontId="3" fillId="0" borderId="3" xfId="52" applyFont="1" applyBorder="1"/>
    <xf numFmtId="0" fontId="3" fillId="0" borderId="5" xfId="52" applyFont="1" applyBorder="1" applyAlignment="1">
      <alignment horizontal="left"/>
    </xf>
    <xf numFmtId="0" fontId="3" fillId="0" borderId="7" xfId="52" applyFont="1" applyBorder="1"/>
    <xf numFmtId="0" fontId="3" fillId="0" borderId="4" xfId="52" applyFont="1" applyBorder="1"/>
    <xf numFmtId="0" fontId="3" fillId="2" borderId="6" xfId="52" applyFont="1" applyFill="1" applyBorder="1"/>
    <xf numFmtId="0" fontId="1" fillId="0" borderId="1" xfId="52" applyFont="1" applyBorder="1"/>
    <xf numFmtId="0" fontId="3" fillId="3" borderId="3" xfId="31" applyFont="1" applyFill="1" applyBorder="1" applyAlignment="1">
      <alignment horizontal="center"/>
    </xf>
    <xf numFmtId="0" fontId="3" fillId="3" borderId="8" xfId="31" applyFont="1" applyFill="1" applyBorder="1" applyAlignment="1">
      <alignment horizontal="center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0" borderId="3" xfId="52" applyFont="1" applyBorder="1" applyAlignment="1">
      <alignment horizontal="center"/>
    </xf>
    <xf numFmtId="0" fontId="3" fillId="0" borderId="0" xfId="52" applyFont="1" applyAlignment="1">
      <alignment horizontal="center"/>
    </xf>
    <xf numFmtId="0" fontId="3" fillId="0" borderId="6" xfId="52" applyFont="1" applyBorder="1"/>
    <xf numFmtId="0" fontId="3" fillId="2" borderId="0" xfId="0" applyFont="1" applyFill="1" applyAlignment="1"/>
    <xf numFmtId="0" fontId="3" fillId="0" borderId="4" xfId="31" applyFont="1" applyBorder="1" applyAlignment="1">
      <alignment wrapText="1"/>
    </xf>
    <xf numFmtId="0" fontId="3" fillId="0" borderId="5" xfId="31" applyFont="1" applyBorder="1" applyAlignment="1">
      <alignment wrapText="1"/>
    </xf>
    <xf numFmtId="0" fontId="3" fillId="0" borderId="7" xfId="31" applyFont="1" applyBorder="1" applyAlignment="1">
      <alignment wrapText="1"/>
    </xf>
    <xf numFmtId="0" fontId="1" fillId="0" borderId="0" xfId="52" applyFont="1"/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0" xfId="52" applyFont="1"/>
    <xf numFmtId="0" fontId="4" fillId="0" borderId="4" xfId="0" applyFont="1" applyBorder="1" applyAlignment="1"/>
    <xf numFmtId="0" fontId="1" fillId="0" borderId="3" xfId="52" applyFont="1" applyBorder="1"/>
    <xf numFmtId="0" fontId="13" fillId="0" borderId="8" xfId="31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179" fontId="3" fillId="0" borderId="7" xfId="0" applyNumberFormat="1" applyFont="1" applyBorder="1" applyAlignment="1">
      <alignment horizontal="left"/>
    </xf>
    <xf numFmtId="0" fontId="4" fillId="3" borderId="4" xfId="52" applyFont="1" applyFill="1" applyBorder="1"/>
    <xf numFmtId="0" fontId="4" fillId="3" borderId="5" xfId="52" applyFont="1" applyFill="1" applyBorder="1"/>
    <xf numFmtId="0" fontId="1" fillId="0" borderId="3" xfId="52" applyFont="1" applyBorder="1" applyAlignment="1">
      <alignment horizontal="center" vertical="center"/>
    </xf>
    <xf numFmtId="0" fontId="1" fillId="0" borderId="0" xfId="52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shrinkToFit="1"/>
    </xf>
    <xf numFmtId="184" fontId="3" fillId="3" borderId="0" xfId="0" applyNumberFormat="1" applyFont="1" applyFill="1" applyAlignment="1">
      <alignment horizontal="center" vertical="center" wrapText="1" shrinkToFit="1"/>
    </xf>
    <xf numFmtId="185" fontId="3" fillId="3" borderId="0" xfId="0" applyNumberFormat="1" applyFont="1" applyFill="1" applyAlignment="1">
      <alignment horizontal="center" vertical="center" wrapText="1" shrinkToFit="1"/>
    </xf>
    <xf numFmtId="0" fontId="14" fillId="0" borderId="3" xfId="0" applyFont="1" applyBorder="1" applyAlignment="1">
      <alignment horizontal="center" vertical="center"/>
    </xf>
    <xf numFmtId="0" fontId="3" fillId="0" borderId="9" xfId="52" applyFont="1" applyBorder="1"/>
    <xf numFmtId="0" fontId="3" fillId="0" borderId="10" xfId="52" applyFont="1" applyBorder="1"/>
    <xf numFmtId="0" fontId="3" fillId="0" borderId="10" xfId="52" applyFont="1" applyBorder="1" applyAlignment="1">
      <alignment horizontal="left"/>
    </xf>
    <xf numFmtId="182" fontId="1" fillId="3" borderId="10" xfId="52" applyNumberFormat="1" applyFont="1" applyFill="1" applyBorder="1" applyAlignment="1">
      <alignment horizontal="center"/>
    </xf>
    <xf numFmtId="0" fontId="1" fillId="0" borderId="10" xfId="52" applyFont="1" applyBorder="1"/>
    <xf numFmtId="185" fontId="1" fillId="0" borderId="10" xfId="52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6" xfId="52" applyFont="1" applyBorder="1" applyAlignment="1">
      <alignment horizontal="center"/>
    </xf>
    <xf numFmtId="0" fontId="8" fillId="0" borderId="2" xfId="0" applyFont="1" applyBorder="1" applyAlignment="1"/>
    <xf numFmtId="0" fontId="8" fillId="0" borderId="0" xfId="0" applyFont="1" applyAlignment="1"/>
    <xf numFmtId="0" fontId="8" fillId="0" borderId="5" xfId="0" applyFont="1" applyBorder="1">
      <alignment vertical="center"/>
    </xf>
    <xf numFmtId="0" fontId="15" fillId="0" borderId="7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8" fillId="0" borderId="8" xfId="0" applyFont="1" applyBorder="1">
      <alignment vertical="center"/>
    </xf>
    <xf numFmtId="0" fontId="15" fillId="0" borderId="0" xfId="0" applyFont="1">
      <alignment vertical="center"/>
    </xf>
    <xf numFmtId="0" fontId="15" fillId="0" borderId="8" xfId="0" applyFont="1" applyBorder="1">
      <alignment vertical="center"/>
    </xf>
    <xf numFmtId="0" fontId="7" fillId="0" borderId="5" xfId="31" applyFont="1" applyBorder="1"/>
    <xf numFmtId="0" fontId="8" fillId="0" borderId="5" xfId="0" applyFont="1" applyBorder="1" applyAlignment="1"/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 shrinkToFit="1"/>
    </xf>
    <xf numFmtId="183" fontId="1" fillId="3" borderId="10" xfId="52" applyNumberFormat="1" applyFont="1" applyFill="1" applyBorder="1" applyAlignment="1">
      <alignment horizontal="center"/>
    </xf>
    <xf numFmtId="0" fontId="10" fillId="0" borderId="5" xfId="0" applyFont="1" applyBorder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7" xfId="50"/>
    <cellStyle name="常规_啟德一般貿易" xfId="51"/>
    <cellStyle name="一般_OMRON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3"/>
  <sheetViews>
    <sheetView tabSelected="1" topLeftCell="A17" workbookViewId="0">
      <selection activeCell="S25" sqref="S25"/>
    </sheetView>
  </sheetViews>
  <sheetFormatPr defaultColWidth="9" defaultRowHeight="22.5"/>
  <cols>
    <col min="1" max="1" width="5.375" style="87" customWidth="1"/>
    <col min="2" max="2" width="12.125" style="87" customWidth="1"/>
    <col min="3" max="3" width="11.25" style="87" customWidth="1"/>
    <col min="4" max="4" width="9.875" style="87" customWidth="1"/>
    <col min="5" max="5" width="10.75" style="87" customWidth="1"/>
    <col min="6" max="6" width="14.625" style="87" customWidth="1"/>
    <col min="7" max="8" width="9" style="87"/>
    <col min="9" max="9" width="9.75" style="87"/>
    <col min="10" max="10" width="6.375" style="87" customWidth="1"/>
    <col min="11" max="11" width="5.125" style="87" customWidth="1"/>
    <col min="12" max="12" width="7.25" style="87" customWidth="1"/>
    <col min="13" max="13" width="8.125" style="87" customWidth="1"/>
    <col min="14" max="14" width="7.625" style="87" customWidth="1"/>
    <col min="15" max="15" width="7.875" style="87" customWidth="1"/>
    <col min="16" max="16384" width="9" style="87"/>
  </cols>
  <sheetData>
    <row r="1" ht="23.25" spans="1:15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148"/>
    </row>
    <row r="2" ht="13.5" spans="1:15">
      <c r="A2" s="22" t="s">
        <v>1</v>
      </c>
      <c r="B2" s="90"/>
      <c r="C2" s="91"/>
      <c r="D2" s="42"/>
      <c r="E2" s="22" t="s">
        <v>2</v>
      </c>
      <c r="F2" s="92"/>
      <c r="G2" s="92"/>
      <c r="H2" s="91"/>
      <c r="I2" s="91"/>
      <c r="J2" s="149"/>
      <c r="K2" s="149"/>
      <c r="L2" s="149"/>
      <c r="M2" s="149"/>
      <c r="N2" s="149"/>
      <c r="O2" s="78"/>
    </row>
    <row r="3" ht="13.5" spans="1:15">
      <c r="A3" s="93" t="s">
        <v>3</v>
      </c>
      <c r="B3" s="94"/>
      <c r="C3" s="94"/>
      <c r="D3" s="95"/>
      <c r="E3" s="11" t="s">
        <v>4</v>
      </c>
      <c r="F3" s="96" t="s">
        <v>5</v>
      </c>
      <c r="G3" s="97"/>
      <c r="H3" s="98"/>
      <c r="I3" s="28"/>
      <c r="J3" s="150"/>
      <c r="K3" s="150"/>
      <c r="L3" s="150"/>
      <c r="M3" s="150"/>
      <c r="N3" s="150"/>
      <c r="O3" s="78"/>
    </row>
    <row r="4" ht="13.5" spans="1:15">
      <c r="A4" s="99" t="s">
        <v>6</v>
      </c>
      <c r="B4" s="100"/>
      <c r="C4" s="100"/>
      <c r="D4" s="101"/>
      <c r="E4" s="14" t="s">
        <v>7</v>
      </c>
      <c r="F4" s="102">
        <v>46003</v>
      </c>
      <c r="G4" s="103"/>
      <c r="H4" s="104"/>
      <c r="I4" s="28"/>
      <c r="J4" s="150"/>
      <c r="K4" s="150"/>
      <c r="L4" s="150"/>
      <c r="M4" s="150"/>
      <c r="N4" s="150"/>
      <c r="O4" s="78"/>
    </row>
    <row r="5" ht="13.5" spans="1:15">
      <c r="A5" s="99"/>
      <c r="B5" s="100"/>
      <c r="C5" s="100"/>
      <c r="D5" s="101"/>
      <c r="E5" s="105"/>
      <c r="F5" s="28"/>
      <c r="G5" s="28"/>
      <c r="H5" s="28"/>
      <c r="I5" s="28"/>
      <c r="J5" s="150"/>
      <c r="K5" s="150"/>
      <c r="L5" s="150"/>
      <c r="M5" s="150"/>
      <c r="N5" s="150"/>
      <c r="O5" s="78"/>
    </row>
    <row r="6" ht="13.5" spans="1:15">
      <c r="A6" s="17"/>
      <c r="B6" s="106"/>
      <c r="C6" s="18"/>
      <c r="D6" s="107"/>
      <c r="E6" s="108"/>
      <c r="F6" s="18"/>
      <c r="G6" s="18"/>
      <c r="H6" s="18"/>
      <c r="I6" s="18"/>
      <c r="J6" s="151"/>
      <c r="K6" s="151"/>
      <c r="L6" s="151"/>
      <c r="M6" s="151"/>
      <c r="N6" s="151"/>
      <c r="O6" s="152"/>
    </row>
    <row r="7" ht="13.5" spans="1:15">
      <c r="A7" s="22" t="s">
        <v>8</v>
      </c>
      <c r="B7" s="90"/>
      <c r="C7" s="92"/>
      <c r="D7" s="109"/>
      <c r="E7" s="110" t="s">
        <v>9</v>
      </c>
      <c r="F7" s="91"/>
      <c r="G7" s="91"/>
      <c r="H7" s="91"/>
      <c r="I7" s="91"/>
      <c r="J7" s="153"/>
      <c r="K7" s="154"/>
      <c r="L7" s="154"/>
      <c r="M7" s="154"/>
      <c r="N7" s="154"/>
      <c r="O7" s="155"/>
    </row>
    <row r="8" ht="13.5" spans="1:15">
      <c r="A8" s="111" t="s">
        <v>10</v>
      </c>
      <c r="B8" s="72"/>
      <c r="C8" s="72"/>
      <c r="D8" s="112"/>
      <c r="E8" s="105"/>
      <c r="F8" s="28"/>
      <c r="G8" s="28"/>
      <c r="H8" s="28"/>
      <c r="I8" s="28"/>
      <c r="J8" s="154"/>
      <c r="K8" s="154"/>
      <c r="L8" s="154"/>
      <c r="M8" s="154"/>
      <c r="N8" s="154"/>
      <c r="O8" s="155"/>
    </row>
    <row r="9" ht="13.5" spans="1:15">
      <c r="A9" s="113" t="s">
        <v>11</v>
      </c>
      <c r="B9" s="114"/>
      <c r="C9" s="114"/>
      <c r="D9" s="115"/>
      <c r="E9" s="116"/>
      <c r="F9" s="117"/>
      <c r="G9" s="117"/>
      <c r="H9" s="117"/>
      <c r="I9" s="117"/>
      <c r="J9" s="156"/>
      <c r="K9" s="156"/>
      <c r="L9" s="156"/>
      <c r="M9" s="156"/>
      <c r="N9" s="156"/>
      <c r="O9" s="157"/>
    </row>
    <row r="10" ht="13.5" spans="1:15">
      <c r="A10" s="113"/>
      <c r="B10" s="114"/>
      <c r="C10" s="114"/>
      <c r="D10" s="115"/>
      <c r="E10" s="105"/>
      <c r="F10" s="28"/>
      <c r="G10" s="28"/>
      <c r="H10" s="28"/>
      <c r="I10" s="28"/>
      <c r="J10" s="156"/>
      <c r="K10" s="156"/>
      <c r="L10" s="156"/>
      <c r="M10" s="156"/>
      <c r="N10" s="156"/>
      <c r="O10" s="157"/>
    </row>
    <row r="11" ht="13.5" spans="1:15">
      <c r="A11" s="22" t="s">
        <v>12</v>
      </c>
      <c r="B11" s="91"/>
      <c r="C11" s="91"/>
      <c r="D11" s="118"/>
      <c r="E11" s="22" t="s">
        <v>13</v>
      </c>
      <c r="F11" s="92"/>
      <c r="G11" s="92"/>
      <c r="H11" s="92"/>
      <c r="I11" s="92"/>
      <c r="J11" s="91"/>
      <c r="K11" s="91"/>
      <c r="L11" s="91"/>
      <c r="M11" s="91"/>
      <c r="N11" s="91"/>
      <c r="O11" s="118"/>
    </row>
    <row r="12" ht="13.5" spans="1:15">
      <c r="A12" s="111" t="s">
        <v>10</v>
      </c>
      <c r="B12" s="72"/>
      <c r="C12" s="72"/>
      <c r="D12" s="112"/>
      <c r="E12" s="11" t="s">
        <v>14</v>
      </c>
      <c r="F12" s="119"/>
      <c r="G12" s="119"/>
      <c r="H12" s="119"/>
      <c r="I12" s="119"/>
      <c r="J12" s="150"/>
      <c r="K12" s="150"/>
      <c r="L12" s="150"/>
      <c r="M12" s="150"/>
      <c r="N12" s="150"/>
      <c r="O12" s="78"/>
    </row>
    <row r="13" ht="36" customHeight="1" spans="1:15">
      <c r="A13" s="120" t="s">
        <v>11</v>
      </c>
      <c r="B13" s="121"/>
      <c r="C13" s="121"/>
      <c r="D13" s="122"/>
      <c r="E13" s="108"/>
      <c r="F13" s="18"/>
      <c r="G13" s="18"/>
      <c r="H13" s="18"/>
      <c r="I13" s="158"/>
      <c r="J13" s="150"/>
      <c r="K13" s="150"/>
      <c r="L13" s="150"/>
      <c r="M13" s="150"/>
      <c r="N13" s="150"/>
      <c r="O13" s="152"/>
    </row>
    <row r="14" ht="13.5" spans="1:15">
      <c r="A14" s="110" t="s">
        <v>15</v>
      </c>
      <c r="B14" s="91"/>
      <c r="C14" s="110" t="s">
        <v>16</v>
      </c>
      <c r="D14" s="118"/>
      <c r="E14" s="123" t="s">
        <v>17</v>
      </c>
      <c r="F14" s="10"/>
      <c r="G14" s="10"/>
      <c r="H14" s="10"/>
      <c r="I14" s="28"/>
      <c r="J14" s="149"/>
      <c r="K14" s="149"/>
      <c r="L14" s="149"/>
      <c r="M14" s="149"/>
      <c r="N14" s="149"/>
      <c r="O14" s="78"/>
    </row>
    <row r="15" ht="13.5" spans="1:15">
      <c r="A15" s="124"/>
      <c r="B15" s="125"/>
      <c r="C15" s="124"/>
      <c r="D15" s="125"/>
      <c r="E15" s="126"/>
      <c r="F15" s="28"/>
      <c r="G15" s="28"/>
      <c r="H15" s="28"/>
      <c r="I15" s="28"/>
      <c r="J15" s="150"/>
      <c r="K15" s="150"/>
      <c r="L15" s="150"/>
      <c r="M15" s="150"/>
      <c r="N15" s="150"/>
      <c r="O15" s="78"/>
    </row>
    <row r="16" ht="13.5" spans="1:15">
      <c r="A16" s="31"/>
      <c r="B16" s="32"/>
      <c r="C16" s="127"/>
      <c r="D16" s="107"/>
      <c r="E16" s="126"/>
      <c r="F16" s="35"/>
      <c r="G16" s="28"/>
      <c r="H16" s="28"/>
      <c r="I16" s="28"/>
      <c r="J16" s="150"/>
      <c r="K16" s="150"/>
      <c r="L16" s="150"/>
      <c r="M16" s="150"/>
      <c r="N16" s="150"/>
      <c r="O16" s="78"/>
    </row>
    <row r="17" ht="13.5" spans="1:15">
      <c r="A17" s="110" t="s">
        <v>18</v>
      </c>
      <c r="B17" s="118"/>
      <c r="C17" s="128" t="s">
        <v>19</v>
      </c>
      <c r="D17" s="129"/>
      <c r="E17" s="126"/>
      <c r="F17" s="35"/>
      <c r="G17" s="28"/>
      <c r="H17" s="28"/>
      <c r="I17" s="28"/>
      <c r="J17" s="150"/>
      <c r="K17" s="150"/>
      <c r="L17" s="150"/>
      <c r="M17" s="150"/>
      <c r="N17" s="150"/>
      <c r="O17" s="78"/>
    </row>
    <row r="18" ht="13.5" spans="1:15">
      <c r="A18" s="44"/>
      <c r="B18" s="130"/>
      <c r="C18" s="48"/>
      <c r="D18" s="131"/>
      <c r="E18" s="132" t="s">
        <v>20</v>
      </c>
      <c r="F18" s="133" t="s">
        <v>21</v>
      </c>
      <c r="G18" s="18"/>
      <c r="H18" s="18"/>
      <c r="I18" s="18"/>
      <c r="J18" s="159"/>
      <c r="K18" s="150"/>
      <c r="L18" s="150"/>
      <c r="M18" s="150"/>
      <c r="N18" s="150"/>
      <c r="O18" s="78"/>
    </row>
    <row r="19" ht="25.5" spans="1:15">
      <c r="A19" s="134" t="s">
        <v>22</v>
      </c>
      <c r="B19" s="50" t="s">
        <v>23</v>
      </c>
      <c r="C19" s="50" t="s">
        <v>24</v>
      </c>
      <c r="D19" s="135" t="s">
        <v>25</v>
      </c>
      <c r="E19" s="50" t="s">
        <v>26</v>
      </c>
      <c r="F19" s="50" t="s">
        <v>27</v>
      </c>
      <c r="G19" s="50" t="s">
        <v>28</v>
      </c>
      <c r="H19" s="50" t="s">
        <v>29</v>
      </c>
      <c r="I19" s="50" t="s">
        <v>30</v>
      </c>
      <c r="J19" s="160" t="s">
        <v>31</v>
      </c>
      <c r="K19" s="160" t="s">
        <v>32</v>
      </c>
      <c r="L19" s="161" t="s">
        <v>33</v>
      </c>
      <c r="M19" s="161" t="s">
        <v>34</v>
      </c>
      <c r="N19" s="161" t="s">
        <v>35</v>
      </c>
      <c r="O19" s="162" t="s">
        <v>36</v>
      </c>
    </row>
    <row r="20" ht="16.5" spans="1:15">
      <c r="A20" s="136" t="s">
        <v>37</v>
      </c>
      <c r="B20" s="55" t="s">
        <v>38</v>
      </c>
      <c r="C20" s="55">
        <v>2250901366</v>
      </c>
      <c r="D20" s="56" t="s">
        <v>39</v>
      </c>
      <c r="E20" s="55">
        <v>440</v>
      </c>
      <c r="F20" s="137" t="s">
        <v>40</v>
      </c>
      <c r="G20" s="138">
        <v>10.8388</v>
      </c>
      <c r="H20" s="55" t="s">
        <v>41</v>
      </c>
      <c r="I20" s="59">
        <f t="shared" ref="I20" si="0">ROUND(E20*G20,2)</f>
        <v>4769.07</v>
      </c>
      <c r="J20" s="55" t="s">
        <v>42</v>
      </c>
      <c r="K20" s="55"/>
      <c r="L20" s="163" t="s">
        <v>43</v>
      </c>
      <c r="M20" s="163" t="s">
        <v>43</v>
      </c>
      <c r="N20" s="55" t="s">
        <v>44</v>
      </c>
      <c r="O20" s="55">
        <v>575.39</v>
      </c>
    </row>
    <row r="21" ht="16.5" spans="1:15">
      <c r="A21" s="136">
        <v>2</v>
      </c>
      <c r="B21" s="55" t="s">
        <v>38</v>
      </c>
      <c r="C21" s="55">
        <v>2250901366</v>
      </c>
      <c r="D21" s="56" t="s">
        <v>39</v>
      </c>
      <c r="E21" s="55">
        <v>200</v>
      </c>
      <c r="F21" s="137" t="s">
        <v>40</v>
      </c>
      <c r="G21" s="138">
        <v>10.8388</v>
      </c>
      <c r="H21" s="55" t="s">
        <v>41</v>
      </c>
      <c r="I21" s="59">
        <f t="shared" ref="I21:I26" si="1">ROUND(E21*G21,2)</f>
        <v>2167.76</v>
      </c>
      <c r="J21" s="55" t="s">
        <v>42</v>
      </c>
      <c r="K21" s="55"/>
      <c r="L21" s="163" t="s">
        <v>43</v>
      </c>
      <c r="M21" s="163" t="s">
        <v>43</v>
      </c>
      <c r="N21" s="55" t="s">
        <v>44</v>
      </c>
      <c r="O21" s="55">
        <v>261.54</v>
      </c>
    </row>
    <row r="22" ht="16.5" spans="1:15">
      <c r="A22" s="136">
        <v>3</v>
      </c>
      <c r="B22" s="55" t="s">
        <v>45</v>
      </c>
      <c r="C22" s="55">
        <v>2250903224</v>
      </c>
      <c r="D22" s="56" t="s">
        <v>46</v>
      </c>
      <c r="E22" s="55">
        <v>720</v>
      </c>
      <c r="F22" s="137" t="s">
        <v>47</v>
      </c>
      <c r="G22" s="138">
        <v>1.7654</v>
      </c>
      <c r="H22" s="55" t="s">
        <v>41</v>
      </c>
      <c r="I22" s="59">
        <f t="shared" si="1"/>
        <v>1271.09</v>
      </c>
      <c r="J22" s="55" t="s">
        <v>42</v>
      </c>
      <c r="K22" s="55"/>
      <c r="L22" s="163" t="s">
        <v>43</v>
      </c>
      <c r="M22" s="163" t="s">
        <v>43</v>
      </c>
      <c r="N22" s="55" t="s">
        <v>44</v>
      </c>
      <c r="O22" s="55">
        <v>67.68</v>
      </c>
    </row>
    <row r="23" ht="16.5" spans="1:15">
      <c r="A23" s="136">
        <v>4</v>
      </c>
      <c r="B23" s="55" t="s">
        <v>48</v>
      </c>
      <c r="C23" s="55">
        <v>2251002417</v>
      </c>
      <c r="D23" s="56" t="s">
        <v>49</v>
      </c>
      <c r="E23" s="55">
        <v>320</v>
      </c>
      <c r="F23" s="137" t="s">
        <v>47</v>
      </c>
      <c r="G23" s="138">
        <v>4.656</v>
      </c>
      <c r="H23" s="55" t="s">
        <v>41</v>
      </c>
      <c r="I23" s="59">
        <f t="shared" si="1"/>
        <v>1489.92</v>
      </c>
      <c r="J23" s="55" t="s">
        <v>42</v>
      </c>
      <c r="K23" s="55"/>
      <c r="L23" s="163" t="s">
        <v>43</v>
      </c>
      <c r="M23" s="163" t="s">
        <v>43</v>
      </c>
      <c r="N23" s="55" t="s">
        <v>44</v>
      </c>
      <c r="O23" s="55">
        <v>136.26</v>
      </c>
    </row>
    <row r="24" ht="16.5" spans="1:15">
      <c r="A24" s="136">
        <v>5</v>
      </c>
      <c r="B24" s="55" t="s">
        <v>50</v>
      </c>
      <c r="C24" s="55">
        <v>2251102591</v>
      </c>
      <c r="D24" s="56" t="s">
        <v>49</v>
      </c>
      <c r="E24" s="55">
        <v>4080</v>
      </c>
      <c r="F24" s="137" t="s">
        <v>47</v>
      </c>
      <c r="G24" s="138">
        <v>3.589</v>
      </c>
      <c r="H24" s="55" t="s">
        <v>41</v>
      </c>
      <c r="I24" s="59">
        <f t="shared" si="1"/>
        <v>14643.12</v>
      </c>
      <c r="J24" s="55" t="s">
        <v>42</v>
      </c>
      <c r="K24" s="55"/>
      <c r="L24" s="163" t="s">
        <v>43</v>
      </c>
      <c r="M24" s="163" t="s">
        <v>43</v>
      </c>
      <c r="N24" s="55" t="s">
        <v>44</v>
      </c>
      <c r="O24" s="55">
        <v>948.19</v>
      </c>
    </row>
    <row r="25" ht="16.5" spans="1:15">
      <c r="A25" s="136">
        <v>6</v>
      </c>
      <c r="B25" s="55" t="s">
        <v>51</v>
      </c>
      <c r="C25" s="55">
        <v>2250802780</v>
      </c>
      <c r="D25" s="56" t="s">
        <v>49</v>
      </c>
      <c r="E25" s="55">
        <v>104</v>
      </c>
      <c r="F25" s="137" t="s">
        <v>47</v>
      </c>
      <c r="G25" s="138">
        <v>6.4311</v>
      </c>
      <c r="H25" s="55" t="s">
        <v>41</v>
      </c>
      <c r="I25" s="59">
        <f t="shared" si="1"/>
        <v>668.83</v>
      </c>
      <c r="J25" s="55" t="s">
        <v>42</v>
      </c>
      <c r="K25" s="55"/>
      <c r="L25" s="163" t="s">
        <v>43</v>
      </c>
      <c r="M25" s="163" t="s">
        <v>43</v>
      </c>
      <c r="N25" s="55" t="s">
        <v>44</v>
      </c>
      <c r="O25" s="55">
        <v>72.28</v>
      </c>
    </row>
    <row r="26" ht="16.5" spans="1:15">
      <c r="A26" s="139">
        <v>7</v>
      </c>
      <c r="B26" s="55" t="s">
        <v>51</v>
      </c>
      <c r="C26" s="55">
        <v>2250903224</v>
      </c>
      <c r="D26" s="56" t="s">
        <v>49</v>
      </c>
      <c r="E26" s="55">
        <v>1496</v>
      </c>
      <c r="F26" s="137" t="s">
        <v>47</v>
      </c>
      <c r="G26" s="138">
        <v>6.4311</v>
      </c>
      <c r="H26" s="55" t="s">
        <v>41</v>
      </c>
      <c r="I26" s="59">
        <f t="shared" si="1"/>
        <v>9620.93</v>
      </c>
      <c r="J26" s="55" t="s">
        <v>42</v>
      </c>
      <c r="K26" s="55"/>
      <c r="L26" s="163" t="s">
        <v>43</v>
      </c>
      <c r="M26" s="163" t="s">
        <v>43</v>
      </c>
      <c r="N26" s="55" t="s">
        <v>44</v>
      </c>
      <c r="O26" s="55">
        <v>1039.72</v>
      </c>
    </row>
    <row r="27" ht="13.5" spans="1:15">
      <c r="A27" s="140"/>
      <c r="B27" s="141"/>
      <c r="C27" s="142" t="s">
        <v>52</v>
      </c>
      <c r="D27" s="142"/>
      <c r="E27" s="143">
        <f>SUM(E20:E26)</f>
        <v>7360</v>
      </c>
      <c r="F27" s="144"/>
      <c r="G27" s="145"/>
      <c r="H27" s="145"/>
      <c r="I27" s="164">
        <f>SUM(I20:I26)</f>
        <v>34630.72</v>
      </c>
      <c r="J27" s="165"/>
      <c r="K27" s="165"/>
      <c r="L27" s="165"/>
      <c r="M27" s="165"/>
      <c r="N27" s="165"/>
      <c r="O27" s="164">
        <f>SUM(O20:O26)</f>
        <v>3101.06</v>
      </c>
    </row>
    <row r="29" spans="1:9">
      <c r="A29" s="4">
        <v>1</v>
      </c>
      <c r="B29" s="146" t="s">
        <v>53</v>
      </c>
      <c r="C29" s="146"/>
      <c r="D29" s="146" t="s">
        <v>54</v>
      </c>
      <c r="E29" s="146"/>
      <c r="F29" s="146"/>
      <c r="G29" s="147"/>
      <c r="H29" s="147"/>
      <c r="I29" s="147"/>
    </row>
    <row r="30" spans="1:9">
      <c r="A30" s="4">
        <v>2</v>
      </c>
      <c r="B30" s="146" t="s">
        <v>55</v>
      </c>
      <c r="C30" s="146"/>
      <c r="D30" s="146" t="s">
        <v>54</v>
      </c>
      <c r="E30" s="146"/>
      <c r="F30" s="146"/>
      <c r="G30" s="147"/>
      <c r="H30" s="147"/>
      <c r="I30" s="147"/>
    </row>
    <row r="31" ht="13.5" spans="1:9">
      <c r="A31" s="4">
        <v>3</v>
      </c>
      <c r="B31" s="146" t="s">
        <v>56</v>
      </c>
      <c r="C31" s="146"/>
      <c r="D31" s="146" t="s">
        <v>57</v>
      </c>
      <c r="E31" s="146"/>
      <c r="F31" s="146"/>
      <c r="G31" s="146"/>
      <c r="H31" s="146"/>
      <c r="I31" s="146"/>
    </row>
    <row r="32" spans="1:9">
      <c r="A32" s="4">
        <v>4</v>
      </c>
      <c r="B32" s="146" t="s">
        <v>58</v>
      </c>
      <c r="C32" s="146"/>
      <c r="D32" s="146" t="s">
        <v>59</v>
      </c>
      <c r="E32" s="146"/>
      <c r="F32" s="146"/>
      <c r="G32" s="147"/>
      <c r="H32" s="147"/>
      <c r="I32" s="147"/>
    </row>
    <row r="33" ht="13.5" spans="1:6">
      <c r="A33" s="4">
        <v>5</v>
      </c>
      <c r="B33" s="146" t="s">
        <v>60</v>
      </c>
      <c r="C33" s="146"/>
      <c r="D33" s="146" t="s">
        <v>61</v>
      </c>
      <c r="E33" s="146"/>
      <c r="F33" s="146"/>
    </row>
  </sheetData>
  <mergeCells count="22">
    <mergeCell ref="A1:O1"/>
    <mergeCell ref="A3:D3"/>
    <mergeCell ref="A8:D8"/>
    <mergeCell ref="E9:I9"/>
    <mergeCell ref="A12:D12"/>
    <mergeCell ref="A13:D13"/>
    <mergeCell ref="A15:B15"/>
    <mergeCell ref="C15:D15"/>
    <mergeCell ref="C18:D18"/>
    <mergeCell ref="C27:D27"/>
    <mergeCell ref="B29:C29"/>
    <mergeCell ref="D29:F29"/>
    <mergeCell ref="B30:C30"/>
    <mergeCell ref="D30:F30"/>
    <mergeCell ref="B31:C31"/>
    <mergeCell ref="D31:I31"/>
    <mergeCell ref="B32:C32"/>
    <mergeCell ref="D32:F32"/>
    <mergeCell ref="B33:C33"/>
    <mergeCell ref="D33:F33"/>
    <mergeCell ref="A4:D5"/>
    <mergeCell ref="A9:D10"/>
  </mergeCells>
  <pageMargins left="0.75" right="0.75" top="1" bottom="1" header="0.5" footer="0.5"/>
  <pageSetup paperSize="9" scale="6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34"/>
  <sheetViews>
    <sheetView topLeftCell="A19" workbookViewId="0">
      <selection activeCell="G23" sqref="G23"/>
    </sheetView>
  </sheetViews>
  <sheetFormatPr defaultColWidth="9" defaultRowHeight="13.5"/>
  <cols>
    <col min="2" max="2" width="11.125" customWidth="1"/>
    <col min="3" max="3" width="13" customWidth="1"/>
    <col min="4" max="4" width="14.5" customWidth="1"/>
    <col min="5" max="5" width="10.75" customWidth="1"/>
    <col min="6" max="6" width="15.25" customWidth="1"/>
    <col min="7" max="7" width="9.25" customWidth="1"/>
    <col min="8" max="8" width="9.5" customWidth="1"/>
    <col min="9" max="9" width="13.625" customWidth="1"/>
  </cols>
  <sheetData>
    <row r="1" spans="1:9">
      <c r="A1" s="1" t="s">
        <v>62</v>
      </c>
      <c r="B1" s="2"/>
      <c r="C1" s="2"/>
      <c r="D1" s="2"/>
      <c r="E1" s="2"/>
      <c r="F1" s="2"/>
      <c r="G1" s="2"/>
      <c r="H1" s="2"/>
      <c r="I1" s="76"/>
    </row>
    <row r="2" spans="1:9">
      <c r="A2" s="3"/>
      <c r="B2" s="4"/>
      <c r="C2" s="4"/>
      <c r="D2" s="4"/>
      <c r="E2" s="4"/>
      <c r="F2" s="4"/>
      <c r="G2" s="4"/>
      <c r="H2" s="4"/>
      <c r="I2" s="77"/>
    </row>
    <row r="3" spans="1:9">
      <c r="A3" s="5" t="s">
        <v>1</v>
      </c>
      <c r="B3" s="6"/>
      <c r="C3" s="7"/>
      <c r="D3" s="7"/>
      <c r="E3" s="6" t="s">
        <v>63</v>
      </c>
      <c r="F3" s="7"/>
      <c r="G3" s="7"/>
      <c r="H3" s="7"/>
      <c r="I3" s="78"/>
    </row>
    <row r="4" spans="1:9">
      <c r="A4" s="8" t="str">
        <f>INVOICE!A3</f>
        <v>HongKong Hope Sun Industrial Limited</v>
      </c>
      <c r="B4" s="9"/>
      <c r="C4" s="10"/>
      <c r="D4" s="10"/>
      <c r="E4" s="11" t="str">
        <f>INVOICE!E3</f>
        <v>Invoice No</v>
      </c>
      <c r="F4" s="10" t="str">
        <f>INVOICE!F3</f>
        <v>NT251212001</v>
      </c>
      <c r="G4" s="10"/>
      <c r="H4" s="10"/>
      <c r="I4" s="78"/>
    </row>
    <row r="5" spans="1:9">
      <c r="A5" s="12" t="str">
        <f>INVOICE!A4</f>
        <v>No. A1, Room 1501, Grand Millennium Plaza, 181 Queen’s Road Central, Hongkong</v>
      </c>
      <c r="B5" s="13"/>
      <c r="C5" s="13"/>
      <c r="D5" s="13"/>
      <c r="E5" s="14" t="str">
        <f>INVOICE!E4</f>
        <v>Invoice Date:</v>
      </c>
      <c r="F5" s="15">
        <f>INVOICE!F4</f>
        <v>46003</v>
      </c>
      <c r="G5" s="10"/>
      <c r="H5" s="10"/>
      <c r="I5" s="78"/>
    </row>
    <row r="6" spans="1:9">
      <c r="A6" s="12"/>
      <c r="B6" s="13"/>
      <c r="C6" s="13"/>
      <c r="D6" s="13"/>
      <c r="E6" s="16"/>
      <c r="F6" s="10"/>
      <c r="G6" s="10"/>
      <c r="H6" s="10"/>
      <c r="I6" s="78"/>
    </row>
    <row r="7" spans="1:9">
      <c r="A7" s="17"/>
      <c r="B7" s="18"/>
      <c r="C7" s="19"/>
      <c r="D7" s="19"/>
      <c r="E7" s="20"/>
      <c r="F7" s="21"/>
      <c r="G7" s="21"/>
      <c r="H7" s="21"/>
      <c r="I7" s="79"/>
    </row>
    <row r="8" spans="1:9">
      <c r="A8" s="22" t="s">
        <v>8</v>
      </c>
      <c r="B8" s="6"/>
      <c r="C8" s="23"/>
      <c r="D8" s="23"/>
      <c r="E8" s="24" t="s">
        <v>64</v>
      </c>
      <c r="F8" s="10"/>
      <c r="G8" s="10"/>
      <c r="H8" s="10"/>
      <c r="I8" s="78"/>
    </row>
    <row r="9" spans="1:9">
      <c r="A9" s="25" t="str">
        <f>INVOICE!A8</f>
        <v>Sernet (Suzhou) Technologies Corporation</v>
      </c>
      <c r="B9" s="9"/>
      <c r="C9" s="26"/>
      <c r="D9" s="26"/>
      <c r="E9" s="27"/>
      <c r="F9" s="28"/>
      <c r="G9" s="28"/>
      <c r="H9" s="28"/>
      <c r="I9" s="78"/>
    </row>
    <row r="10" spans="1:9">
      <c r="A10" s="29" t="str">
        <f>INVOICE!A9</f>
        <v>No.8,Tangzhuang Road, Suzhou Industrial Park, Jiangsu, China</v>
      </c>
      <c r="B10" s="30"/>
      <c r="C10" s="30"/>
      <c r="D10" s="30"/>
      <c r="E10" s="27"/>
      <c r="F10" s="10"/>
      <c r="G10" s="10"/>
      <c r="H10" s="28"/>
      <c r="I10" s="78"/>
    </row>
    <row r="11" spans="1:9">
      <c r="A11" s="29"/>
      <c r="B11" s="30"/>
      <c r="C11" s="30"/>
      <c r="D11" s="30"/>
      <c r="E11" s="27"/>
      <c r="F11" s="10"/>
      <c r="G11" s="10"/>
      <c r="H11" s="28"/>
      <c r="I11" s="78"/>
    </row>
    <row r="12" spans="1:9">
      <c r="A12" s="31"/>
      <c r="B12" s="32"/>
      <c r="C12" s="21"/>
      <c r="D12" s="21"/>
      <c r="E12" s="10"/>
      <c r="F12" s="33"/>
      <c r="G12" s="33"/>
      <c r="H12" s="10"/>
      <c r="I12" s="78"/>
    </row>
    <row r="13" ht="16.5" spans="1:9">
      <c r="A13" s="22" t="s">
        <v>12</v>
      </c>
      <c r="B13" s="27"/>
      <c r="C13" s="10"/>
      <c r="D13" s="10"/>
      <c r="E13" s="34"/>
      <c r="F13" s="35"/>
      <c r="G13" s="10"/>
      <c r="H13" s="10"/>
      <c r="I13" s="78"/>
    </row>
    <row r="14" ht="16.5" spans="1:9">
      <c r="A14" s="25" t="str">
        <f>INVOICE!A12</f>
        <v>Sernet (Suzhou) Technologies Corporation</v>
      </c>
      <c r="B14" s="36"/>
      <c r="C14" s="36"/>
      <c r="D14" s="36"/>
      <c r="E14" s="34"/>
      <c r="F14" s="35"/>
      <c r="G14" s="10"/>
      <c r="H14" s="10"/>
      <c r="I14" s="78"/>
    </row>
    <row r="15" spans="1:9">
      <c r="A15" s="37" t="str">
        <f>INVOICE!A13</f>
        <v>No.8,Tangzhuang Road, Suzhou Industrial Park, Jiangsu, China</v>
      </c>
      <c r="B15" s="36"/>
      <c r="C15" s="10"/>
      <c r="D15" s="10"/>
      <c r="E15" s="10"/>
      <c r="F15" s="10"/>
      <c r="G15" s="10"/>
      <c r="H15" s="10"/>
      <c r="I15" s="78"/>
    </row>
    <row r="16" spans="1:9">
      <c r="A16" s="20"/>
      <c r="B16" s="21"/>
      <c r="C16" s="21"/>
      <c r="D16" s="21"/>
      <c r="E16" s="38"/>
      <c r="F16" s="38"/>
      <c r="G16" s="39"/>
      <c r="H16" s="40"/>
      <c r="I16" s="78"/>
    </row>
    <row r="17" spans="1:9">
      <c r="A17" s="41" t="s">
        <v>65</v>
      </c>
      <c r="B17" s="24"/>
      <c r="C17" s="42"/>
      <c r="D17" s="24" t="s">
        <v>66</v>
      </c>
      <c r="E17" s="38"/>
      <c r="F17" s="38"/>
      <c r="G17" s="43"/>
      <c r="H17" s="10"/>
      <c r="I17" s="78"/>
    </row>
    <row r="18" spans="1:9">
      <c r="A18" s="44"/>
      <c r="B18" s="45"/>
      <c r="C18" s="46"/>
      <c r="D18" s="44"/>
      <c r="E18" s="38"/>
      <c r="F18" s="38"/>
      <c r="G18" s="43"/>
      <c r="H18" s="10"/>
      <c r="I18" s="78"/>
    </row>
    <row r="19" spans="1:9">
      <c r="A19" s="41" t="s">
        <v>18</v>
      </c>
      <c r="B19" s="27"/>
      <c r="C19" s="47"/>
      <c r="D19" s="24" t="s">
        <v>19</v>
      </c>
      <c r="E19" s="10"/>
      <c r="F19" s="10"/>
      <c r="G19" s="10"/>
      <c r="H19" s="10"/>
      <c r="I19" s="78"/>
    </row>
    <row r="20" spans="1:9">
      <c r="A20" s="44"/>
      <c r="B20" s="45"/>
      <c r="C20" s="46"/>
      <c r="D20" s="48"/>
      <c r="E20" s="21"/>
      <c r="F20" s="21"/>
      <c r="G20" s="21"/>
      <c r="H20" s="21"/>
      <c r="I20" s="78"/>
    </row>
    <row r="21" ht="14.25" customHeight="1" spans="1:9">
      <c r="A21" s="49" t="s">
        <v>67</v>
      </c>
      <c r="B21" s="50" t="s">
        <v>24</v>
      </c>
      <c r="C21" s="50" t="s">
        <v>23</v>
      </c>
      <c r="D21" s="51" t="s">
        <v>25</v>
      </c>
      <c r="E21" s="52" t="s">
        <v>26</v>
      </c>
      <c r="F21" s="52" t="s">
        <v>27</v>
      </c>
      <c r="G21" s="53" t="s">
        <v>68</v>
      </c>
      <c r="H21" s="53" t="s">
        <v>69</v>
      </c>
      <c r="I21" s="80" t="s">
        <v>70</v>
      </c>
    </row>
    <row r="22" spans="1:9">
      <c r="A22" s="49"/>
      <c r="B22" s="50"/>
      <c r="C22" s="50"/>
      <c r="D22" s="51"/>
      <c r="E22" s="52"/>
      <c r="F22" s="52"/>
      <c r="G22" s="53" t="s">
        <v>71</v>
      </c>
      <c r="H22" s="53" t="s">
        <v>71</v>
      </c>
      <c r="I22" s="81"/>
    </row>
    <row r="23" ht="15" customHeight="1" spans="1:9">
      <c r="A23" s="54">
        <v>55</v>
      </c>
      <c r="B23" s="55">
        <v>2250901366</v>
      </c>
      <c r="C23" s="55" t="s">
        <v>38</v>
      </c>
      <c r="D23" s="56" t="s">
        <v>39</v>
      </c>
      <c r="E23" s="57">
        <f>INVOICE!E20</f>
        <v>440</v>
      </c>
      <c r="F23" s="58" t="str">
        <f>INVOICE!F20</f>
        <v>SET</v>
      </c>
      <c r="G23" s="59">
        <f>INVOICE!O20</f>
        <v>575.39</v>
      </c>
      <c r="H23" s="59">
        <v>630.3</v>
      </c>
      <c r="I23" s="82" t="s">
        <v>72</v>
      </c>
    </row>
    <row r="24" ht="15" customHeight="1" spans="1:9">
      <c r="A24" s="54">
        <v>25</v>
      </c>
      <c r="B24" s="55">
        <v>2250901366</v>
      </c>
      <c r="C24" s="55" t="s">
        <v>38</v>
      </c>
      <c r="D24" s="56" t="s">
        <v>39</v>
      </c>
      <c r="E24" s="57">
        <f>INVOICE!E21</f>
        <v>200</v>
      </c>
      <c r="F24" s="58" t="str">
        <f>INVOICE!F21</f>
        <v>SET</v>
      </c>
      <c r="G24" s="59">
        <f>INVOICE!O21</f>
        <v>261.54</v>
      </c>
      <c r="H24" s="59">
        <v>286.5</v>
      </c>
      <c r="I24" s="82" t="s">
        <v>72</v>
      </c>
    </row>
    <row r="25" ht="15" customHeight="1" spans="1:9">
      <c r="A25" s="54">
        <v>12</v>
      </c>
      <c r="B25" s="55">
        <v>2250903224</v>
      </c>
      <c r="C25" s="55" t="s">
        <v>45</v>
      </c>
      <c r="D25" s="56" t="s">
        <v>46</v>
      </c>
      <c r="E25" s="57">
        <f>INVOICE!E22</f>
        <v>720</v>
      </c>
      <c r="F25" s="58" t="str">
        <f>INVOICE!F22</f>
        <v>PCS</v>
      </c>
      <c r="G25" s="59">
        <f>INVOICE!O22</f>
        <v>67.68</v>
      </c>
      <c r="H25" s="59">
        <v>84.288</v>
      </c>
      <c r="I25" s="82" t="s">
        <v>73</v>
      </c>
    </row>
    <row r="26" ht="15" customHeight="1" spans="1:9">
      <c r="A26" s="54">
        <v>20</v>
      </c>
      <c r="B26" s="55">
        <v>2251002417</v>
      </c>
      <c r="C26" s="55" t="s">
        <v>48</v>
      </c>
      <c r="D26" s="56" t="s">
        <v>49</v>
      </c>
      <c r="E26" s="57">
        <f>INVOICE!E23</f>
        <v>320</v>
      </c>
      <c r="F26" s="58" t="str">
        <f>INVOICE!F23</f>
        <v>PCS</v>
      </c>
      <c r="G26" s="59">
        <f>INVOICE!O23</f>
        <v>136.26</v>
      </c>
      <c r="H26" s="59">
        <v>180.5</v>
      </c>
      <c r="I26" s="82" t="s">
        <v>74</v>
      </c>
    </row>
    <row r="27" ht="15" customHeight="1" spans="1:9">
      <c r="A27" s="54">
        <v>136</v>
      </c>
      <c r="B27" s="55">
        <v>2251102591</v>
      </c>
      <c r="C27" s="55" t="s">
        <v>50</v>
      </c>
      <c r="D27" s="56" t="s">
        <v>49</v>
      </c>
      <c r="E27" s="57">
        <f>INVOICE!E24</f>
        <v>4080</v>
      </c>
      <c r="F27" s="58" t="str">
        <f>INVOICE!F24</f>
        <v>PCS</v>
      </c>
      <c r="G27" s="59">
        <f>INVOICE!O24</f>
        <v>948.19</v>
      </c>
      <c r="H27" s="59">
        <v>1254.6</v>
      </c>
      <c r="I27" s="82" t="s">
        <v>75</v>
      </c>
    </row>
    <row r="28" ht="15" customHeight="1" spans="1:9">
      <c r="A28" s="54">
        <v>7</v>
      </c>
      <c r="B28" s="55">
        <v>2250802780</v>
      </c>
      <c r="C28" s="55" t="s">
        <v>51</v>
      </c>
      <c r="D28" s="56" t="s">
        <v>49</v>
      </c>
      <c r="E28" s="57">
        <f>INVOICE!E25</f>
        <v>104</v>
      </c>
      <c r="F28" s="58" t="str">
        <f>INVOICE!F25</f>
        <v>PCS</v>
      </c>
      <c r="G28" s="59">
        <f>INVOICE!O25</f>
        <v>72.28</v>
      </c>
      <c r="H28" s="59">
        <v>87.1975</v>
      </c>
      <c r="I28" s="82" t="s">
        <v>74</v>
      </c>
    </row>
    <row r="29" ht="15" customHeight="1" spans="1:9">
      <c r="A29" s="60">
        <v>93</v>
      </c>
      <c r="B29" s="61">
        <v>2250903224</v>
      </c>
      <c r="C29" s="61" t="s">
        <v>51</v>
      </c>
      <c r="D29" s="62" t="s">
        <v>49</v>
      </c>
      <c r="E29" s="63">
        <f>INVOICE!E26</f>
        <v>1496</v>
      </c>
      <c r="F29" s="64" t="str">
        <f>INVOICE!F26</f>
        <v>PCS</v>
      </c>
      <c r="G29" s="65">
        <f>INVOICE!O26</f>
        <v>1039.72</v>
      </c>
      <c r="H29" s="65">
        <v>1254.3025</v>
      </c>
      <c r="I29" s="83" t="s">
        <v>74</v>
      </c>
    </row>
    <row r="30" ht="15" customHeight="1" spans="1:9">
      <c r="A30" s="66">
        <f>SUM(A23:A29)</f>
        <v>348</v>
      </c>
      <c r="B30" s="10"/>
      <c r="C30" s="27"/>
      <c r="D30" s="67"/>
      <c r="E30" s="68">
        <f>SUM(E23:E29)</f>
        <v>7360</v>
      </c>
      <c r="F30" s="69"/>
      <c r="G30" s="70">
        <f>SUM(G23:G29)</f>
        <v>3101.06</v>
      </c>
      <c r="H30" s="70">
        <f>SUM(H23:H29)</f>
        <v>3777.688</v>
      </c>
      <c r="I30" s="84"/>
    </row>
    <row r="31" spans="1:9">
      <c r="A31" s="71"/>
      <c r="E31" s="72" t="s">
        <v>76</v>
      </c>
      <c r="F31" s="72"/>
      <c r="I31" s="85"/>
    </row>
    <row r="32" spans="1:9">
      <c r="A32" s="71"/>
      <c r="E32" s="73" t="s">
        <v>77</v>
      </c>
      <c r="I32" s="85"/>
    </row>
    <row r="33" spans="1:9">
      <c r="A33" s="71"/>
      <c r="E33" s="73"/>
      <c r="I33" s="85"/>
    </row>
    <row r="34" spans="1:9">
      <c r="A34" s="74"/>
      <c r="B34" s="75"/>
      <c r="C34" s="75"/>
      <c r="D34" s="75"/>
      <c r="E34" s="75"/>
      <c r="F34" s="75"/>
      <c r="G34" s="75"/>
      <c r="H34" s="75"/>
      <c r="I34" s="86"/>
    </row>
  </sheetData>
  <mergeCells count="16">
    <mergeCell ref="A1:I1"/>
    <mergeCell ref="E16:F16"/>
    <mergeCell ref="E17:F17"/>
    <mergeCell ref="A18:C18"/>
    <mergeCell ref="E18:F18"/>
    <mergeCell ref="A20:C20"/>
    <mergeCell ref="E31:F31"/>
    <mergeCell ref="A21:A22"/>
    <mergeCell ref="B21:B22"/>
    <mergeCell ref="C21:C22"/>
    <mergeCell ref="D21:D22"/>
    <mergeCell ref="E21:E22"/>
    <mergeCell ref="F21:F22"/>
    <mergeCell ref="I21:I22"/>
    <mergeCell ref="A5:D6"/>
    <mergeCell ref="A10:D11"/>
  </mergeCells>
  <pageMargins left="0.75" right="0.75" top="1" bottom="1" header="0.5" footer="0.5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cp:lastPrinted>2025-12-12T03:09:00Z</cp:lastPrinted>
  <dcterms:modified xsi:type="dcterms:W3CDTF">2025-12-12T07:34:42Z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D62EAEB39C7640089A0F7467F347608F_13</vt:lpwstr>
  </property>
  <property fmtid="{D5CDD505-2E9C-101B-9397-08002B2CF9AE}" pid="3" name="KSOProductBuildVer">
    <vt:lpwstr>2052-11.8.2.12118</vt:lpwstr>
  </property>
</Properties>
</file>