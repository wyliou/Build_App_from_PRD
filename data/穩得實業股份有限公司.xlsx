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y_Cheng\Desktop\Ivy-原捷徑\★中磊集團\中磊 SN\250815\"/>
    </mc:Choice>
  </mc:AlternateContent>
  <xr:revisionPtr revIDLastSave="0" documentId="13_ncr:1_{7208EE35-BB75-4E95-BECF-CE31606F5F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" sheetId="1" r:id="rId1"/>
    <sheet name="PAK" sheetId="2" r:id="rId2"/>
    <sheet name="合同" sheetId="3" r:id="rId3"/>
  </sheets>
  <definedNames>
    <definedName name="_xlnm.Print_Area" localSheetId="0">INV!$A$1:$O$49</definedName>
    <definedName name="_xlnm.Print_Area" localSheetId="1">PAK!$A$1:$J$58</definedName>
    <definedName name="_xlnm.Print_Titles" localSheetId="0">INV!$17:$17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E44" i="1" l="1"/>
  <c r="I42" i="1"/>
  <c r="I41" i="1"/>
  <c r="I40" i="1"/>
  <c r="I39" i="1"/>
  <c r="E16" i="3"/>
  <c r="A14" i="3"/>
  <c r="A13" i="3"/>
  <c r="A12" i="3"/>
  <c r="A11" i="3"/>
  <c r="A10" i="3"/>
  <c r="A9" i="3"/>
  <c r="A8" i="3"/>
  <c r="B22" i="3" l="1"/>
  <c r="B4" i="3"/>
  <c r="G14" i="3"/>
  <c r="G13" i="3"/>
  <c r="G12" i="3"/>
  <c r="G11" i="3"/>
  <c r="G10" i="3"/>
  <c r="G9" i="3"/>
  <c r="G8" i="3"/>
  <c r="F5" i="2"/>
  <c r="F4" i="2"/>
  <c r="I38" i="1"/>
  <c r="I37" i="1"/>
  <c r="I36" i="1"/>
  <c r="I35" i="1"/>
  <c r="I34" i="1"/>
  <c r="I33" i="1"/>
  <c r="I32" i="1"/>
  <c r="I31" i="1"/>
  <c r="I30" i="1"/>
  <c r="I29" i="1"/>
  <c r="I28" i="1"/>
  <c r="I22" i="1"/>
  <c r="G16" i="3" l="1"/>
  <c r="I27" i="1"/>
  <c r="I26" i="1"/>
  <c r="I25" i="1"/>
  <c r="I24" i="1"/>
  <c r="I23" i="1"/>
  <c r="I21" i="1"/>
  <c r="I47" i="2"/>
  <c r="H47" i="2"/>
  <c r="F47" i="2"/>
  <c r="I20" i="1"/>
  <c r="I19" i="1"/>
  <c r="I18" i="1"/>
  <c r="I44" i="1" l="1"/>
</calcChain>
</file>

<file path=xl/sharedStrings.xml><?xml version="1.0" encoding="utf-8"?>
<sst xmlns="http://schemas.openxmlformats.org/spreadsheetml/2006/main" count="611" uniqueCount="186">
  <si>
    <t>COMMERCIAL INVOICE</t>
  </si>
  <si>
    <t>Bill To:</t>
  </si>
  <si>
    <t>Ship To: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</si>
  <si>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</si>
  <si>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</si>
  <si>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</si>
  <si>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</si>
  <si>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</si>
  <si>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</si>
  <si>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</si>
  <si>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</si>
  <si>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</si>
  <si>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</si>
  <si>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</si>
  <si>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</si>
  <si>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</si>
  <si>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</si>
  <si>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</si>
  <si>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</si>
  <si>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</si>
  <si>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</si>
  <si>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</si>
  <si>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</si>
  <si>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</si>
  <si>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</si>
  <si>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PCS</t>
  </si>
  <si>
    <t>USD</t>
  </si>
  <si>
    <t>2</t>
  </si>
  <si>
    <t>3</t>
  </si>
  <si>
    <t xml:space="preserve">                  TOTAL</t>
  </si>
  <si>
    <t>PACKING LIST</t>
  </si>
  <si>
    <t>Remarks:</t>
  </si>
  <si>
    <t>Port of Departure</t>
  </si>
  <si>
    <t>Port of Arrival</t>
  </si>
  <si>
    <t>CTNS</t>
  </si>
  <si>
    <t>Net WT</t>
  </si>
  <si>
    <t>Gross WT</t>
  </si>
  <si>
    <t>KGS</t>
  </si>
  <si>
    <t>WENDELL INDUSTRIAL CO.,LTD</t>
    <phoneticPr fontId="14" type="noConversion"/>
  </si>
  <si>
    <r>
      <rPr>
        <sz val="10"/>
        <rFont val="微軟正黑體"/>
        <family val="2"/>
        <charset val="136"/>
      </rPr>
      <t>新北市新店區寶橋路</t>
    </r>
    <r>
      <rPr>
        <sz val="10"/>
        <rFont val="Arial"/>
        <family val="2"/>
      </rPr>
      <t>188</t>
    </r>
    <r>
      <rPr>
        <sz val="10"/>
        <rFont val="微軟正黑體"/>
        <family val="2"/>
        <charset val="136"/>
      </rPr>
      <t>號</t>
    </r>
    <r>
      <rPr>
        <sz val="10"/>
        <rFont val="Arial"/>
        <family val="2"/>
      </rPr>
      <t>6</t>
    </r>
    <r>
      <rPr>
        <sz val="10"/>
        <rFont val="微軟正黑體"/>
        <family val="2"/>
        <charset val="136"/>
      </rPr>
      <t>樓及</t>
    </r>
    <r>
      <rPr>
        <sz val="10"/>
        <rFont val="Arial"/>
        <family val="2"/>
      </rPr>
      <t>6</t>
    </r>
    <r>
      <rPr>
        <sz val="10"/>
        <rFont val="微軟正黑體"/>
        <family val="2"/>
        <charset val="136"/>
      </rPr>
      <t>樓之</t>
    </r>
    <r>
      <rPr>
        <sz val="10"/>
        <rFont val="Arial"/>
        <family val="2"/>
      </rPr>
      <t>1</t>
    </r>
    <r>
      <rPr>
        <sz val="10"/>
        <rFont val="Arial"/>
        <family val="2"/>
        <charset val="136"/>
      </rPr>
      <t xml:space="preserve">
6F &amp; 6F-1, No.188, Baociao Rd., Sin-Dian District, New Taipei City 231, Taiwan,China</t>
    </r>
    <phoneticPr fontId="14" type="noConversion"/>
  </si>
  <si>
    <t>FOB Taiwan,China</t>
    <phoneticPr fontId="14" type="noConversion"/>
  </si>
  <si>
    <t>O/A 120 DAYS</t>
  </si>
  <si>
    <t>No.8, Tangzhuang Road, Suzhou Industrial Park, Jiangsu,China</t>
    <phoneticPr fontId="14" type="noConversion"/>
  </si>
  <si>
    <t>No.8,Tangzhuang Road, Suzhou Industrial Park, Jiangsu, China,  215021</t>
    <phoneticPr fontId="14" type="noConversion"/>
  </si>
  <si>
    <t>China</t>
  </si>
  <si>
    <t>Nichtek</t>
  </si>
  <si>
    <r>
      <rPr>
        <sz val="10"/>
        <rFont val="細明體"/>
        <family val="2"/>
        <charset val="136"/>
      </rPr>
      <t>新北市新店區寶橋路</t>
    </r>
    <r>
      <rPr>
        <sz val="10"/>
        <rFont val="Arial"/>
        <family val="2"/>
      </rPr>
      <t>188</t>
    </r>
    <r>
      <rPr>
        <sz val="10"/>
        <rFont val="細明體"/>
        <family val="2"/>
        <charset val="136"/>
      </rPr>
      <t>號</t>
    </r>
    <r>
      <rPr>
        <sz val="10"/>
        <rFont val="Arial"/>
        <family val="2"/>
      </rPr>
      <t>6</t>
    </r>
    <r>
      <rPr>
        <sz val="10"/>
        <rFont val="細明體"/>
        <family val="2"/>
        <charset val="136"/>
      </rPr>
      <t>樓及</t>
    </r>
    <r>
      <rPr>
        <sz val="10"/>
        <rFont val="Arial"/>
        <family val="2"/>
      </rPr>
      <t>6</t>
    </r>
    <r>
      <rPr>
        <sz val="10"/>
        <rFont val="細明體"/>
        <family val="2"/>
        <charset val="136"/>
      </rPr>
      <t>樓之</t>
    </r>
    <r>
      <rPr>
        <sz val="10"/>
        <rFont val="Arial"/>
        <family val="2"/>
      </rPr>
      <t>1
6F &amp; 6F-1, No.188, Baociao Rd., Sin-Dian District, New Taipei City 231, Taiwan,China</t>
    </r>
    <phoneticPr fontId="14" type="noConversion"/>
  </si>
  <si>
    <t>Sernet (Suzhou) Technologies Corporation</t>
    <phoneticPr fontId="14" type="noConversion"/>
  </si>
  <si>
    <t>Description of Goods</t>
    <phoneticPr fontId="14" type="noConversion"/>
  </si>
  <si>
    <t>Diode</t>
  </si>
  <si>
    <t>Taiwan,China</t>
    <phoneticPr fontId="14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</si>
  <si>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</si>
  <si>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</si>
  <si>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</si>
  <si>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</si>
  <si>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</si>
  <si>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</si>
  <si>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</si>
  <si>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</si>
  <si>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</si>
  <si>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</si>
  <si>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</si>
  <si>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</si>
  <si>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</si>
  <si>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</si>
  <si>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Transistor</t>
  </si>
  <si>
    <t>GT9921-600N</t>
  </si>
  <si>
    <t>MEASUREMENT  L*W*H(CM)</t>
    <phoneticPr fontId="14" type="noConversion"/>
  </si>
  <si>
    <t>18</t>
  </si>
  <si>
    <t>19</t>
  </si>
  <si>
    <t>20</t>
  </si>
  <si>
    <t>21</t>
  </si>
  <si>
    <t>TOTAL</t>
  </si>
  <si>
    <t>件数</t>
  </si>
  <si>
    <t>包装种类</t>
  </si>
  <si>
    <t>纸箱</t>
    <phoneticPr fontId="14" type="noConversion"/>
  </si>
  <si>
    <t>产品购销合同</t>
    <phoneticPr fontId="22" type="noConversion"/>
  </si>
  <si>
    <r>
      <t>供</t>
    </r>
    <r>
      <rPr>
        <sz val="11"/>
        <rFont val="Times New Roman"/>
        <family val="1"/>
      </rPr>
      <t xml:space="preserve">    </t>
    </r>
    <r>
      <rPr>
        <sz val="11"/>
        <rFont val="宋体"/>
      </rPr>
      <t>方：穩得實業股份有限公司</t>
    </r>
    <phoneticPr fontId="22" type="noConversion"/>
  </si>
  <si>
    <r>
      <t>需</t>
    </r>
    <r>
      <rPr>
        <sz val="11"/>
        <rFont val="Times New Roman"/>
        <family val="1"/>
      </rPr>
      <t xml:space="preserve">    </t>
    </r>
    <r>
      <rPr>
        <sz val="11"/>
        <rFont val="宋体"/>
      </rPr>
      <t>方：中怡數寬科技有限公司</t>
    </r>
    <phoneticPr fontId="22" type="noConversion"/>
  </si>
  <si>
    <r>
      <rPr>
        <sz val="11"/>
        <rFont val="宋体"/>
      </rPr>
      <t>合同号</t>
    </r>
    <r>
      <rPr>
        <sz val="11"/>
        <rFont val="Times New Roman"/>
        <family val="1"/>
      </rPr>
      <t>:</t>
    </r>
    <phoneticPr fontId="22" type="noConversion"/>
  </si>
  <si>
    <t>一、产品名称、型号、数量及金额</t>
  </si>
  <si>
    <t>合同号</t>
    <phoneticPr fontId="22" type="noConversion"/>
  </si>
  <si>
    <t>品名及料号</t>
    <phoneticPr fontId="22" type="noConversion"/>
  </si>
  <si>
    <t>单位</t>
    <phoneticPr fontId="22" type="noConversion"/>
  </si>
  <si>
    <t>数量</t>
    <phoneticPr fontId="22" type="noConversion"/>
  </si>
  <si>
    <t>单价</t>
    <phoneticPr fontId="22" type="noConversion"/>
  </si>
  <si>
    <t>金额</t>
    <phoneticPr fontId="22" type="noConversion"/>
  </si>
  <si>
    <t>币制</t>
    <phoneticPr fontId="22" type="noConversion"/>
  </si>
  <si>
    <t>PCS</t>
    <phoneticPr fontId="22" type="noConversion"/>
  </si>
  <si>
    <r>
      <t>二、交</t>
    </r>
    <r>
      <rPr>
        <sz val="12"/>
        <rFont val="Times New Roman"/>
        <family val="1"/>
      </rPr>
      <t>(</t>
    </r>
    <r>
      <rPr>
        <sz val="12"/>
        <rFont val="宋体"/>
      </rPr>
      <t>提</t>
    </r>
    <r>
      <rPr>
        <sz val="12"/>
        <rFont val="Times New Roman"/>
        <family val="1"/>
      </rPr>
      <t>)</t>
    </r>
    <r>
      <rPr>
        <sz val="12"/>
        <rFont val="宋体"/>
      </rPr>
      <t>货地点、方式：中怡数宽科技（苏州）有限公司</t>
    </r>
    <phoneticPr fontId="22" type="noConversion"/>
  </si>
  <si>
    <r>
      <t>三、运输方式及到达站港口和费用负担：</t>
    </r>
    <r>
      <rPr>
        <sz val="12"/>
        <rFont val="Times New Roman"/>
        <family val="1"/>
      </rPr>
      <t xml:space="preserve"> FOB </t>
    </r>
    <r>
      <rPr>
        <sz val="12"/>
        <rFont val="宋体"/>
      </rPr>
      <t>供方承担运费</t>
    </r>
    <r>
      <rPr>
        <sz val="12"/>
        <rFont val="Times New Roman"/>
        <family val="1"/>
      </rPr>
      <t xml:space="preserve">                                               </t>
    </r>
    <phoneticPr fontId="22" type="noConversion"/>
  </si>
  <si>
    <t>四、包装标准、包装物的供应与回收和费用负担：供方</t>
  </si>
  <si>
    <r>
      <t>五、验收标准、方法及提出议期限：</t>
    </r>
    <r>
      <rPr>
        <sz val="12"/>
        <rFont val="Times New Roman"/>
        <family val="1"/>
      </rPr>
      <t>1</t>
    </r>
    <r>
      <rPr>
        <sz val="12"/>
        <rFont val="Helv"/>
        <family val="2"/>
      </rPr>
      <t>个月</t>
    </r>
  </si>
  <si>
    <r>
      <t>六、交货日期：</t>
    </r>
    <r>
      <rPr>
        <sz val="12"/>
        <rFont val="Times New Roman"/>
        <family val="1"/>
      </rPr>
      <t/>
    </r>
    <phoneticPr fontId="22" type="noConversion"/>
  </si>
  <si>
    <t>七、结算方式：月結 120天</t>
    <phoneticPr fontId="22" type="noConversion"/>
  </si>
  <si>
    <r>
      <t xml:space="preserve">                       </t>
    </r>
    <r>
      <rPr>
        <sz val="10"/>
        <rFont val="宋体"/>
      </rPr>
      <t>供方：</t>
    </r>
  </si>
  <si>
    <t>需方：</t>
  </si>
  <si>
    <t>单位名称：</t>
    <phoneticPr fontId="22" type="noConversion"/>
  </si>
  <si>
    <t>穩得實業股份有限公司</t>
    <phoneticPr fontId="30" type="noConversion"/>
  </si>
  <si>
    <t xml:space="preserve">     单位名称：中怡（苏州）科技有限公司</t>
    <phoneticPr fontId="22" type="noConversion"/>
  </si>
  <si>
    <t>单位名称：中怡数宽科技（苏州）有限公司</t>
    <phoneticPr fontId="22" type="noConversion"/>
  </si>
  <si>
    <t>单位地址：</t>
    <phoneticPr fontId="22" type="noConversion"/>
  </si>
  <si>
    <t>新北市新店區寶橋路188號6樓及6樓之一</t>
    <phoneticPr fontId="30" type="noConversion"/>
  </si>
  <si>
    <r>
      <t>单位地址：蘇州工業園區唐莊路</t>
    </r>
    <r>
      <rPr>
        <sz val="10"/>
        <rFont val="Times New Roman"/>
        <family val="1"/>
      </rPr>
      <t>8</t>
    </r>
    <r>
      <rPr>
        <sz val="10"/>
        <rFont val="宋体"/>
      </rPr>
      <t>號</t>
    </r>
  </si>
  <si>
    <r>
      <rPr>
        <sz val="10"/>
        <rFont val="宋体"/>
      </rPr>
      <t>单位地址：蘇州工業園區唐莊路</t>
    </r>
    <r>
      <rPr>
        <sz val="10"/>
        <rFont val="Times New Roman"/>
        <family val="1"/>
      </rPr>
      <t>8</t>
    </r>
    <r>
      <rPr>
        <sz val="10"/>
        <rFont val="宋体"/>
      </rPr>
      <t>號</t>
    </r>
    <phoneticPr fontId="22" type="noConversion"/>
  </si>
  <si>
    <r>
      <t xml:space="preserve">        </t>
    </r>
    <r>
      <rPr>
        <sz val="10"/>
        <rFont val="宋体"/>
      </rPr>
      <t>电话：</t>
    </r>
    <phoneticPr fontId="22" type="noConversion"/>
  </si>
  <si>
    <r>
      <t>0</t>
    </r>
    <r>
      <rPr>
        <sz val="10"/>
        <rFont val="宋体"/>
      </rPr>
      <t>2 2917-5770</t>
    </r>
    <phoneticPr fontId="30" type="noConversion"/>
  </si>
  <si>
    <t xml:space="preserve">     蘇州市高新區大同路8號
</t>
    <phoneticPr fontId="22" type="noConversion"/>
  </si>
  <si>
    <r>
      <t xml:space="preserve">        </t>
    </r>
    <r>
      <rPr>
        <sz val="10"/>
        <rFont val="宋体"/>
      </rPr>
      <t>传真：</t>
    </r>
    <phoneticPr fontId="30" type="noConversion"/>
  </si>
  <si>
    <r>
      <t>0</t>
    </r>
    <r>
      <rPr>
        <sz val="10"/>
        <rFont val="宋体"/>
      </rPr>
      <t>2 2917-3752</t>
    </r>
    <phoneticPr fontId="30" type="noConversion"/>
  </si>
  <si>
    <t xml:space="preserve">                            </t>
  </si>
  <si>
    <t>Nichtek-GT9921-600N</t>
    <phoneticPr fontId="14" type="noConversion"/>
  </si>
  <si>
    <r>
      <t>Attn : Eleana Zhang(</t>
    </r>
    <r>
      <rPr>
        <sz val="10"/>
        <rFont val="細明體"/>
        <family val="3"/>
        <charset val="136"/>
      </rPr>
      <t>張平</t>
    </r>
    <r>
      <rPr>
        <sz val="10"/>
        <rFont val="Arial"/>
        <family val="2"/>
      </rPr>
      <t>) Tel : 86-512 6761 3993  ext: 6555</t>
    </r>
  </si>
  <si>
    <t>30133310NK</t>
  </si>
  <si>
    <t>2250303695</t>
  </si>
  <si>
    <t>2250402796</t>
  </si>
  <si>
    <t>30194110NK</t>
  </si>
  <si>
    <t>32199210NK</t>
  </si>
  <si>
    <t>2250303746</t>
  </si>
  <si>
    <t>Nichtek-D1215-3R3</t>
  </si>
  <si>
    <t>Nichtek-D9411-580F</t>
  </si>
  <si>
    <t>Nichtek-GT9921-600N</t>
  </si>
  <si>
    <t>D1215-3R3</t>
  </si>
  <si>
    <t>D9411-580F</t>
  </si>
  <si>
    <t>22</t>
  </si>
  <si>
    <t>23</t>
  </si>
  <si>
    <t>24</t>
  </si>
  <si>
    <t>25</t>
  </si>
  <si>
    <t>Nichtek-D1215-3R3</t>
    <phoneticPr fontId="14" type="noConversion"/>
  </si>
  <si>
    <t>Nichtek-D9411-580F</t>
    <phoneticPr fontId="14" type="noConversion"/>
  </si>
  <si>
    <t>WENDELL INDUSTRIAL CO.,LTD</t>
    <phoneticPr fontId="30" type="noConversion"/>
  </si>
  <si>
    <t>AUTHORIZED SIGNATURE</t>
    <phoneticPr fontId="30" type="noConversion"/>
  </si>
  <si>
    <t>No.8,Tangzhuang Road, Suzhou Industrial Park, Jiangsu, China,  215021</t>
  </si>
  <si>
    <r>
      <t>Attn : Eleana Zhang(</t>
    </r>
    <r>
      <rPr>
        <sz val="10"/>
        <rFont val="細明體"/>
        <family val="2"/>
        <charset val="136"/>
      </rPr>
      <t>張平</t>
    </r>
    <r>
      <rPr>
        <sz val="10"/>
        <rFont val="Arial"/>
        <family val="2"/>
      </rPr>
      <t>) Tel : 86-512 6761 3993  ext: 6555</t>
    </r>
    <phoneticPr fontId="14" type="noConversion"/>
  </si>
  <si>
    <t>Payment Term:</t>
    <phoneticPr fontId="14" type="noConversion"/>
  </si>
  <si>
    <t>Trade Term:</t>
    <phoneticPr fontId="14" type="noConversion"/>
  </si>
  <si>
    <t>No. &amp; Date of Invoice:</t>
    <phoneticPr fontId="14" type="noConversion"/>
  </si>
  <si>
    <t>Shipper/Exporter:</t>
    <phoneticPr fontId="14" type="noConversion"/>
  </si>
  <si>
    <t>No &amp; Date of Invoice:</t>
    <phoneticPr fontId="14" type="noConversion"/>
  </si>
  <si>
    <t>Morrison Express(Air)</t>
    <phoneticPr fontId="14" type="noConversion"/>
  </si>
  <si>
    <t>2250500410</t>
  </si>
  <si>
    <t>2250500829</t>
  </si>
  <si>
    <t>30133310NK</t>
    <phoneticPr fontId="14" type="noConversion"/>
  </si>
  <si>
    <t>30194110NK</t>
    <phoneticPr fontId="14" type="noConversion"/>
  </si>
  <si>
    <t>32199210NK</t>
    <phoneticPr fontId="14" type="noConversion"/>
  </si>
  <si>
    <t>"</t>
    <phoneticPr fontId="14" type="noConversion"/>
  </si>
  <si>
    <t>1</t>
    <phoneticPr fontId="14" type="noConversion"/>
  </si>
  <si>
    <t>2</t>
    <phoneticPr fontId="14" type="noConversion"/>
  </si>
  <si>
    <t>3</t>
    <phoneticPr fontId="14" type="noConversion"/>
  </si>
  <si>
    <t>4</t>
    <phoneticPr fontId="14" type="noConversion"/>
  </si>
  <si>
    <t>5</t>
    <phoneticPr fontId="14" type="noConversion"/>
  </si>
  <si>
    <t>6</t>
    <phoneticPr fontId="14" type="noConversion"/>
  </si>
  <si>
    <t>7</t>
    <phoneticPr fontId="14" type="noConversion"/>
  </si>
  <si>
    <r>
      <rPr>
        <sz val="10"/>
        <color theme="1"/>
        <rFont val="微軟正黑體"/>
        <family val="2"/>
        <charset val="136"/>
      </rPr>
      <t>境外品牌</t>
    </r>
    <r>
      <rPr>
        <sz val="10"/>
        <color theme="1"/>
        <rFont val="Abadi"/>
        <family val="2"/>
      </rPr>
      <t>(</t>
    </r>
    <r>
      <rPr>
        <sz val="10"/>
        <color theme="1"/>
        <rFont val="Microsoft JhengHei"/>
        <family val="2"/>
      </rPr>
      <t>其他</t>
    </r>
    <r>
      <rPr>
        <sz val="10"/>
        <color theme="1"/>
        <rFont val="Abadi"/>
        <family val="2"/>
      </rPr>
      <t>)</t>
    </r>
    <phoneticPr fontId="14" type="noConversion"/>
  </si>
  <si>
    <t>QWD910-INV250815004</t>
    <phoneticPr fontId="14" type="noConversion"/>
  </si>
  <si>
    <t>Nichtek-R6E14-201A</t>
    <phoneticPr fontId="14" type="noConversion"/>
  </si>
  <si>
    <t>Nichtek-Z6114-430B</t>
    <phoneticPr fontId="14" type="noConversion"/>
  </si>
  <si>
    <t>Nichtek-E4215-5R0</t>
    <phoneticPr fontId="14" type="noConversion"/>
  </si>
  <si>
    <t>Nichtek-GT9921-400P</t>
    <phoneticPr fontId="14" type="noConversion"/>
  </si>
  <si>
    <t>301ES1D0NK</t>
  </si>
  <si>
    <t>2241200664</t>
  </si>
  <si>
    <t>30261140NK</t>
  </si>
  <si>
    <t>30442150NK</t>
  </si>
  <si>
    <t>2250800633</t>
  </si>
  <si>
    <t>2250403043</t>
  </si>
  <si>
    <t>2250403298</t>
  </si>
  <si>
    <t>32299210NK</t>
  </si>
  <si>
    <t>ESD SUPPRESSOR</t>
  </si>
  <si>
    <t>Nichtek-R6E14-201A</t>
  </si>
  <si>
    <t>Nichtek-Z6114-430B</t>
  </si>
  <si>
    <t>Nichtek-E4215-5R0</t>
  </si>
  <si>
    <t>Nichtek-GT9921-400P</t>
  </si>
  <si>
    <t>R6E14-201A</t>
  </si>
  <si>
    <t>Z6114-430B</t>
  </si>
  <si>
    <t>E4215-5R0</t>
  </si>
  <si>
    <t>GT9921-400P</t>
  </si>
  <si>
    <t>301ES1D0NK</t>
    <phoneticPr fontId="14" type="noConversion"/>
  </si>
  <si>
    <t>30261140NK</t>
    <phoneticPr fontId="14" type="noConversion"/>
  </si>
  <si>
    <t>30442150NK</t>
    <phoneticPr fontId="14" type="noConversion"/>
  </si>
  <si>
    <t>32299210NK</t>
    <phoneticPr fontId="14" type="noConversion"/>
  </si>
  <si>
    <t>Nichtek-GT9921-600N</t>
    <phoneticPr fontId="14" type="noConversion"/>
  </si>
  <si>
    <t>38*20*21</t>
    <phoneticPr fontId="14" type="noConversion"/>
  </si>
  <si>
    <t>37*37*18</t>
    <phoneticPr fontId="14" type="noConversion"/>
  </si>
  <si>
    <t>19*9*20</t>
    <phoneticPr fontId="14" type="noConversion"/>
  </si>
  <si>
    <t>38*29*22</t>
    <phoneticPr fontId="14" type="noConversion"/>
  </si>
  <si>
    <t>0.10m³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</si>
</sst>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0.0000_);[Red]\(0.0000\)"/>
    <numFmt numFmtId="182" formatCode="_-* #,##0_-;\-* #,##0_-;_-* &quot;-&quot;??_-;_-@_-"/>
    <numFmt numFmtId="183" formatCode="_-* #,##0.00000_-;\-* #,##0.00000_-;_-* &quot;-&quot;??_-;_-@_-"/>
    <numFmt numFmtId="184" formatCode="0.00;[Red]0.00"/>
    <numFmt numFmtId="185" formatCode="#,##0_ "/>
    <numFmt numFmtId="186" formatCode="#########0.00000"/>
  </numFmts>
  <fonts count="52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name val="Arial"/>
      <family val="2"/>
    </font>
    <font>
      <sz val="10"/>
      <color rgb="FFFF0000"/>
      <name val="宋体"/>
      <family val="3"/>
      <charset val="136"/>
    </font>
    <font>
      <sz val="10"/>
      <name val="宋体"/>
    </font>
    <font>
      <sz val="10"/>
      <name val="微软雅黑"/>
      <family val="2"/>
    </font>
    <font>
      <sz val="10"/>
      <color rgb="FFFF0000"/>
      <name val="Arial"/>
      <family val="2"/>
    </font>
    <font>
      <sz val="10"/>
      <name val="新細明體"/>
      <family val="1"/>
      <charset val="136"/>
    </font>
    <font>
      <b/>
      <sz val="10"/>
      <name val="宋体"/>
    </font>
    <font>
      <sz val="18"/>
      <color theme="1"/>
      <name val="新細明體"/>
      <family val="1"/>
      <charset val="136"/>
      <scheme val="minor"/>
    </font>
    <font>
      <b/>
      <sz val="18"/>
      <name val="Arial"/>
      <family val="2"/>
    </font>
    <font>
      <sz val="10"/>
      <color indexed="12"/>
      <name val="新細明體"/>
      <family val="1"/>
      <charset val="136"/>
    </font>
    <font>
      <sz val="12"/>
      <name val="宋体"/>
    </font>
    <font>
      <sz val="9"/>
      <name val="新細明體"/>
      <family val="3"/>
      <charset val="136"/>
      <scheme val="minor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10"/>
      <name val="細明體"/>
      <family val="2"/>
      <charset val="136"/>
    </font>
    <font>
      <sz val="11"/>
      <color theme="1"/>
      <name val="Abadi"/>
      <family val="2"/>
    </font>
    <font>
      <b/>
      <sz val="10"/>
      <name val="微軟正黑體"/>
      <family val="2"/>
      <charset val="136"/>
    </font>
    <font>
      <sz val="12"/>
      <name val="宋体"/>
    </font>
    <font>
      <sz val="18"/>
      <name val="細明體"/>
      <family val="3"/>
      <charset val="136"/>
    </font>
    <font>
      <sz val="9"/>
      <name val="宋体"/>
    </font>
    <font>
      <sz val="18"/>
      <name val="黑体"/>
      <family val="3"/>
    </font>
    <font>
      <sz val="12"/>
      <name val="新細明體"/>
      <family val="1"/>
      <charset val="136"/>
    </font>
    <font>
      <sz val="11"/>
      <name val="宋体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Helv"/>
      <family val="2"/>
    </font>
    <font>
      <sz val="10"/>
      <color indexed="8"/>
      <name val="Verdana"/>
      <family val="2"/>
    </font>
    <font>
      <sz val="9"/>
      <name val="新細明體"/>
      <family val="1"/>
      <charset val="136"/>
    </font>
    <font>
      <sz val="10"/>
      <name val="Verdana"/>
      <family val="2"/>
    </font>
    <font>
      <sz val="10"/>
      <name val="宋体"/>
    </font>
    <font>
      <sz val="12"/>
      <name val="Times New Roman"/>
      <family val="1"/>
    </font>
    <font>
      <sz val="12"/>
      <name val="Helv"/>
      <family val="2"/>
    </font>
    <font>
      <sz val="12"/>
      <color rgb="FF0070C0"/>
      <name val="Helv"/>
      <family val="2"/>
    </font>
    <font>
      <sz val="10"/>
      <name val="Times New Roman"/>
      <family val="1"/>
    </font>
    <font>
      <sz val="10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宋体"/>
    </font>
    <font>
      <sz val="10"/>
      <color theme="1"/>
      <name val="Arial"/>
      <family val="2"/>
    </font>
    <font>
      <sz val="10"/>
      <color theme="1"/>
      <name val="Abadi"/>
      <family val="2"/>
    </font>
    <font>
      <b/>
      <sz val="10"/>
      <name val="Times New Roman"/>
      <family val="1"/>
    </font>
    <font>
      <sz val="11"/>
      <name val="Arial"/>
      <family val="2"/>
    </font>
    <font>
      <sz val="11"/>
      <color rgb="FFFF0000"/>
      <name val="宋体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Microsoft JhengHei"/>
      <family val="2"/>
    </font>
    <font>
      <sz val="10"/>
      <color theme="1"/>
      <name val="Abad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20" fillId="0" borderId="0"/>
    <xf numFmtId="0" fontId="24" fillId="0" borderId="0"/>
    <xf numFmtId="43" fontId="24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3" fillId="0" borderId="2" xfId="1" applyFont="1" applyBorder="1"/>
    <xf numFmtId="0" fontId="3" fillId="0" borderId="7" xfId="2" applyFont="1" applyBorder="1"/>
    <xf numFmtId="0" fontId="3" fillId="0" borderId="6" xfId="1" applyFont="1" applyBorder="1"/>
    <xf numFmtId="0" fontId="3" fillId="0" borderId="7" xfId="1" applyFont="1" applyBorder="1"/>
    <xf numFmtId="0" fontId="1" fillId="2" borderId="1" xfId="2" applyFont="1" applyFill="1" applyBorder="1"/>
    <xf numFmtId="0" fontId="3" fillId="2" borderId="2" xfId="1" applyFont="1" applyFill="1" applyBorder="1"/>
    <xf numFmtId="0" fontId="3" fillId="0" borderId="6" xfId="0" applyFont="1" applyBorder="1" applyAlignment="1"/>
    <xf numFmtId="0" fontId="4" fillId="0" borderId="5" xfId="1" applyFont="1" applyBorder="1"/>
    <xf numFmtId="0" fontId="7" fillId="0" borderId="5" xfId="1" applyFont="1" applyBorder="1" applyAlignment="1">
      <alignment horizontal="right"/>
    </xf>
    <xf numFmtId="0" fontId="0" fillId="0" borderId="3" xfId="0" applyBorder="1">
      <alignment vertical="center"/>
    </xf>
    <xf numFmtId="0" fontId="8" fillId="0" borderId="5" xfId="0" applyFont="1" applyBorder="1" applyAlignment="1"/>
    <xf numFmtId="0" fontId="1" fillId="2" borderId="2" xfId="2" applyFont="1" applyFill="1" applyBorder="1"/>
    <xf numFmtId="0" fontId="3" fillId="0" borderId="2" xfId="2" applyFont="1" applyBorder="1"/>
    <xf numFmtId="0" fontId="3" fillId="2" borderId="2" xfId="2" applyFont="1" applyFill="1" applyBorder="1"/>
    <xf numFmtId="0" fontId="3" fillId="0" borderId="5" xfId="2" applyFont="1" applyBorder="1"/>
    <xf numFmtId="0" fontId="3" fillId="0" borderId="3" xfId="2" applyFont="1" applyBorder="1"/>
    <xf numFmtId="0" fontId="3" fillId="0" borderId="6" xfId="2" applyFont="1" applyBorder="1"/>
    <xf numFmtId="0" fontId="3" fillId="2" borderId="4" xfId="2" applyFont="1" applyFill="1" applyBorder="1"/>
    <xf numFmtId="0" fontId="1" fillId="0" borderId="1" xfId="2" applyFont="1" applyBorder="1"/>
    <xf numFmtId="0" fontId="1" fillId="2" borderId="5" xfId="1" applyFont="1" applyFill="1" applyBorder="1" applyAlignment="1">
      <alignment horizontal="left"/>
    </xf>
    <xf numFmtId="0" fontId="3" fillId="0" borderId="4" xfId="2" applyFont="1" applyBorder="1"/>
    <xf numFmtId="0" fontId="1" fillId="0" borderId="3" xfId="2" applyFont="1" applyBorder="1"/>
    <xf numFmtId="0" fontId="8" fillId="0" borderId="5" xfId="0" applyFont="1" applyBorder="1">
      <alignment vertical="center"/>
    </xf>
    <xf numFmtId="0" fontId="12" fillId="0" borderId="5" xfId="0" applyFont="1" applyBorder="1">
      <alignment vertical="center"/>
    </xf>
    <xf numFmtId="0" fontId="8" fillId="0" borderId="7" xfId="0" applyFont="1" applyBorder="1" applyAlignment="1"/>
    <xf numFmtId="0" fontId="1" fillId="2" borderId="3" xfId="2" applyFont="1" applyFill="1" applyBorder="1"/>
    <xf numFmtId="0" fontId="3" fillId="0" borderId="3" xfId="0" applyFont="1" applyBorder="1" applyAlignment="1"/>
    <xf numFmtId="0" fontId="8" fillId="0" borderId="8" xfId="0" applyFont="1" applyBorder="1" applyAlignment="1"/>
    <xf numFmtId="0" fontId="3" fillId="2" borderId="7" xfId="0" applyFont="1" applyFill="1" applyBorder="1" applyAlignment="1"/>
    <xf numFmtId="0" fontId="2" fillId="0" borderId="7" xfId="0" applyFont="1" applyBorder="1">
      <alignment vertical="center"/>
    </xf>
    <xf numFmtId="0" fontId="7" fillId="0" borderId="3" xfId="0" applyFont="1" applyBorder="1" applyAlignment="1"/>
    <xf numFmtId="176" fontId="7" fillId="0" borderId="3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5" xfId="1" applyFont="1" applyBorder="1" applyAlignment="1">
      <alignment horizontal="left" vertical="center" wrapText="1"/>
    </xf>
    <xf numFmtId="0" fontId="16" fillId="0" borderId="7" xfId="2" applyFont="1" applyBorder="1" applyAlignment="1">
      <alignment horizontal="left" vertical="center" wrapText="1"/>
    </xf>
    <xf numFmtId="0" fontId="1" fillId="0" borderId="3" xfId="1" applyFont="1" applyBorder="1"/>
    <xf numFmtId="0" fontId="6" fillId="0" borderId="3" xfId="1" applyFont="1" applyBorder="1"/>
    <xf numFmtId="0" fontId="3" fillId="0" borderId="3" xfId="1" applyFont="1" applyBorder="1"/>
    <xf numFmtId="0" fontId="3" fillId="2" borderId="5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20" fillId="0" borderId="0" xfId="5" applyFont="1" applyAlignment="1">
      <alignment vertical="center"/>
    </xf>
    <xf numFmtId="0" fontId="25" fillId="0" borderId="0" xfId="4" applyFont="1"/>
    <xf numFmtId="0" fontId="0" fillId="0" borderId="0" xfId="4" applyFont="1"/>
    <xf numFmtId="0" fontId="0" fillId="0" borderId="0" xfId="4" applyFont="1" applyAlignment="1">
      <alignment horizontal="center"/>
    </xf>
    <xf numFmtId="184" fontId="0" fillId="0" borderId="0" xfId="4" applyNumberFormat="1" applyFont="1" applyAlignment="1">
      <alignment horizontal="center"/>
    </xf>
    <xf numFmtId="0" fontId="25" fillId="0" borderId="0" xfId="4" applyFont="1" applyAlignment="1">
      <alignment vertical="center"/>
    </xf>
    <xf numFmtId="0" fontId="26" fillId="0" borderId="0" xfId="5" applyFont="1" applyAlignment="1">
      <alignment horizontal="left"/>
    </xf>
    <xf numFmtId="0" fontId="28" fillId="0" borderId="0" xfId="4" applyFont="1" applyAlignment="1">
      <alignment horizontal="center"/>
    </xf>
    <xf numFmtId="184" fontId="28" fillId="0" borderId="0" xfId="4" applyNumberFormat="1" applyFont="1" applyAlignment="1">
      <alignment horizontal="center"/>
    </xf>
    <xf numFmtId="0" fontId="28" fillId="0" borderId="0" xfId="4" applyFont="1"/>
    <xf numFmtId="0" fontId="25" fillId="0" borderId="0" xfId="5" applyFont="1" applyAlignment="1">
      <alignment vertical="center"/>
    </xf>
    <xf numFmtId="0" fontId="20" fillId="0" borderId="12" xfId="5" applyFont="1" applyBorder="1" applyAlignment="1">
      <alignment horizontal="center" vertical="center"/>
    </xf>
    <xf numFmtId="49" fontId="29" fillId="0" borderId="12" xfId="5" applyNumberFormat="1" applyFont="1" applyBorder="1" applyAlignment="1">
      <alignment horizontal="left" vertical="top"/>
    </xf>
    <xf numFmtId="0" fontId="31" fillId="0" borderId="12" xfId="4" applyFont="1" applyBorder="1" applyAlignment="1">
      <alignment horizontal="center"/>
    </xf>
    <xf numFmtId="0" fontId="31" fillId="0" borderId="12" xfId="4" applyFont="1" applyBorder="1" applyAlignment="1">
      <alignment horizontal="center" vertical="center"/>
    </xf>
    <xf numFmtId="185" fontId="29" fillId="0" borderId="12" xfId="5" applyNumberFormat="1" applyFont="1" applyBorder="1" applyAlignment="1">
      <alignment horizontal="right" vertical="top"/>
    </xf>
    <xf numFmtId="183" fontId="31" fillId="0" borderId="12" xfId="6" applyNumberFormat="1" applyFont="1" applyFill="1" applyBorder="1" applyAlignment="1">
      <alignment horizontal="center" vertical="center"/>
    </xf>
    <xf numFmtId="43" fontId="31" fillId="0" borderId="12" xfId="6" applyFont="1" applyFill="1" applyBorder="1" applyAlignment="1">
      <alignment horizontal="center" vertical="center"/>
    </xf>
    <xf numFmtId="49" fontId="31" fillId="0" borderId="12" xfId="4" applyNumberFormat="1" applyFont="1" applyBorder="1" applyAlignment="1">
      <alignment horizontal="center" vertical="center"/>
    </xf>
    <xf numFmtId="0" fontId="32" fillId="0" borderId="0" xfId="5" applyFont="1" applyAlignment="1">
      <alignment vertical="center"/>
    </xf>
    <xf numFmtId="186" fontId="31" fillId="0" borderId="12" xfId="4" applyNumberFormat="1" applyFont="1" applyBorder="1" applyAlignment="1">
      <alignment horizontal="center" vertical="center"/>
    </xf>
    <xf numFmtId="0" fontId="20" fillId="0" borderId="0" xfId="4"/>
    <xf numFmtId="0" fontId="34" fillId="0" borderId="0" xfId="4" applyFont="1"/>
    <xf numFmtId="0" fontId="20" fillId="0" borderId="0" xfId="5" applyFont="1"/>
    <xf numFmtId="0" fontId="0" fillId="0" borderId="0" xfId="4" applyFont="1" applyAlignment="1">
      <alignment wrapText="1"/>
    </xf>
    <xf numFmtId="176" fontId="35" fillId="0" borderId="0" xfId="4" applyNumberFormat="1" applyFont="1" applyAlignment="1">
      <alignment horizontal="left"/>
    </xf>
    <xf numFmtId="0" fontId="36" fillId="0" borderId="0" xfId="4" applyFont="1"/>
    <xf numFmtId="0" fontId="32" fillId="0" borderId="0" xfId="4" applyFont="1" applyAlignment="1">
      <alignment horizontal="center"/>
    </xf>
    <xf numFmtId="0" fontId="32" fillId="0" borderId="0" xfId="4" applyFont="1"/>
    <xf numFmtId="0" fontId="32" fillId="0" borderId="0" xfId="4" applyFont="1" applyAlignment="1">
      <alignment horizontal="left"/>
    </xf>
    <xf numFmtId="0" fontId="32" fillId="0" borderId="0" xfId="4" applyFont="1" applyAlignment="1">
      <alignment wrapText="1"/>
    </xf>
    <xf numFmtId="0" fontId="36" fillId="0" borderId="0" xfId="4" applyFont="1" applyAlignment="1">
      <alignment horizontal="left" vertical="center"/>
    </xf>
    <xf numFmtId="0" fontId="32" fillId="0" borderId="0" xfId="4" applyFont="1" applyAlignment="1">
      <alignment vertical="center"/>
    </xf>
    <xf numFmtId="0" fontId="0" fillId="0" borderId="2" xfId="0" applyBorder="1">
      <alignment vertical="center"/>
    </xf>
    <xf numFmtId="0" fontId="29" fillId="0" borderId="12" xfId="5" applyFont="1" applyBorder="1" applyAlignment="1">
      <alignment horizontal="left" vertical="top"/>
    </xf>
    <xf numFmtId="0" fontId="10" fillId="0" borderId="3" xfId="0" applyFont="1" applyBorder="1">
      <alignment vertical="center"/>
    </xf>
    <xf numFmtId="0" fontId="10" fillId="0" borderId="2" xfId="0" applyFont="1" applyBorder="1">
      <alignment vertical="center"/>
    </xf>
    <xf numFmtId="0" fontId="11" fillId="0" borderId="2" xfId="2" applyFont="1" applyBorder="1" applyAlignment="1">
      <alignment horizontal="center"/>
    </xf>
    <xf numFmtId="0" fontId="1" fillId="2" borderId="0" xfId="2" applyFont="1" applyFill="1"/>
    <xf numFmtId="0" fontId="3" fillId="0" borderId="0" xfId="2" applyFont="1"/>
    <xf numFmtId="0" fontId="3" fillId="2" borderId="0" xfId="2" applyFont="1" applyFill="1"/>
    <xf numFmtId="0" fontId="8" fillId="0" borderId="0" xfId="0" applyFont="1" applyAlignment="1"/>
    <xf numFmtId="0" fontId="10" fillId="0" borderId="0" xfId="0" applyFont="1">
      <alignment vertical="center"/>
    </xf>
    <xf numFmtId="0" fontId="3" fillId="2" borderId="0" xfId="1" applyFont="1" applyFill="1" applyAlignment="1">
      <alignment horizontal="left" vertical="center"/>
    </xf>
    <xf numFmtId="49" fontId="3" fillId="2" borderId="0" xfId="2" applyNumberFormat="1" applyFont="1" applyFill="1" applyAlignment="1">
      <alignment horizontal="center"/>
    </xf>
    <xf numFmtId="49" fontId="3" fillId="0" borderId="0" xfId="2" applyNumberFormat="1" applyFont="1" applyAlignment="1">
      <alignment horizontal="center"/>
    </xf>
    <xf numFmtId="176" fontId="3" fillId="2" borderId="0" xfId="0" applyNumberFormat="1" applyFont="1" applyFill="1" applyAlignment="1"/>
    <xf numFmtId="176" fontId="3" fillId="0" borderId="0" xfId="0" applyNumberFormat="1" applyFont="1" applyAlignment="1">
      <alignment horizontal="left"/>
    </xf>
    <xf numFmtId="0" fontId="8" fillId="0" borderId="0" xfId="0" applyFont="1">
      <alignment vertical="center"/>
    </xf>
    <xf numFmtId="0" fontId="3" fillId="2" borderId="0" xfId="1" applyFont="1" applyFill="1" applyAlignment="1">
      <alignment horizontal="left"/>
    </xf>
    <xf numFmtId="0" fontId="1" fillId="2" borderId="0" xfId="1" applyFont="1" applyFill="1" applyAlignment="1">
      <alignment horizontal="left"/>
    </xf>
    <xf numFmtId="0" fontId="12" fillId="0" borderId="0" xfId="0" applyFont="1">
      <alignment vertical="center"/>
    </xf>
    <xf numFmtId="0" fontId="3" fillId="0" borderId="0" xfId="1" applyFont="1" applyAlignment="1">
      <alignment horizontal="left"/>
    </xf>
    <xf numFmtId="0" fontId="3" fillId="2" borderId="0" xfId="0" applyFont="1" applyFill="1" applyAlignment="1"/>
    <xf numFmtId="0" fontId="1" fillId="0" borderId="0" xfId="2" applyFont="1"/>
    <xf numFmtId="0" fontId="3" fillId="0" borderId="0" xfId="1" applyFont="1"/>
    <xf numFmtId="0" fontId="5" fillId="0" borderId="0" xfId="2" applyFont="1"/>
    <xf numFmtId="0" fontId="3" fillId="0" borderId="0" xfId="0" applyFont="1" applyAlignment="1"/>
    <xf numFmtId="0" fontId="41" fillId="0" borderId="0" xfId="0" applyFont="1" applyAlignment="1">
      <alignment horizontal="center" vertical="center" wrapText="1"/>
    </xf>
    <xf numFmtId="43" fontId="43" fillId="0" borderId="0" xfId="0" applyNumberFormat="1" applyFont="1" applyAlignment="1">
      <alignment horizontal="center"/>
    </xf>
    <xf numFmtId="43" fontId="43" fillId="0" borderId="0" xfId="0" applyNumberFormat="1" applyFont="1" applyAlignment="1">
      <alignment horizontal="center" vertical="center"/>
    </xf>
    <xf numFmtId="0" fontId="44" fillId="0" borderId="0" xfId="0" applyFont="1">
      <alignment vertical="center"/>
    </xf>
    <xf numFmtId="0" fontId="2" fillId="0" borderId="0" xfId="0" applyFont="1">
      <alignment vertical="center"/>
    </xf>
    <xf numFmtId="0" fontId="16" fillId="0" borderId="0" xfId="2" applyFont="1" applyAlignment="1">
      <alignment horizontal="left" vertical="center" wrapText="1"/>
    </xf>
    <xf numFmtId="0" fontId="3" fillId="2" borderId="0" xfId="1" applyFont="1" applyFill="1"/>
    <xf numFmtId="0" fontId="1" fillId="0" borderId="0" xfId="1" applyFont="1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2" fontId="18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182" fontId="18" fillId="0" borderId="0" xfId="0" applyNumberFormat="1" applyFont="1" applyAlignment="1"/>
    <xf numFmtId="0" fontId="38" fillId="0" borderId="0" xfId="0" applyFont="1">
      <alignment vertical="center"/>
    </xf>
    <xf numFmtId="0" fontId="25" fillId="0" borderId="0" xfId="1" applyFont="1" applyAlignment="1">
      <alignment horizontal="center" vertical="center"/>
    </xf>
    <xf numFmtId="179" fontId="48" fillId="0" borderId="0" xfId="1" applyNumberFormat="1" applyFont="1" applyAlignment="1">
      <alignment horizontal="right"/>
    </xf>
    <xf numFmtId="0" fontId="25" fillId="0" borderId="0" xfId="1" applyFont="1" applyAlignment="1">
      <alignment horizontal="right"/>
    </xf>
    <xf numFmtId="0" fontId="5" fillId="0" borderId="0" xfId="1" applyFont="1"/>
    <xf numFmtId="0" fontId="1" fillId="0" borderId="3" xfId="0" applyFont="1" applyBorder="1" applyAlignment="1"/>
    <xf numFmtId="0" fontId="1" fillId="0" borderId="3" xfId="1" applyFont="1" applyBorder="1" applyAlignment="1">
      <alignment horizontal="left"/>
    </xf>
    <xf numFmtId="0" fontId="3" fillId="0" borderId="3" xfId="0" applyFont="1" applyBorder="1">
      <alignment vertical="center"/>
    </xf>
    <xf numFmtId="0" fontId="3" fillId="0" borderId="0" xfId="2" applyFont="1" applyAlignment="1">
      <alignment vertical="center"/>
    </xf>
    <xf numFmtId="49" fontId="18" fillId="0" borderId="0" xfId="0" applyNumberFormat="1" applyFont="1" applyAlignment="1">
      <alignment horizontal="center"/>
    </xf>
    <xf numFmtId="182" fontId="42" fillId="0" borderId="0" xfId="0" applyNumberFormat="1" applyFont="1" applyAlignment="1">
      <alignment horizontal="center"/>
    </xf>
    <xf numFmtId="182" fontId="43" fillId="0" borderId="0" xfId="0" applyNumberFormat="1" applyFont="1" applyAlignment="1"/>
    <xf numFmtId="182" fontId="43" fillId="0" borderId="0" xfId="0" applyNumberFormat="1" applyFont="1" applyAlignment="1">
      <alignment horizontal="right"/>
    </xf>
    <xf numFmtId="183" fontId="43" fillId="0" borderId="0" xfId="0" applyNumberFormat="1" applyFont="1" applyAlignment="1"/>
    <xf numFmtId="182" fontId="43" fillId="0" borderId="0" xfId="0" applyNumberFormat="1" applyFont="1" applyAlignment="1">
      <alignment horizontal="center"/>
    </xf>
    <xf numFmtId="43" fontId="43" fillId="0" borderId="0" xfId="0" applyNumberFormat="1" applyFont="1" applyAlignment="1"/>
    <xf numFmtId="0" fontId="3" fillId="0" borderId="0" xfId="0" applyFont="1" applyAlignment="1">
      <alignment horizontal="center" vertical="center" wrapText="1" shrinkToFit="1"/>
    </xf>
    <xf numFmtId="178" fontId="43" fillId="0" borderId="0" xfId="0" applyNumberFormat="1" applyFont="1" applyAlignment="1">
      <alignment horizont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1" fillId="2" borderId="18" xfId="1" applyFont="1" applyFill="1" applyBorder="1"/>
    <xf numFmtId="0" fontId="8" fillId="0" borderId="19" xfId="0" applyFont="1" applyBorder="1" applyAlignment="1"/>
    <xf numFmtId="0" fontId="1" fillId="0" borderId="20" xfId="0" applyFont="1" applyBorder="1" applyAlignment="1"/>
    <xf numFmtId="0" fontId="8" fillId="0" borderId="17" xfId="0" applyFont="1" applyBorder="1" applyAlignment="1"/>
    <xf numFmtId="0" fontId="1" fillId="2" borderId="18" xfId="2" applyFont="1" applyFill="1" applyBorder="1"/>
    <xf numFmtId="0" fontId="1" fillId="0" borderId="20" xfId="1" applyFont="1" applyBorder="1" applyAlignment="1">
      <alignment horizontal="left"/>
    </xf>
    <xf numFmtId="0" fontId="1" fillId="2" borderId="20" xfId="2" applyFont="1" applyFill="1" applyBorder="1"/>
    <xf numFmtId="0" fontId="1" fillId="0" borderId="20" xfId="1" applyFont="1" applyBorder="1"/>
    <xf numFmtId="0" fontId="1" fillId="0" borderId="18" xfId="1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176" fontId="3" fillId="0" borderId="3" xfId="0" applyNumberFormat="1" applyFont="1" applyBorder="1" applyAlignment="1">
      <alignment horizontal="left"/>
    </xf>
    <xf numFmtId="176" fontId="3" fillId="0" borderId="5" xfId="0" applyNumberFormat="1" applyFont="1" applyBorder="1" applyAlignment="1">
      <alignment horizontal="left"/>
    </xf>
    <xf numFmtId="0" fontId="19" fillId="0" borderId="3" xfId="2" applyFont="1" applyBorder="1" applyAlignment="1">
      <alignment horizontal="center"/>
    </xf>
    <xf numFmtId="0" fontId="39" fillId="0" borderId="9" xfId="2" applyFont="1" applyBorder="1" applyAlignment="1">
      <alignment horizontal="center" vertical="center"/>
    </xf>
    <xf numFmtId="0" fontId="39" fillId="2" borderId="10" xfId="2" applyFont="1" applyFill="1" applyBorder="1" applyAlignment="1">
      <alignment horizontal="center" vertical="center"/>
    </xf>
    <xf numFmtId="0" fontId="39" fillId="0" borderId="10" xfId="2" applyFont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45" fillId="0" borderId="0" xfId="3" applyFont="1" applyAlignment="1">
      <alignment horizontal="center" vertical="center" wrapText="1" shrinkToFit="1"/>
    </xf>
    <xf numFmtId="0" fontId="45" fillId="0" borderId="0" xfId="1" applyFont="1" applyAlignment="1">
      <alignment horizontal="center" vertical="center" wrapText="1" shrinkToFit="1"/>
    </xf>
    <xf numFmtId="180" fontId="46" fillId="0" borderId="0" xfId="1" applyNumberFormat="1" applyFont="1" applyAlignment="1">
      <alignment horizontal="center" vertical="center" wrapText="1" shrinkToFit="1"/>
    </xf>
    <xf numFmtId="178" fontId="45" fillId="0" borderId="0" xfId="1" applyNumberFormat="1" applyFont="1" applyAlignment="1">
      <alignment horizontal="center" vertical="center" wrapText="1" shrinkToFit="1"/>
    </xf>
    <xf numFmtId="178" fontId="47" fillId="0" borderId="0" xfId="1" applyNumberFormat="1" applyFont="1" applyAlignment="1">
      <alignment horizontal="center" vertical="center" wrapText="1" shrinkToFit="1"/>
    </xf>
    <xf numFmtId="179" fontId="48" fillId="0" borderId="2" xfId="1" applyNumberFormat="1" applyFont="1" applyBorder="1" applyAlignment="1">
      <alignment horizontal="center"/>
    </xf>
    <xf numFmtId="0" fontId="45" fillId="0" borderId="2" xfId="1" applyFont="1" applyBorder="1"/>
    <xf numFmtId="0" fontId="47" fillId="0" borderId="2" xfId="1" applyFont="1" applyBorder="1"/>
    <xf numFmtId="0" fontId="47" fillId="0" borderId="2" xfId="1" applyFont="1" applyBorder="1" applyAlignment="1">
      <alignment horizontal="left"/>
    </xf>
    <xf numFmtId="0" fontId="47" fillId="0" borderId="2" xfId="1" applyFont="1" applyBorder="1" applyAlignment="1">
      <alignment horizontal="center"/>
    </xf>
    <xf numFmtId="182" fontId="18" fillId="0" borderId="2" xfId="0" applyNumberFormat="1" applyFont="1" applyBorder="1">
      <alignment vertical="center"/>
    </xf>
    <xf numFmtId="178" fontId="47" fillId="0" borderId="2" xfId="1" applyNumberFormat="1" applyFont="1" applyBorder="1" applyAlignment="1">
      <alignment horizontal="center"/>
    </xf>
    <xf numFmtId="178" fontId="48" fillId="0" borderId="2" xfId="1" applyNumberFormat="1" applyFont="1" applyBorder="1" applyAlignment="1">
      <alignment horizontal="center"/>
    </xf>
    <xf numFmtId="182" fontId="43" fillId="0" borderId="2" xfId="0" applyNumberFormat="1" applyFont="1" applyBorder="1" applyAlignment="1"/>
    <xf numFmtId="182" fontId="43" fillId="0" borderId="2" xfId="0" applyNumberFormat="1" applyFont="1" applyBorder="1" applyAlignment="1">
      <alignment horizontal="center"/>
    </xf>
    <xf numFmtId="0" fontId="1" fillId="0" borderId="2" xfId="2" applyFont="1" applyBorder="1"/>
    <xf numFmtId="181" fontId="1" fillId="0" borderId="2" xfId="2" applyNumberFormat="1" applyFont="1" applyBorder="1" applyAlignment="1">
      <alignment horizontal="center"/>
    </xf>
    <xf numFmtId="43" fontId="43" fillId="0" borderId="2" xfId="0" applyNumberFormat="1" applyFont="1" applyBorder="1" applyAlignment="1"/>
    <xf numFmtId="0" fontId="1" fillId="0" borderId="2" xfId="0" applyFont="1" applyBorder="1" applyAlignment="1"/>
    <xf numFmtId="178" fontId="43" fillId="0" borderId="2" xfId="0" applyNumberFormat="1" applyFont="1" applyBorder="1" applyAlignment="1">
      <alignment horizontal="center" vertical="center"/>
    </xf>
    <xf numFmtId="182" fontId="51" fillId="0" borderId="0" xfId="0" applyNumberFormat="1" applyFont="1" applyAlignment="1"/>
    <xf numFmtId="0" fontId="11" fillId="0" borderId="9" xfId="2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1" fillId="0" borderId="11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76" fontId="3" fillId="0" borderId="3" xfId="0" applyNumberFormat="1" applyFont="1" applyBorder="1" applyAlignment="1">
      <alignment horizontal="left"/>
    </xf>
    <xf numFmtId="176" fontId="3" fillId="0" borderId="5" xfId="0" applyNumberFormat="1" applyFont="1" applyBorder="1" applyAlignment="1">
      <alignment horizontal="left"/>
    </xf>
    <xf numFmtId="0" fontId="16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wrapText="1"/>
    </xf>
    <xf numFmtId="0" fontId="3" fillId="0" borderId="0" xfId="1" applyFont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0" xfId="2" applyFont="1" applyAlignment="1">
      <alignment horizont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6" fillId="0" borderId="20" xfId="2" applyFont="1" applyBorder="1" applyAlignment="1">
      <alignment horizontal="left" vertical="center" wrapText="1"/>
    </xf>
    <xf numFmtId="0" fontId="16" fillId="0" borderId="0" xfId="2" applyFont="1" applyAlignment="1">
      <alignment horizontal="left" vertical="center" wrapText="1"/>
    </xf>
    <xf numFmtId="0" fontId="16" fillId="0" borderId="16" xfId="2" applyFont="1" applyBorder="1" applyAlignment="1">
      <alignment horizontal="left" vertical="center" wrapText="1"/>
    </xf>
    <xf numFmtId="0" fontId="16" fillId="0" borderId="7" xfId="2" applyFont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16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9" fillId="2" borderId="2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" fillId="2" borderId="18" xfId="2" applyFont="1" applyFill="1" applyBorder="1" applyAlignment="1">
      <alignment horizontal="center" vertical="center"/>
    </xf>
    <xf numFmtId="0" fontId="1" fillId="2" borderId="16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7" xfId="2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21" fillId="0" borderId="0" xfId="4" applyFont="1" applyAlignment="1">
      <alignment horizontal="center"/>
    </xf>
    <xf numFmtId="0" fontId="23" fillId="0" borderId="0" xfId="4" applyFont="1" applyAlignment="1">
      <alignment horizontal="center"/>
    </xf>
    <xf numFmtId="0" fontId="27" fillId="0" borderId="7" xfId="5" applyFont="1" applyBorder="1" applyAlignment="1">
      <alignment horizontal="center"/>
    </xf>
    <xf numFmtId="0" fontId="36" fillId="0" borderId="0" xfId="4" applyFont="1" applyAlignment="1">
      <alignment horizontal="center"/>
    </xf>
    <xf numFmtId="0" fontId="36" fillId="0" borderId="0" xfId="4" applyFont="1" applyAlignment="1">
      <alignment horizontal="left" vertical="center"/>
    </xf>
  </cellXfs>
  <cellStyles count="7">
    <cellStyle name="一般" xfId="0" builtinId="0"/>
    <cellStyle name="一般 2" xfId="5" xr:uid="{18B821CE-BBC8-411F-83AF-B070906B0803}"/>
    <cellStyle name="一般_OMRON" xfId="2" xr:uid="{00000000-0005-0000-0000-000032000000}"/>
    <cellStyle name="一般_OMRON海運出口" xfId="1" xr:uid="{00000000-0005-0000-0000-00001F000000}"/>
    <cellStyle name="千分位 2" xfId="6" xr:uid="{10AA3C9D-EAF6-4DFD-A307-93B760789A95}"/>
    <cellStyle name="常规_Sheet1_1" xfId="3" xr:uid="{00000000-0005-0000-0000-000033000000}"/>
    <cellStyle name="常规_Sheet2" xfId="4" xr:uid="{5CD52F8D-2EA2-4387-9BF9-ECFA0449490E}"/>
  </cellStyles>
  <dxfs count="12">
    <dxf>
      <font>
        <b/>
        <i/>
        <strike val="0"/>
        <u val="none"/>
      </font>
    </dxf>
    <dxf>
      <font>
        <color theme="0" tint="-0.34998626667073579"/>
      </font>
    </dxf>
    <dxf>
      <fill>
        <patternFill>
          <bgColor theme="6" tint="0.39994506668294322"/>
        </patternFill>
      </fill>
    </dxf>
    <dxf>
      <font>
        <b/>
        <i/>
        <strike val="0"/>
        <u val="none"/>
      </font>
    </dxf>
    <dxf>
      <font>
        <color theme="0" tint="-0.34998626667073579"/>
      </font>
    </dxf>
    <dxf>
      <fill>
        <patternFill>
          <bgColor theme="6" tint="0.39994506668294322"/>
        </patternFill>
      </fill>
    </dxf>
    <dxf>
      <font>
        <b/>
        <i/>
        <strike val="0"/>
        <u val="none"/>
      </font>
    </dxf>
    <dxf>
      <font>
        <color theme="0" tint="-0.34998626667073579"/>
      </font>
    </dxf>
    <dxf>
      <fill>
        <patternFill>
          <bgColor theme="6" tint="0.39994506668294322"/>
        </patternFill>
      </fill>
    </dxf>
    <dxf>
      <font>
        <b/>
        <i/>
        <strike val="0"/>
        <u val="none"/>
      </font>
    </dxf>
    <dxf>
      <font>
        <color theme="0" tint="-0.34998626667073579"/>
      </font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9"/>
  <sheetViews>
    <sheetView tabSelected="1" view="pageBreakPreview" zoomScaleNormal="100" zoomScaleSheetLayoutView="100" workbookViewId="0">
      <selection activeCell="F45" sqref="F45"/>
    </sheetView>
  </sheetViews>
  <sheetFormatPr defaultColWidth="9" defaultRowHeight="25.5"/>
  <cols>
    <col min="1" max="1" width="6.7109375" style="80" customWidth="1"/>
    <col min="2" max="2" width="14.85546875" style="87" bestFit="1" customWidth="1"/>
    <col min="3" max="3" width="17.140625" style="87" customWidth="1"/>
    <col min="4" max="4" width="18" style="87" bestFit="1" customWidth="1"/>
    <col min="5" max="5" width="12.5703125" style="87" customWidth="1"/>
    <col min="6" max="6" width="6" style="87" bestFit="1" customWidth="1"/>
    <col min="7" max="7" width="10.140625" style="87" bestFit="1" customWidth="1"/>
    <col min="8" max="8" width="9.140625" style="87" bestFit="1" customWidth="1"/>
    <col min="9" max="9" width="11.28515625" style="87" customWidth="1"/>
    <col min="10" max="10" width="7.28515625" style="87" bestFit="1" customWidth="1"/>
    <col min="11" max="11" width="4.7109375" style="87" customWidth="1"/>
    <col min="12" max="12" width="10.42578125" style="87" bestFit="1" customWidth="1"/>
    <col min="13" max="13" width="14.42578125" style="87" customWidth="1"/>
    <col min="14" max="14" width="15.42578125" style="87" bestFit="1" customWidth="1"/>
    <col min="15" max="15" width="9" style="87" bestFit="1" customWidth="1"/>
    <col min="16" max="16" width="9.5703125" style="87" customWidth="1"/>
    <col min="17" max="16384" width="9" style="87"/>
  </cols>
  <sheetData>
    <row r="1" spans="1:16" s="81" customForma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  <c r="P1" s="82"/>
    </row>
    <row r="2" spans="1:16">
      <c r="A2" s="28" t="s">
        <v>137</v>
      </c>
      <c r="B2" s="83"/>
      <c r="C2" s="84"/>
      <c r="D2" s="10"/>
      <c r="E2" s="28" t="s">
        <v>136</v>
      </c>
      <c r="F2" s="85"/>
      <c r="G2" s="85"/>
      <c r="H2" s="84"/>
      <c r="I2" s="84"/>
      <c r="J2" s="86"/>
      <c r="K2" s="86"/>
      <c r="L2" s="86"/>
      <c r="M2" s="86"/>
      <c r="N2" s="86"/>
      <c r="O2" s="13"/>
      <c r="P2" s="86"/>
    </row>
    <row r="3" spans="1:16">
      <c r="A3" s="122" t="s">
        <v>38</v>
      </c>
      <c r="B3" s="88"/>
      <c r="C3" s="84"/>
      <c r="D3" s="17"/>
      <c r="E3" s="33" t="s">
        <v>154</v>
      </c>
      <c r="F3" s="85"/>
      <c r="G3" s="89"/>
      <c r="H3" s="90"/>
      <c r="I3" s="84"/>
      <c r="J3" s="86"/>
      <c r="K3" s="86"/>
      <c r="L3" s="86"/>
      <c r="M3" s="86"/>
      <c r="N3" s="86"/>
      <c r="O3" s="13"/>
      <c r="P3" s="86"/>
    </row>
    <row r="4" spans="1:16">
      <c r="A4" s="191" t="s">
        <v>39</v>
      </c>
      <c r="B4" s="192"/>
      <c r="C4" s="192"/>
      <c r="D4" s="193"/>
      <c r="E4" s="34">
        <v>45884</v>
      </c>
      <c r="F4" s="91"/>
      <c r="G4" s="91"/>
      <c r="H4" s="92"/>
      <c r="I4" s="84"/>
      <c r="J4" s="86"/>
      <c r="K4" s="86"/>
      <c r="L4" s="86"/>
      <c r="M4" s="86"/>
      <c r="N4" s="86"/>
      <c r="O4" s="13"/>
      <c r="P4" s="86"/>
    </row>
    <row r="5" spans="1:16">
      <c r="A5" s="191"/>
      <c r="B5" s="192"/>
      <c r="C5" s="192"/>
      <c r="D5" s="193"/>
      <c r="E5" s="19"/>
      <c r="F5" s="4"/>
      <c r="G5" s="4"/>
      <c r="H5" s="4"/>
      <c r="I5" s="4"/>
      <c r="J5" s="27"/>
      <c r="K5" s="27"/>
      <c r="L5" s="27"/>
      <c r="M5" s="27"/>
      <c r="N5" s="27"/>
      <c r="O5" s="30"/>
      <c r="P5" s="86"/>
    </row>
    <row r="6" spans="1:16" ht="17.25" customHeight="1">
      <c r="A6" s="7" t="s">
        <v>1</v>
      </c>
      <c r="B6" s="14"/>
      <c r="C6" s="16"/>
      <c r="D6" s="20"/>
      <c r="E6" s="24" t="s">
        <v>134</v>
      </c>
      <c r="F6" s="84"/>
      <c r="G6" s="84"/>
      <c r="H6" s="84"/>
      <c r="I6" s="84"/>
      <c r="J6" s="93"/>
      <c r="K6" s="93"/>
      <c r="L6" s="93"/>
      <c r="M6" s="93"/>
      <c r="N6" s="93"/>
      <c r="O6" s="25"/>
      <c r="P6" s="93"/>
    </row>
    <row r="7" spans="1:16" ht="19.5" customHeight="1">
      <c r="A7" s="123" t="s">
        <v>47</v>
      </c>
      <c r="B7" s="94"/>
      <c r="C7" s="95"/>
      <c r="D7" s="22"/>
      <c r="E7" s="18" t="s">
        <v>41</v>
      </c>
      <c r="F7" s="84"/>
      <c r="G7" s="84"/>
      <c r="H7" s="125"/>
      <c r="I7" s="84"/>
      <c r="J7" s="93"/>
      <c r="K7" s="93"/>
      <c r="L7" s="93"/>
      <c r="M7" s="93"/>
      <c r="N7" s="93"/>
      <c r="O7" s="25"/>
      <c r="P7" s="93"/>
    </row>
    <row r="8" spans="1:16" ht="25.5" customHeight="1">
      <c r="A8" s="197" t="s">
        <v>42</v>
      </c>
      <c r="B8" s="198"/>
      <c r="C8" s="198"/>
      <c r="D8" s="199"/>
      <c r="E8" s="183"/>
      <c r="F8" s="184"/>
      <c r="G8" s="184"/>
      <c r="H8" s="184"/>
      <c r="I8" s="184"/>
      <c r="J8" s="96"/>
      <c r="K8" s="96"/>
      <c r="L8" s="96"/>
      <c r="M8" s="96"/>
      <c r="N8" s="96"/>
      <c r="O8" s="26"/>
      <c r="P8" s="96"/>
    </row>
    <row r="9" spans="1:16" ht="18.75" customHeight="1">
      <c r="A9" s="7" t="s">
        <v>2</v>
      </c>
      <c r="B9" s="15"/>
      <c r="C9" s="15"/>
      <c r="D9" s="23"/>
      <c r="E9" s="7" t="s">
        <v>135</v>
      </c>
      <c r="F9" s="16"/>
      <c r="G9" s="16"/>
      <c r="H9" s="16"/>
      <c r="I9" s="16"/>
      <c r="J9" s="15"/>
      <c r="K9" s="15"/>
      <c r="L9" s="15"/>
      <c r="M9" s="15"/>
      <c r="N9" s="15"/>
      <c r="O9" s="23"/>
      <c r="P9" s="84"/>
    </row>
    <row r="10" spans="1:16" ht="33" customHeight="1">
      <c r="A10" s="201" t="s">
        <v>132</v>
      </c>
      <c r="B10" s="202"/>
      <c r="C10" s="202"/>
      <c r="D10" s="203"/>
      <c r="E10" s="124" t="s">
        <v>40</v>
      </c>
      <c r="F10" s="98"/>
      <c r="G10" s="98"/>
      <c r="H10" s="98"/>
      <c r="I10" s="98"/>
      <c r="J10" s="86"/>
      <c r="K10" s="86"/>
      <c r="L10" s="86"/>
      <c r="M10" s="86"/>
      <c r="N10" s="86"/>
      <c r="O10" s="13"/>
      <c r="P10" s="86"/>
    </row>
    <row r="11" spans="1:16" ht="18" customHeight="1">
      <c r="A11" s="194" t="s">
        <v>133</v>
      </c>
      <c r="B11" s="195"/>
      <c r="C11" s="195"/>
      <c r="D11" s="196"/>
      <c r="E11" s="29"/>
      <c r="F11" s="98"/>
      <c r="G11" s="98"/>
      <c r="H11" s="98"/>
      <c r="I11" s="98"/>
      <c r="J11" s="86"/>
      <c r="K11" s="86"/>
      <c r="L11" s="86"/>
      <c r="M11" s="86"/>
      <c r="N11" s="86"/>
      <c r="O11" s="13"/>
      <c r="P11" s="86"/>
    </row>
    <row r="12" spans="1:16" ht="7.5" customHeight="1">
      <c r="A12" s="194"/>
      <c r="B12" s="195"/>
      <c r="C12" s="195"/>
      <c r="D12" s="196"/>
      <c r="E12" s="9"/>
      <c r="F12" s="31"/>
      <c r="G12" s="31"/>
      <c r="H12" s="31"/>
      <c r="I12" s="31"/>
      <c r="J12" s="27"/>
      <c r="K12" s="27"/>
      <c r="L12" s="27"/>
      <c r="M12" s="27"/>
      <c r="N12" s="27"/>
      <c r="O12" s="30"/>
      <c r="P12" s="86"/>
    </row>
    <row r="13" spans="1:16">
      <c r="A13" s="21" t="s">
        <v>3</v>
      </c>
      <c r="B13" s="15"/>
      <c r="C13" s="21" t="s">
        <v>4</v>
      </c>
      <c r="D13" s="23"/>
      <c r="E13" s="99" t="s">
        <v>5</v>
      </c>
      <c r="F13" s="100"/>
      <c r="G13" s="100"/>
      <c r="H13" s="100"/>
      <c r="I13" s="84"/>
      <c r="J13" s="86"/>
      <c r="K13" s="86"/>
      <c r="L13" s="86"/>
      <c r="M13" s="86"/>
      <c r="N13" s="86"/>
      <c r="O13" s="13"/>
      <c r="P13" s="86"/>
    </row>
    <row r="14" spans="1:16">
      <c r="A14" s="185"/>
      <c r="B14" s="186"/>
      <c r="C14" s="187"/>
      <c r="D14" s="188"/>
      <c r="E14" s="101"/>
      <c r="F14" s="84"/>
      <c r="G14" s="84"/>
      <c r="H14" s="84"/>
      <c r="I14" s="84"/>
      <c r="J14" s="86"/>
      <c r="K14" s="86"/>
      <c r="L14" s="86"/>
      <c r="M14" s="86"/>
      <c r="N14" s="86"/>
      <c r="O14" s="13"/>
      <c r="P14" s="86"/>
    </row>
    <row r="15" spans="1:16">
      <c r="A15" s="21" t="s">
        <v>6</v>
      </c>
      <c r="B15" s="23"/>
      <c r="C15" s="24" t="s">
        <v>7</v>
      </c>
      <c r="D15" s="11"/>
      <c r="E15" s="101"/>
      <c r="F15" s="102"/>
      <c r="G15" s="84"/>
      <c r="H15" s="84"/>
      <c r="I15" s="84"/>
      <c r="J15" s="86"/>
      <c r="K15" s="86"/>
      <c r="L15" s="86"/>
      <c r="M15" s="86"/>
      <c r="N15" s="86"/>
      <c r="O15" s="13"/>
      <c r="P15" s="86"/>
    </row>
    <row r="16" spans="1:16" ht="26.25" customHeight="1">
      <c r="A16" s="146" t="s">
        <v>139</v>
      </c>
      <c r="B16" s="147"/>
      <c r="C16" s="189"/>
      <c r="D16" s="190"/>
      <c r="E16" s="150" t="s">
        <v>8</v>
      </c>
      <c r="F16" s="200" t="s">
        <v>50</v>
      </c>
      <c r="G16" s="200"/>
      <c r="H16" s="84"/>
      <c r="I16" s="84"/>
      <c r="J16" s="86"/>
      <c r="K16" s="86"/>
      <c r="L16" s="86"/>
      <c r="M16" s="86"/>
      <c r="N16" s="86"/>
      <c r="O16" s="13"/>
      <c r="P16" s="86"/>
    </row>
    <row r="17" spans="1:16">
      <c r="A17" s="151" t="s">
        <v>9</v>
      </c>
      <c r="B17" s="152" t="s">
        <v>10</v>
      </c>
      <c r="C17" s="152" t="s">
        <v>11</v>
      </c>
      <c r="D17" s="153" t="s">
        <v>48</v>
      </c>
      <c r="E17" s="152" t="s">
        <v>13</v>
      </c>
      <c r="F17" s="152" t="s">
        <v>14</v>
      </c>
      <c r="G17" s="152" t="s">
        <v>15</v>
      </c>
      <c r="H17" s="152" t="s">
        <v>16</v>
      </c>
      <c r="I17" s="152" t="s">
        <v>17</v>
      </c>
      <c r="J17" s="154" t="s">
        <v>18</v>
      </c>
      <c r="K17" s="154" t="s">
        <v>19</v>
      </c>
      <c r="L17" s="155" t="s">
        <v>20</v>
      </c>
      <c r="M17" s="155" t="s">
        <v>21</v>
      </c>
      <c r="N17" s="155" t="s">
        <v>22</v>
      </c>
      <c r="O17" s="156" t="s">
        <v>23</v>
      </c>
      <c r="P17" s="103"/>
    </row>
    <row r="18" spans="1:16" ht="25.5" customHeight="1">
      <c r="A18" s="127" t="s">
        <v>24</v>
      </c>
      <c r="B18" s="128" t="s">
        <v>142</v>
      </c>
      <c r="C18" s="128" t="s">
        <v>114</v>
      </c>
      <c r="D18" s="128" t="s">
        <v>49</v>
      </c>
      <c r="E18" s="129">
        <v>200000</v>
      </c>
      <c r="F18" s="128" t="s">
        <v>25</v>
      </c>
      <c r="G18" s="130">
        <v>1.4500000000000001E-2</v>
      </c>
      <c r="H18" s="131" t="s">
        <v>26</v>
      </c>
      <c r="I18" s="132">
        <f t="shared" ref="I18:I27" si="0">ROUND(E18*G18,2)</f>
        <v>2900</v>
      </c>
      <c r="J18" s="128" t="s">
        <v>44</v>
      </c>
      <c r="K18" s="133"/>
      <c r="L18" s="128" t="s">
        <v>45</v>
      </c>
      <c r="M18" s="179" t="s">
        <v>153</v>
      </c>
      <c r="N18" s="128" t="s">
        <v>122</v>
      </c>
      <c r="O18" s="134">
        <v>1.6</v>
      </c>
      <c r="P18" s="104"/>
    </row>
    <row r="19" spans="1:16" ht="25.5" customHeight="1">
      <c r="A19" s="127" t="s">
        <v>27</v>
      </c>
      <c r="B19" s="128" t="s">
        <v>143</v>
      </c>
      <c r="C19" s="128" t="s">
        <v>140</v>
      </c>
      <c r="D19" s="128" t="s">
        <v>49</v>
      </c>
      <c r="E19" s="129">
        <v>3000</v>
      </c>
      <c r="F19" s="128" t="s">
        <v>25</v>
      </c>
      <c r="G19" s="130">
        <v>6.1800000000000001E-2</v>
      </c>
      <c r="H19" s="131" t="s">
        <v>26</v>
      </c>
      <c r="I19" s="132">
        <f t="shared" si="0"/>
        <v>185.4</v>
      </c>
      <c r="J19" s="128" t="s">
        <v>44</v>
      </c>
      <c r="K19" s="133"/>
      <c r="L19" s="128" t="s">
        <v>45</v>
      </c>
      <c r="M19" s="179" t="s">
        <v>153</v>
      </c>
      <c r="N19" s="128" t="s">
        <v>123</v>
      </c>
      <c r="O19" s="134">
        <v>1.3</v>
      </c>
      <c r="P19" s="104"/>
    </row>
    <row r="20" spans="1:16" ht="25.5" customHeight="1">
      <c r="A20" s="127" t="s">
        <v>28</v>
      </c>
      <c r="B20" s="128" t="s">
        <v>143</v>
      </c>
      <c r="C20" s="128" t="s">
        <v>141</v>
      </c>
      <c r="D20" s="128" t="s">
        <v>49</v>
      </c>
      <c r="E20" s="129">
        <v>3000</v>
      </c>
      <c r="F20" s="128" t="s">
        <v>25</v>
      </c>
      <c r="G20" s="130">
        <v>6.1800000000000001E-2</v>
      </c>
      <c r="H20" s="131" t="s">
        <v>26</v>
      </c>
      <c r="I20" s="132">
        <f t="shared" si="0"/>
        <v>185.4</v>
      </c>
      <c r="J20" s="128" t="s">
        <v>44</v>
      </c>
      <c r="K20" s="133"/>
      <c r="L20" s="128" t="s">
        <v>45</v>
      </c>
      <c r="M20" s="179" t="s">
        <v>153</v>
      </c>
      <c r="N20" s="128" t="s">
        <v>123</v>
      </c>
      <c r="O20" s="134" t="s">
        <v>145</v>
      </c>
      <c r="P20" s="104"/>
    </row>
    <row r="21" spans="1:16" ht="25.5" customHeight="1">
      <c r="A21" s="127" t="s">
        <v>51</v>
      </c>
      <c r="B21" s="128" t="s">
        <v>176</v>
      </c>
      <c r="C21" s="128" t="s">
        <v>160</v>
      </c>
      <c r="D21" s="128" t="s">
        <v>49</v>
      </c>
      <c r="E21" s="129">
        <v>5000</v>
      </c>
      <c r="F21" s="128" t="s">
        <v>25</v>
      </c>
      <c r="G21" s="130">
        <v>5.4000000000000003E-3</v>
      </c>
      <c r="H21" s="131" t="s">
        <v>26</v>
      </c>
      <c r="I21" s="132">
        <f t="shared" si="0"/>
        <v>27</v>
      </c>
      <c r="J21" s="128" t="s">
        <v>44</v>
      </c>
      <c r="K21" s="133"/>
      <c r="L21" s="128" t="s">
        <v>45</v>
      </c>
      <c r="M21" s="179" t="s">
        <v>153</v>
      </c>
      <c r="N21" s="128" t="s">
        <v>172</v>
      </c>
      <c r="O21" s="134">
        <v>0.6</v>
      </c>
      <c r="P21" s="104"/>
    </row>
    <row r="22" spans="1:16" ht="25.5" customHeight="1">
      <c r="A22" s="127" t="s">
        <v>52</v>
      </c>
      <c r="B22" s="128" t="s">
        <v>177</v>
      </c>
      <c r="C22" s="128" t="s">
        <v>114</v>
      </c>
      <c r="D22" s="128" t="s">
        <v>49</v>
      </c>
      <c r="E22" s="129">
        <v>9000</v>
      </c>
      <c r="F22" s="128" t="s">
        <v>25</v>
      </c>
      <c r="G22" s="130">
        <v>5.7999999999999996E-3</v>
      </c>
      <c r="H22" s="131" t="s">
        <v>26</v>
      </c>
      <c r="I22" s="132">
        <f t="shared" ref="I22" si="1">ROUND(E22*G22,2)</f>
        <v>52.2</v>
      </c>
      <c r="J22" s="128" t="s">
        <v>44</v>
      </c>
      <c r="K22" s="133"/>
      <c r="L22" s="128" t="s">
        <v>45</v>
      </c>
      <c r="M22" s="179" t="s">
        <v>153</v>
      </c>
      <c r="N22" s="128" t="s">
        <v>173</v>
      </c>
      <c r="O22" s="134">
        <v>0.3</v>
      </c>
      <c r="P22" s="104"/>
    </row>
    <row r="23" spans="1:16" ht="25.5" customHeight="1">
      <c r="A23" s="127" t="s">
        <v>53</v>
      </c>
      <c r="B23" s="128" t="s">
        <v>178</v>
      </c>
      <c r="C23" s="128" t="s">
        <v>163</v>
      </c>
      <c r="D23" s="128" t="s">
        <v>167</v>
      </c>
      <c r="E23" s="129">
        <v>5000</v>
      </c>
      <c r="F23" s="128" t="s">
        <v>25</v>
      </c>
      <c r="G23" s="130">
        <v>7.3000000000000001E-3</v>
      </c>
      <c r="H23" s="131" t="s">
        <v>26</v>
      </c>
      <c r="I23" s="132">
        <f t="shared" si="0"/>
        <v>36.5</v>
      </c>
      <c r="J23" s="128" t="s">
        <v>44</v>
      </c>
      <c r="K23" s="133"/>
      <c r="L23" s="128" t="s">
        <v>45</v>
      </c>
      <c r="M23" s="179" t="s">
        <v>153</v>
      </c>
      <c r="N23" s="128" t="s">
        <v>174</v>
      </c>
      <c r="O23" s="134">
        <v>0.1</v>
      </c>
      <c r="P23" s="104"/>
    </row>
    <row r="24" spans="1:16" ht="25.5" customHeight="1">
      <c r="A24" s="127" t="s">
        <v>54</v>
      </c>
      <c r="B24" s="128" t="s">
        <v>144</v>
      </c>
      <c r="C24" s="128" t="s">
        <v>115</v>
      </c>
      <c r="D24" s="128" t="s">
        <v>65</v>
      </c>
      <c r="E24" s="129">
        <v>3000</v>
      </c>
      <c r="F24" s="128" t="s">
        <v>25</v>
      </c>
      <c r="G24" s="130">
        <v>2.2000000000000001E-3</v>
      </c>
      <c r="H24" s="131" t="s">
        <v>26</v>
      </c>
      <c r="I24" s="132">
        <f t="shared" si="0"/>
        <v>6.6</v>
      </c>
      <c r="J24" s="128" t="s">
        <v>44</v>
      </c>
      <c r="K24" s="133"/>
      <c r="L24" s="128" t="s">
        <v>45</v>
      </c>
      <c r="M24" s="179" t="s">
        <v>153</v>
      </c>
      <c r="N24" s="128" t="s">
        <v>66</v>
      </c>
      <c r="O24" s="134">
        <v>3.6</v>
      </c>
      <c r="P24" s="104"/>
    </row>
    <row r="25" spans="1:16" ht="25.5" customHeight="1">
      <c r="A25" s="127" t="s">
        <v>55</v>
      </c>
      <c r="B25" s="128" t="s">
        <v>144</v>
      </c>
      <c r="C25" s="128" t="s">
        <v>115</v>
      </c>
      <c r="D25" s="128" t="s">
        <v>65</v>
      </c>
      <c r="E25" s="129">
        <v>9000</v>
      </c>
      <c r="F25" s="128" t="s">
        <v>25</v>
      </c>
      <c r="G25" s="130">
        <v>2.2000000000000001E-3</v>
      </c>
      <c r="H25" s="131" t="s">
        <v>26</v>
      </c>
      <c r="I25" s="132">
        <f t="shared" si="0"/>
        <v>19.8</v>
      </c>
      <c r="J25" s="128" t="s">
        <v>44</v>
      </c>
      <c r="K25" s="133"/>
      <c r="L25" s="128" t="s">
        <v>45</v>
      </c>
      <c r="M25" s="179" t="s">
        <v>153</v>
      </c>
      <c r="N25" s="128" t="s">
        <v>66</v>
      </c>
      <c r="O25" s="134" t="s">
        <v>145</v>
      </c>
      <c r="P25" s="104"/>
    </row>
    <row r="26" spans="1:16" ht="25.5" customHeight="1">
      <c r="A26" s="127" t="s">
        <v>56</v>
      </c>
      <c r="B26" s="128" t="s">
        <v>144</v>
      </c>
      <c r="C26" s="128" t="s">
        <v>115</v>
      </c>
      <c r="D26" s="128" t="s">
        <v>65</v>
      </c>
      <c r="E26" s="129">
        <v>6000</v>
      </c>
      <c r="F26" s="128" t="s">
        <v>25</v>
      </c>
      <c r="G26" s="130">
        <v>2.2000000000000001E-3</v>
      </c>
      <c r="H26" s="131" t="s">
        <v>26</v>
      </c>
      <c r="I26" s="132">
        <f t="shared" si="0"/>
        <v>13.2</v>
      </c>
      <c r="J26" s="128" t="s">
        <v>44</v>
      </c>
      <c r="K26" s="133"/>
      <c r="L26" s="128" t="s">
        <v>45</v>
      </c>
      <c r="M26" s="179" t="s">
        <v>153</v>
      </c>
      <c r="N26" s="128" t="s">
        <v>66</v>
      </c>
      <c r="O26" s="134" t="s">
        <v>145</v>
      </c>
      <c r="P26" s="104"/>
    </row>
    <row r="27" spans="1:16" ht="25.5" customHeight="1">
      <c r="A27" s="127" t="s">
        <v>57</v>
      </c>
      <c r="B27" s="128" t="s">
        <v>144</v>
      </c>
      <c r="C27" s="128" t="s">
        <v>115</v>
      </c>
      <c r="D27" s="128" t="s">
        <v>65</v>
      </c>
      <c r="E27" s="129">
        <v>6000</v>
      </c>
      <c r="F27" s="128" t="s">
        <v>25</v>
      </c>
      <c r="G27" s="130">
        <v>2.2000000000000001E-3</v>
      </c>
      <c r="H27" s="131" t="s">
        <v>26</v>
      </c>
      <c r="I27" s="132">
        <f t="shared" si="0"/>
        <v>13.2</v>
      </c>
      <c r="J27" s="128" t="s">
        <v>44</v>
      </c>
      <c r="K27" s="133"/>
      <c r="L27" s="128" t="s">
        <v>45</v>
      </c>
      <c r="M27" s="179" t="s">
        <v>153</v>
      </c>
      <c r="N27" s="128" t="s">
        <v>66</v>
      </c>
      <c r="O27" s="134" t="s">
        <v>145</v>
      </c>
      <c r="P27" s="104"/>
    </row>
    <row r="28" spans="1:16" ht="25.5" customHeight="1">
      <c r="A28" s="127" t="s">
        <v>58</v>
      </c>
      <c r="B28" s="128" t="s">
        <v>144</v>
      </c>
      <c r="C28" s="128" t="s">
        <v>164</v>
      </c>
      <c r="D28" s="128" t="s">
        <v>65</v>
      </c>
      <c r="E28" s="129">
        <v>9000</v>
      </c>
      <c r="F28" s="128" t="s">
        <v>25</v>
      </c>
      <c r="G28" s="130">
        <v>2.2000000000000001E-3</v>
      </c>
      <c r="H28" s="131" t="s">
        <v>26</v>
      </c>
      <c r="I28" s="132">
        <f t="shared" ref="I28:I38" si="2">ROUND(E28*G28,2)</f>
        <v>19.8</v>
      </c>
      <c r="J28" s="128" t="s">
        <v>44</v>
      </c>
      <c r="K28" s="133"/>
      <c r="L28" s="128" t="s">
        <v>45</v>
      </c>
      <c r="M28" s="179" t="s">
        <v>153</v>
      </c>
      <c r="N28" s="128" t="s">
        <v>66</v>
      </c>
      <c r="O28" s="134" t="s">
        <v>145</v>
      </c>
      <c r="P28" s="104"/>
    </row>
    <row r="29" spans="1:16" ht="25.5" customHeight="1">
      <c r="A29" s="127" t="s">
        <v>59</v>
      </c>
      <c r="B29" s="128" t="s">
        <v>144</v>
      </c>
      <c r="C29" s="128" t="s">
        <v>164</v>
      </c>
      <c r="D29" s="128" t="s">
        <v>65</v>
      </c>
      <c r="E29" s="129">
        <v>6000</v>
      </c>
      <c r="F29" s="128" t="s">
        <v>25</v>
      </c>
      <c r="G29" s="130">
        <v>2.2000000000000001E-3</v>
      </c>
      <c r="H29" s="131" t="s">
        <v>26</v>
      </c>
      <c r="I29" s="132">
        <f t="shared" si="2"/>
        <v>13.2</v>
      </c>
      <c r="J29" s="128" t="s">
        <v>44</v>
      </c>
      <c r="K29" s="133"/>
      <c r="L29" s="128" t="s">
        <v>45</v>
      </c>
      <c r="M29" s="179" t="s">
        <v>153</v>
      </c>
      <c r="N29" s="128" t="s">
        <v>66</v>
      </c>
      <c r="O29" s="134" t="s">
        <v>145</v>
      </c>
      <c r="P29" s="104"/>
    </row>
    <row r="30" spans="1:16" ht="25.5" customHeight="1">
      <c r="A30" s="127" t="s">
        <v>60</v>
      </c>
      <c r="B30" s="128" t="s">
        <v>144</v>
      </c>
      <c r="C30" s="128" t="s">
        <v>164</v>
      </c>
      <c r="D30" s="128" t="s">
        <v>65</v>
      </c>
      <c r="E30" s="129">
        <v>6000</v>
      </c>
      <c r="F30" s="128" t="s">
        <v>25</v>
      </c>
      <c r="G30" s="130">
        <v>2.2000000000000001E-3</v>
      </c>
      <c r="H30" s="131" t="s">
        <v>26</v>
      </c>
      <c r="I30" s="132">
        <f t="shared" si="2"/>
        <v>13.2</v>
      </c>
      <c r="J30" s="128" t="s">
        <v>44</v>
      </c>
      <c r="K30" s="133"/>
      <c r="L30" s="128" t="s">
        <v>45</v>
      </c>
      <c r="M30" s="179" t="s">
        <v>153</v>
      </c>
      <c r="N30" s="128" t="s">
        <v>66</v>
      </c>
      <c r="O30" s="134" t="s">
        <v>145</v>
      </c>
      <c r="P30" s="104"/>
    </row>
    <row r="31" spans="1:16" ht="25.5" customHeight="1">
      <c r="A31" s="127" t="s">
        <v>61</v>
      </c>
      <c r="B31" s="128" t="s">
        <v>144</v>
      </c>
      <c r="C31" s="128" t="s">
        <v>165</v>
      </c>
      <c r="D31" s="128" t="s">
        <v>65</v>
      </c>
      <c r="E31" s="129">
        <v>9000</v>
      </c>
      <c r="F31" s="128" t="s">
        <v>25</v>
      </c>
      <c r="G31" s="130">
        <v>2.2000000000000001E-3</v>
      </c>
      <c r="H31" s="131" t="s">
        <v>26</v>
      </c>
      <c r="I31" s="132">
        <f t="shared" si="2"/>
        <v>19.8</v>
      </c>
      <c r="J31" s="128" t="s">
        <v>44</v>
      </c>
      <c r="K31" s="133"/>
      <c r="L31" s="128" t="s">
        <v>45</v>
      </c>
      <c r="M31" s="179" t="s">
        <v>153</v>
      </c>
      <c r="N31" s="128" t="s">
        <v>66</v>
      </c>
      <c r="O31" s="134" t="s">
        <v>145</v>
      </c>
      <c r="P31" s="104"/>
    </row>
    <row r="32" spans="1:16" ht="25.5" customHeight="1">
      <c r="A32" s="127" t="s">
        <v>62</v>
      </c>
      <c r="B32" s="128" t="s">
        <v>144</v>
      </c>
      <c r="C32" s="128" t="s">
        <v>165</v>
      </c>
      <c r="D32" s="128" t="s">
        <v>65</v>
      </c>
      <c r="E32" s="129">
        <v>6000</v>
      </c>
      <c r="F32" s="128" t="s">
        <v>25</v>
      </c>
      <c r="G32" s="130">
        <v>2.2000000000000001E-3</v>
      </c>
      <c r="H32" s="131" t="s">
        <v>26</v>
      </c>
      <c r="I32" s="132">
        <f t="shared" si="2"/>
        <v>13.2</v>
      </c>
      <c r="J32" s="128" t="s">
        <v>44</v>
      </c>
      <c r="K32" s="133"/>
      <c r="L32" s="128" t="s">
        <v>45</v>
      </c>
      <c r="M32" s="179" t="s">
        <v>153</v>
      </c>
      <c r="N32" s="128" t="s">
        <v>66</v>
      </c>
      <c r="O32" s="134" t="s">
        <v>145</v>
      </c>
      <c r="P32" s="104"/>
    </row>
    <row r="33" spans="1:16" ht="25.5" customHeight="1">
      <c r="A33" s="127" t="s">
        <v>63</v>
      </c>
      <c r="B33" s="128" t="s">
        <v>144</v>
      </c>
      <c r="C33" s="128" t="s">
        <v>165</v>
      </c>
      <c r="D33" s="128" t="s">
        <v>65</v>
      </c>
      <c r="E33" s="129">
        <v>6000</v>
      </c>
      <c r="F33" s="128" t="s">
        <v>25</v>
      </c>
      <c r="G33" s="130">
        <v>2.2000000000000001E-3</v>
      </c>
      <c r="H33" s="131" t="s">
        <v>26</v>
      </c>
      <c r="I33" s="132">
        <f t="shared" si="2"/>
        <v>13.2</v>
      </c>
      <c r="J33" s="128" t="s">
        <v>44</v>
      </c>
      <c r="K33" s="133"/>
      <c r="L33" s="128" t="s">
        <v>45</v>
      </c>
      <c r="M33" s="179" t="s">
        <v>153</v>
      </c>
      <c r="N33" s="128" t="s">
        <v>66</v>
      </c>
      <c r="O33" s="134" t="s">
        <v>145</v>
      </c>
      <c r="P33" s="104"/>
    </row>
    <row r="34" spans="1:16" ht="25.5" customHeight="1">
      <c r="A34" s="127" t="s">
        <v>64</v>
      </c>
      <c r="B34" s="128" t="s">
        <v>144</v>
      </c>
      <c r="C34" s="128" t="s">
        <v>140</v>
      </c>
      <c r="D34" s="128" t="s">
        <v>65</v>
      </c>
      <c r="E34" s="129">
        <v>9000</v>
      </c>
      <c r="F34" s="128" t="s">
        <v>25</v>
      </c>
      <c r="G34" s="130">
        <v>2.2000000000000001E-3</v>
      </c>
      <c r="H34" s="131" t="s">
        <v>26</v>
      </c>
      <c r="I34" s="132">
        <f t="shared" si="2"/>
        <v>19.8</v>
      </c>
      <c r="J34" s="128" t="s">
        <v>44</v>
      </c>
      <c r="K34" s="133"/>
      <c r="L34" s="128" t="s">
        <v>45</v>
      </c>
      <c r="M34" s="179" t="s">
        <v>153</v>
      </c>
      <c r="N34" s="128" t="s">
        <v>66</v>
      </c>
      <c r="O34" s="134" t="s">
        <v>145</v>
      </c>
      <c r="P34" s="104"/>
    </row>
    <row r="35" spans="1:16" ht="25.5" customHeight="1">
      <c r="A35" s="127" t="s">
        <v>68</v>
      </c>
      <c r="B35" s="128" t="s">
        <v>144</v>
      </c>
      <c r="C35" s="128" t="s">
        <v>140</v>
      </c>
      <c r="D35" s="128" t="s">
        <v>65</v>
      </c>
      <c r="E35" s="129">
        <v>6000</v>
      </c>
      <c r="F35" s="128" t="s">
        <v>25</v>
      </c>
      <c r="G35" s="130">
        <v>2.2000000000000001E-3</v>
      </c>
      <c r="H35" s="131" t="s">
        <v>26</v>
      </c>
      <c r="I35" s="132">
        <f t="shared" si="2"/>
        <v>13.2</v>
      </c>
      <c r="J35" s="128" t="s">
        <v>44</v>
      </c>
      <c r="K35" s="133"/>
      <c r="L35" s="128" t="s">
        <v>45</v>
      </c>
      <c r="M35" s="179" t="s">
        <v>153</v>
      </c>
      <c r="N35" s="128" t="s">
        <v>66</v>
      </c>
      <c r="O35" s="134" t="s">
        <v>145</v>
      </c>
      <c r="P35" s="104"/>
    </row>
    <row r="36" spans="1:16" ht="25.5" customHeight="1">
      <c r="A36" s="127" t="s">
        <v>69</v>
      </c>
      <c r="B36" s="128" t="s">
        <v>144</v>
      </c>
      <c r="C36" s="128" t="s">
        <v>140</v>
      </c>
      <c r="D36" s="128" t="s">
        <v>65</v>
      </c>
      <c r="E36" s="129">
        <v>6000</v>
      </c>
      <c r="F36" s="128" t="s">
        <v>25</v>
      </c>
      <c r="G36" s="130">
        <v>2.2000000000000001E-3</v>
      </c>
      <c r="H36" s="131" t="s">
        <v>26</v>
      </c>
      <c r="I36" s="132">
        <f t="shared" si="2"/>
        <v>13.2</v>
      </c>
      <c r="J36" s="128" t="s">
        <v>44</v>
      </c>
      <c r="K36" s="133"/>
      <c r="L36" s="128" t="s">
        <v>45</v>
      </c>
      <c r="M36" s="179" t="s">
        <v>153</v>
      </c>
      <c r="N36" s="128" t="s">
        <v>66</v>
      </c>
      <c r="O36" s="134" t="s">
        <v>145</v>
      </c>
      <c r="P36" s="104"/>
    </row>
    <row r="37" spans="1:16" ht="25.5" customHeight="1">
      <c r="A37" s="127" t="s">
        <v>70</v>
      </c>
      <c r="B37" s="128" t="s">
        <v>144</v>
      </c>
      <c r="C37" s="128" t="s">
        <v>141</v>
      </c>
      <c r="D37" s="128" t="s">
        <v>65</v>
      </c>
      <c r="E37" s="129">
        <v>9000</v>
      </c>
      <c r="F37" s="128" t="s">
        <v>25</v>
      </c>
      <c r="G37" s="130">
        <v>2.2000000000000001E-3</v>
      </c>
      <c r="H37" s="131" t="s">
        <v>26</v>
      </c>
      <c r="I37" s="132">
        <f t="shared" si="2"/>
        <v>19.8</v>
      </c>
      <c r="J37" s="128" t="s">
        <v>44</v>
      </c>
      <c r="K37" s="133"/>
      <c r="L37" s="128" t="s">
        <v>45</v>
      </c>
      <c r="M37" s="179" t="s">
        <v>153</v>
      </c>
      <c r="N37" s="128" t="s">
        <v>66</v>
      </c>
      <c r="O37" s="134" t="s">
        <v>145</v>
      </c>
      <c r="P37" s="104"/>
    </row>
    <row r="38" spans="1:16" ht="25.5" customHeight="1">
      <c r="A38" s="127" t="s">
        <v>71</v>
      </c>
      <c r="B38" s="128" t="s">
        <v>144</v>
      </c>
      <c r="C38" s="128" t="s">
        <v>141</v>
      </c>
      <c r="D38" s="128" t="s">
        <v>65</v>
      </c>
      <c r="E38" s="129">
        <v>6000</v>
      </c>
      <c r="F38" s="128" t="s">
        <v>25</v>
      </c>
      <c r="G38" s="130">
        <v>2.2000000000000001E-3</v>
      </c>
      <c r="H38" s="131" t="s">
        <v>26</v>
      </c>
      <c r="I38" s="132">
        <f t="shared" si="2"/>
        <v>13.2</v>
      </c>
      <c r="J38" s="128" t="s">
        <v>44</v>
      </c>
      <c r="K38" s="133"/>
      <c r="L38" s="128" t="s">
        <v>45</v>
      </c>
      <c r="M38" s="179" t="s">
        <v>153</v>
      </c>
      <c r="N38" s="128" t="s">
        <v>66</v>
      </c>
      <c r="O38" s="134" t="s">
        <v>145</v>
      </c>
      <c r="P38" s="104"/>
    </row>
    <row r="39" spans="1:16" ht="25.5" customHeight="1">
      <c r="A39" s="127" t="s">
        <v>124</v>
      </c>
      <c r="B39" s="128" t="s">
        <v>144</v>
      </c>
      <c r="C39" s="128" t="s">
        <v>141</v>
      </c>
      <c r="D39" s="128" t="s">
        <v>65</v>
      </c>
      <c r="E39" s="129">
        <v>6000</v>
      </c>
      <c r="F39" s="128" t="s">
        <v>25</v>
      </c>
      <c r="G39" s="130">
        <v>2.2000000000000001E-3</v>
      </c>
      <c r="H39" s="131" t="s">
        <v>26</v>
      </c>
      <c r="I39" s="132">
        <f t="shared" ref="I39:I42" si="3">ROUND(E39*G39,2)</f>
        <v>13.2</v>
      </c>
      <c r="J39" s="128" t="s">
        <v>44</v>
      </c>
      <c r="K39" s="133"/>
      <c r="L39" s="128" t="s">
        <v>45</v>
      </c>
      <c r="M39" s="179" t="s">
        <v>153</v>
      </c>
      <c r="N39" s="128" t="s">
        <v>66</v>
      </c>
      <c r="O39" s="134" t="s">
        <v>145</v>
      </c>
      <c r="P39" s="104"/>
    </row>
    <row r="40" spans="1:16" ht="25.5" customHeight="1">
      <c r="A40" s="127" t="s">
        <v>125</v>
      </c>
      <c r="B40" s="128" t="s">
        <v>144</v>
      </c>
      <c r="C40" s="128" t="s">
        <v>141</v>
      </c>
      <c r="D40" s="128" t="s">
        <v>65</v>
      </c>
      <c r="E40" s="129">
        <v>3000</v>
      </c>
      <c r="F40" s="128" t="s">
        <v>25</v>
      </c>
      <c r="G40" s="130">
        <v>2.2000000000000001E-3</v>
      </c>
      <c r="H40" s="131" t="s">
        <v>26</v>
      </c>
      <c r="I40" s="132">
        <f t="shared" si="3"/>
        <v>6.6</v>
      </c>
      <c r="J40" s="128" t="s">
        <v>44</v>
      </c>
      <c r="K40" s="133"/>
      <c r="L40" s="128" t="s">
        <v>45</v>
      </c>
      <c r="M40" s="179" t="s">
        <v>153</v>
      </c>
      <c r="N40" s="128" t="s">
        <v>66</v>
      </c>
      <c r="O40" s="134" t="s">
        <v>145</v>
      </c>
      <c r="P40" s="104"/>
    </row>
    <row r="41" spans="1:16" ht="25.5" customHeight="1">
      <c r="A41" s="127" t="s">
        <v>126</v>
      </c>
      <c r="B41" s="128" t="s">
        <v>179</v>
      </c>
      <c r="C41" s="128" t="s">
        <v>118</v>
      </c>
      <c r="D41" s="128" t="s">
        <v>65</v>
      </c>
      <c r="E41" s="129">
        <v>9000</v>
      </c>
      <c r="F41" s="128" t="s">
        <v>25</v>
      </c>
      <c r="G41" s="130">
        <v>2.2000000000000001E-3</v>
      </c>
      <c r="H41" s="131" t="s">
        <v>26</v>
      </c>
      <c r="I41" s="132">
        <f t="shared" si="3"/>
        <v>19.8</v>
      </c>
      <c r="J41" s="128" t="s">
        <v>44</v>
      </c>
      <c r="K41" s="133"/>
      <c r="L41" s="128" t="s">
        <v>45</v>
      </c>
      <c r="M41" s="179" t="s">
        <v>153</v>
      </c>
      <c r="N41" s="128" t="s">
        <v>175</v>
      </c>
      <c r="O41" s="134">
        <v>0.5</v>
      </c>
      <c r="P41" s="104"/>
    </row>
    <row r="42" spans="1:16" ht="25.5" customHeight="1">
      <c r="A42" s="127" t="s">
        <v>127</v>
      </c>
      <c r="B42" s="128" t="s">
        <v>179</v>
      </c>
      <c r="C42" s="128" t="s">
        <v>115</v>
      </c>
      <c r="D42" s="128" t="s">
        <v>65</v>
      </c>
      <c r="E42" s="129">
        <v>6000</v>
      </c>
      <c r="F42" s="128" t="s">
        <v>25</v>
      </c>
      <c r="G42" s="130">
        <v>2.2000000000000001E-3</v>
      </c>
      <c r="H42" s="131" t="s">
        <v>26</v>
      </c>
      <c r="I42" s="132">
        <f t="shared" si="3"/>
        <v>13.2</v>
      </c>
      <c r="J42" s="128" t="s">
        <v>44</v>
      </c>
      <c r="K42" s="133"/>
      <c r="L42" s="128" t="s">
        <v>45</v>
      </c>
      <c r="M42" s="179" t="s">
        <v>153</v>
      </c>
      <c r="N42" s="128" t="s">
        <v>175</v>
      </c>
      <c r="O42" s="134" t="s">
        <v>145</v>
      </c>
      <c r="P42" s="104"/>
    </row>
    <row r="43" spans="1:16" ht="13.5" customHeight="1">
      <c r="A43" s="127"/>
      <c r="B43" s="128"/>
      <c r="C43" s="128"/>
      <c r="D43" s="128"/>
      <c r="E43" s="129"/>
      <c r="F43" s="128"/>
      <c r="G43" s="130"/>
      <c r="H43" s="131"/>
      <c r="I43" s="132"/>
      <c r="J43" s="128"/>
      <c r="K43" s="133"/>
      <c r="L43" s="128"/>
      <c r="M43" s="128"/>
      <c r="N43" s="128"/>
      <c r="O43" s="134"/>
      <c r="P43" s="104"/>
    </row>
    <row r="44" spans="1:16">
      <c r="A44" s="15"/>
      <c r="B44" s="15"/>
      <c r="C44" s="172" t="s">
        <v>29</v>
      </c>
      <c r="D44" s="172"/>
      <c r="E44" s="173">
        <f>SUM(E18:E42)</f>
        <v>351000</v>
      </c>
      <c r="F44" s="174"/>
      <c r="G44" s="175"/>
      <c r="H44" s="175"/>
      <c r="I44" s="176">
        <f>SUM(I18:I42)</f>
        <v>3663.6999999999989</v>
      </c>
      <c r="J44" s="177"/>
      <c r="K44" s="177"/>
      <c r="L44" s="177"/>
      <c r="M44" s="177"/>
      <c r="N44" s="177"/>
      <c r="O44" s="178">
        <f>SUM(O18:O42)</f>
        <v>8</v>
      </c>
      <c r="P44" s="105"/>
    </row>
    <row r="45" spans="1:16">
      <c r="A45" s="87"/>
      <c r="M45" s="106" t="s">
        <v>130</v>
      </c>
    </row>
    <row r="46" spans="1:16">
      <c r="A46" s="87"/>
      <c r="M46" s="106"/>
    </row>
    <row r="47" spans="1:16">
      <c r="A47" s="87"/>
      <c r="M47" s="106"/>
    </row>
    <row r="48" spans="1:16">
      <c r="A48" s="87"/>
      <c r="M48" s="106" t="s">
        <v>131</v>
      </c>
    </row>
    <row r="49" spans="1:1">
      <c r="A49" s="87"/>
    </row>
  </sheetData>
  <mergeCells count="11">
    <mergeCell ref="A1:O1"/>
    <mergeCell ref="E8:I8"/>
    <mergeCell ref="A14:B14"/>
    <mergeCell ref="C14:D14"/>
    <mergeCell ref="C16:D16"/>
    <mergeCell ref="A4:D5"/>
    <mergeCell ref="A12:D12"/>
    <mergeCell ref="A8:D8"/>
    <mergeCell ref="A11:D11"/>
    <mergeCell ref="F16:G16"/>
    <mergeCell ref="A10:D10"/>
  </mergeCells>
  <phoneticPr fontId="14" type="noConversion"/>
  <conditionalFormatting sqref="E18:E44">
    <cfRule type="expression" dxfId="11" priority="1">
      <formula>AND(OR($E18="Demand quantity",$E18="Available PO quantity"),(COLUMN()-17)&gt;=$A18)</formula>
    </cfRule>
    <cfRule type="expression" dxfId="10" priority="2">
      <formula>AND($E18="Supply commitment",(COLUMN()-17)&gt;=$A18)</formula>
    </cfRule>
    <cfRule type="expression" dxfId="9" priority="3">
      <formula>AND($E18="Demand quantity",(COLUMN()-17)&lt;#REF!)</formula>
    </cfRule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12"/>
  <sheetViews>
    <sheetView view="pageBreakPreview" zoomScaleNormal="60" zoomScaleSheetLayoutView="100" workbookViewId="0">
      <selection activeCell="E43" sqref="E43"/>
    </sheetView>
  </sheetViews>
  <sheetFormatPr defaultColWidth="9" defaultRowHeight="15.75"/>
  <cols>
    <col min="1" max="1" width="8.7109375" style="12" customWidth="1"/>
    <col min="2" max="2" width="17" bestFit="1" customWidth="1"/>
    <col min="3" max="3" width="17.140625" bestFit="1" customWidth="1"/>
    <col min="4" max="4" width="26.42578125" bestFit="1" customWidth="1"/>
    <col min="5" max="5" width="21.140625" bestFit="1" customWidth="1"/>
    <col min="6" max="6" width="12.5703125" customWidth="1"/>
    <col min="7" max="7" width="6.5703125" customWidth="1"/>
    <col min="8" max="8" width="13" customWidth="1"/>
    <col min="9" max="9" width="10.7109375" customWidth="1"/>
    <col min="10" max="10" width="20.5703125" customWidth="1"/>
  </cols>
  <sheetData>
    <row r="1" spans="1:10" s="78" customFormat="1" ht="23.25">
      <c r="A1" s="204" t="s">
        <v>30</v>
      </c>
      <c r="B1" s="205"/>
      <c r="C1" s="205"/>
      <c r="D1" s="205"/>
      <c r="E1" s="205"/>
      <c r="F1" s="205"/>
      <c r="G1" s="205"/>
      <c r="H1" s="205"/>
      <c r="I1" s="205"/>
      <c r="J1" s="206"/>
    </row>
    <row r="2" spans="1:10">
      <c r="A2" s="135"/>
      <c r="B2" s="107"/>
      <c r="C2" s="107"/>
      <c r="D2" s="107"/>
      <c r="E2" s="107"/>
      <c r="F2" s="32"/>
      <c r="G2" s="32"/>
      <c r="H2" s="32"/>
      <c r="I2" s="32"/>
      <c r="J2" s="136"/>
    </row>
    <row r="3" spans="1:10">
      <c r="A3" s="137" t="s">
        <v>137</v>
      </c>
      <c r="B3" s="2"/>
      <c r="C3" s="3"/>
      <c r="D3" s="3"/>
      <c r="E3" s="3"/>
      <c r="F3" s="1" t="s">
        <v>138</v>
      </c>
      <c r="G3" s="3"/>
      <c r="H3" s="100"/>
      <c r="I3" s="100"/>
      <c r="J3" s="138"/>
    </row>
    <row r="4" spans="1:10" ht="18.75" customHeight="1">
      <c r="A4" s="139" t="s">
        <v>38</v>
      </c>
      <c r="B4" s="94"/>
      <c r="C4" s="100"/>
      <c r="D4" s="100"/>
      <c r="E4" s="100"/>
      <c r="F4" s="33" t="str">
        <f>INV!E3</f>
        <v>QWD910-INV250815004</v>
      </c>
      <c r="G4" s="100"/>
      <c r="H4" s="100"/>
      <c r="I4" s="100"/>
      <c r="J4" s="138"/>
    </row>
    <row r="5" spans="1:10" ht="19.5" customHeight="1">
      <c r="A5" s="211" t="s">
        <v>46</v>
      </c>
      <c r="B5" s="212"/>
      <c r="C5" s="212"/>
      <c r="D5" s="212"/>
      <c r="E5" s="108"/>
      <c r="F5" s="34">
        <f>INV!E4</f>
        <v>45884</v>
      </c>
      <c r="G5" s="100"/>
      <c r="H5" s="100"/>
      <c r="I5" s="100"/>
      <c r="J5" s="138"/>
    </row>
    <row r="6" spans="1:10" ht="24.75" customHeight="1">
      <c r="A6" s="213"/>
      <c r="B6" s="214"/>
      <c r="C6" s="214"/>
      <c r="D6" s="214"/>
      <c r="E6" s="38"/>
      <c r="F6" s="5"/>
      <c r="G6" s="6"/>
      <c r="H6" s="6"/>
      <c r="I6" s="6"/>
      <c r="J6" s="140"/>
    </row>
    <row r="7" spans="1:10">
      <c r="A7" s="141" t="s">
        <v>1</v>
      </c>
      <c r="B7" s="2"/>
      <c r="C7" s="8"/>
      <c r="D7" s="8"/>
      <c r="E7" s="109"/>
      <c r="F7" s="39" t="s">
        <v>31</v>
      </c>
      <c r="G7" s="100"/>
      <c r="H7" s="100"/>
      <c r="I7" s="100"/>
      <c r="J7" s="138"/>
    </row>
    <row r="8" spans="1:10">
      <c r="A8" s="142" t="s">
        <v>47</v>
      </c>
      <c r="B8" s="94"/>
      <c r="C8" s="109"/>
      <c r="D8" s="109"/>
      <c r="E8" s="109"/>
      <c r="F8" s="39"/>
      <c r="G8" s="84"/>
      <c r="H8" s="84"/>
      <c r="I8" s="84"/>
      <c r="J8" s="138"/>
    </row>
    <row r="9" spans="1:10" ht="9" customHeight="1">
      <c r="A9" s="215" t="s">
        <v>42</v>
      </c>
      <c r="B9" s="216"/>
      <c r="C9" s="216"/>
      <c r="D9" s="216"/>
      <c r="E9" s="42"/>
      <c r="F9" s="39"/>
      <c r="G9" s="100"/>
      <c r="H9" s="100"/>
      <c r="I9" s="84"/>
      <c r="J9" s="138"/>
    </row>
    <row r="10" spans="1:10">
      <c r="A10" s="217"/>
      <c r="B10" s="218"/>
      <c r="C10" s="218"/>
      <c r="D10" s="218"/>
      <c r="E10" s="43"/>
      <c r="F10" s="39"/>
      <c r="G10" s="100"/>
      <c r="H10" s="100"/>
      <c r="I10" s="84"/>
      <c r="J10" s="138"/>
    </row>
    <row r="11" spans="1:10" ht="16.5" customHeight="1">
      <c r="A11" s="143" t="s">
        <v>2</v>
      </c>
      <c r="B11" s="110"/>
      <c r="C11" s="100"/>
      <c r="D11" s="100"/>
      <c r="E11" s="100"/>
      <c r="F11" s="40"/>
      <c r="G11" s="102"/>
      <c r="H11" s="100"/>
      <c r="I11" s="100"/>
      <c r="J11" s="138"/>
    </row>
    <row r="12" spans="1:10" ht="21" customHeight="1">
      <c r="A12" s="219" t="s">
        <v>43</v>
      </c>
      <c r="B12" s="202"/>
      <c r="C12" s="202"/>
      <c r="D12" s="202"/>
      <c r="E12" s="97"/>
      <c r="F12" s="40"/>
      <c r="G12" s="102"/>
      <c r="H12" s="100"/>
      <c r="I12" s="100"/>
      <c r="J12" s="138"/>
    </row>
    <row r="13" spans="1:10" ht="19.5" customHeight="1">
      <c r="A13" s="219" t="s">
        <v>112</v>
      </c>
      <c r="B13" s="202"/>
      <c r="C13" s="202"/>
      <c r="D13" s="202"/>
      <c r="E13" s="37"/>
      <c r="F13" s="41"/>
      <c r="G13" s="100"/>
      <c r="H13" s="100"/>
      <c r="I13" s="100"/>
      <c r="J13" s="138"/>
    </row>
    <row r="14" spans="1:10" ht="7.5" customHeight="1">
      <c r="A14" s="220"/>
      <c r="B14" s="221"/>
      <c r="C14" s="221"/>
      <c r="D14" s="221"/>
      <c r="E14" s="44"/>
      <c r="F14" s="207"/>
      <c r="G14" s="208"/>
      <c r="H14" s="111"/>
      <c r="I14" s="112"/>
      <c r="J14" s="138"/>
    </row>
    <row r="15" spans="1:10">
      <c r="A15" s="144" t="s">
        <v>32</v>
      </c>
      <c r="B15" s="110"/>
      <c r="C15" s="10"/>
      <c r="D15" s="110" t="s">
        <v>33</v>
      </c>
      <c r="E15" s="110"/>
      <c r="F15" s="207"/>
      <c r="G15" s="208"/>
      <c r="H15" s="113"/>
      <c r="I15" s="100"/>
      <c r="J15" s="138"/>
    </row>
    <row r="16" spans="1:10">
      <c r="A16" s="209"/>
      <c r="B16" s="210"/>
      <c r="C16" s="188"/>
      <c r="D16" s="35"/>
      <c r="E16" s="36"/>
      <c r="F16" s="207"/>
      <c r="G16" s="208"/>
      <c r="H16" s="113"/>
      <c r="I16" s="100"/>
      <c r="J16" s="138"/>
    </row>
    <row r="17" spans="1:10">
      <c r="A17" s="145" t="s">
        <v>6</v>
      </c>
      <c r="B17" s="110"/>
      <c r="C17" s="10"/>
      <c r="D17" s="110" t="s">
        <v>7</v>
      </c>
      <c r="E17" s="110"/>
      <c r="F17" s="41"/>
      <c r="G17" s="100"/>
      <c r="H17" s="100"/>
      <c r="I17" s="100"/>
      <c r="J17" s="138"/>
    </row>
    <row r="18" spans="1:10">
      <c r="A18" s="222" t="s">
        <v>139</v>
      </c>
      <c r="B18" s="223"/>
      <c r="C18" s="186"/>
      <c r="D18" s="148"/>
      <c r="E18" s="149"/>
      <c r="F18" s="41"/>
      <c r="G18" s="100"/>
      <c r="H18" s="100"/>
      <c r="I18" s="100"/>
      <c r="J18" s="138"/>
    </row>
    <row r="19" spans="1:10" ht="15.75" customHeight="1">
      <c r="A19" s="226" t="s">
        <v>34</v>
      </c>
      <c r="B19" s="228" t="s">
        <v>11</v>
      </c>
      <c r="C19" s="228" t="s">
        <v>10</v>
      </c>
      <c r="D19" s="228" t="s">
        <v>12</v>
      </c>
      <c r="E19" s="228"/>
      <c r="F19" s="230" t="s">
        <v>13</v>
      </c>
      <c r="G19" s="230" t="s">
        <v>14</v>
      </c>
      <c r="H19" s="157" t="s">
        <v>35</v>
      </c>
      <c r="I19" s="157" t="s">
        <v>36</v>
      </c>
      <c r="J19" s="224" t="s">
        <v>67</v>
      </c>
    </row>
    <row r="20" spans="1:10">
      <c r="A20" s="227"/>
      <c r="B20" s="229"/>
      <c r="C20" s="229"/>
      <c r="D20" s="229"/>
      <c r="E20" s="229"/>
      <c r="F20" s="231"/>
      <c r="G20" s="231"/>
      <c r="H20" s="158" t="s">
        <v>37</v>
      </c>
      <c r="I20" s="158" t="s">
        <v>37</v>
      </c>
      <c r="J20" s="225"/>
    </row>
    <row r="21" spans="1:10" s="114" customFormat="1" ht="26.25" customHeight="1">
      <c r="A21" s="126" t="s">
        <v>146</v>
      </c>
      <c r="B21" s="114" t="s">
        <v>114</v>
      </c>
      <c r="C21" s="114" t="s">
        <v>113</v>
      </c>
      <c r="D21" s="114" t="s">
        <v>119</v>
      </c>
      <c r="E21" s="114" t="s">
        <v>49</v>
      </c>
      <c r="F21" s="116">
        <v>200000</v>
      </c>
      <c r="G21" s="114" t="s">
        <v>25</v>
      </c>
      <c r="H21" s="115">
        <v>1.6</v>
      </c>
      <c r="I21" s="115">
        <v>2.1</v>
      </c>
      <c r="J21" s="115" t="s">
        <v>181</v>
      </c>
    </row>
    <row r="22" spans="1:10" s="114" customFormat="1" ht="26.25" customHeight="1">
      <c r="A22" s="126" t="s">
        <v>147</v>
      </c>
      <c r="B22" s="114" t="s">
        <v>140</v>
      </c>
      <c r="C22" s="114" t="s">
        <v>116</v>
      </c>
      <c r="D22" s="114" t="s">
        <v>120</v>
      </c>
      <c r="E22" s="114" t="s">
        <v>49</v>
      </c>
      <c r="F22" s="116">
        <v>3000</v>
      </c>
      <c r="G22" s="114" t="s">
        <v>25</v>
      </c>
      <c r="H22" s="115">
        <v>1.3</v>
      </c>
      <c r="I22" s="115">
        <v>2.5</v>
      </c>
      <c r="J22" s="115" t="s">
        <v>182</v>
      </c>
    </row>
    <row r="23" spans="1:10" s="114" customFormat="1" ht="26.25" customHeight="1">
      <c r="A23" s="126" t="s">
        <v>145</v>
      </c>
      <c r="B23" s="114" t="s">
        <v>141</v>
      </c>
      <c r="C23" s="114" t="s">
        <v>116</v>
      </c>
      <c r="D23" s="114" t="s">
        <v>120</v>
      </c>
      <c r="E23" s="114" t="s">
        <v>49</v>
      </c>
      <c r="F23" s="116">
        <v>3000</v>
      </c>
      <c r="G23" s="114" t="s">
        <v>25</v>
      </c>
      <c r="H23" s="115" t="s">
        <v>145</v>
      </c>
      <c r="I23" s="115" t="s">
        <v>145</v>
      </c>
      <c r="J23" s="115" t="s">
        <v>145</v>
      </c>
    </row>
    <row r="24" spans="1:10" s="114" customFormat="1" ht="26.25" customHeight="1">
      <c r="A24" s="126" t="s">
        <v>148</v>
      </c>
      <c r="B24" s="114" t="s">
        <v>160</v>
      </c>
      <c r="C24" s="114" t="s">
        <v>159</v>
      </c>
      <c r="D24" s="114" t="s">
        <v>168</v>
      </c>
      <c r="E24" s="114" t="s">
        <v>49</v>
      </c>
      <c r="F24" s="116">
        <v>5000</v>
      </c>
      <c r="G24" s="114" t="s">
        <v>25</v>
      </c>
      <c r="H24" s="115">
        <v>0.6</v>
      </c>
      <c r="I24" s="115">
        <v>1.7</v>
      </c>
      <c r="J24" s="115" t="s">
        <v>182</v>
      </c>
    </row>
    <row r="25" spans="1:10" s="114" customFormat="1" ht="26.25" customHeight="1">
      <c r="A25" s="126" t="s">
        <v>149</v>
      </c>
      <c r="B25" s="114" t="s">
        <v>114</v>
      </c>
      <c r="C25" s="114" t="s">
        <v>161</v>
      </c>
      <c r="D25" s="114" t="s">
        <v>169</v>
      </c>
      <c r="E25" s="114" t="s">
        <v>49</v>
      </c>
      <c r="F25" s="116">
        <v>9000</v>
      </c>
      <c r="G25" s="114" t="s">
        <v>25</v>
      </c>
      <c r="H25" s="115">
        <v>0.3</v>
      </c>
      <c r="I25" s="115">
        <v>0.4</v>
      </c>
      <c r="J25" s="115" t="s">
        <v>183</v>
      </c>
    </row>
    <row r="26" spans="1:10" s="114" customFormat="1" ht="26.25" customHeight="1">
      <c r="A26" s="126" t="s">
        <v>150</v>
      </c>
      <c r="B26" s="114" t="s">
        <v>163</v>
      </c>
      <c r="C26" s="114" t="s">
        <v>162</v>
      </c>
      <c r="D26" s="114" t="s">
        <v>170</v>
      </c>
      <c r="E26" s="114" t="s">
        <v>167</v>
      </c>
      <c r="F26" s="116">
        <v>5000</v>
      </c>
      <c r="G26" s="114" t="s">
        <v>25</v>
      </c>
      <c r="H26" s="115">
        <v>0.1</v>
      </c>
      <c r="I26" s="115">
        <v>0.2</v>
      </c>
      <c r="J26" s="115" t="s">
        <v>183</v>
      </c>
    </row>
    <row r="27" spans="1:10" s="114" customFormat="1" ht="26.25" customHeight="1">
      <c r="A27" s="126" t="s">
        <v>151</v>
      </c>
      <c r="B27" s="114" t="s">
        <v>115</v>
      </c>
      <c r="C27" s="114" t="s">
        <v>117</v>
      </c>
      <c r="D27" s="114" t="s">
        <v>121</v>
      </c>
      <c r="E27" s="114" t="s">
        <v>65</v>
      </c>
      <c r="F27" s="116">
        <v>3000</v>
      </c>
      <c r="G27" s="114" t="s">
        <v>25</v>
      </c>
      <c r="H27" s="115">
        <v>3.6</v>
      </c>
      <c r="I27" s="115">
        <v>4.3</v>
      </c>
      <c r="J27" s="115" t="s">
        <v>184</v>
      </c>
    </row>
    <row r="28" spans="1:10" s="114" customFormat="1" ht="26.25" customHeight="1">
      <c r="A28" s="126" t="s">
        <v>145</v>
      </c>
      <c r="B28" s="114" t="s">
        <v>115</v>
      </c>
      <c r="C28" s="114" t="s">
        <v>117</v>
      </c>
      <c r="D28" s="114" t="s">
        <v>121</v>
      </c>
      <c r="E28" s="114" t="s">
        <v>65</v>
      </c>
      <c r="F28" s="116">
        <v>9000</v>
      </c>
      <c r="G28" s="114" t="s">
        <v>25</v>
      </c>
      <c r="H28" s="126" t="s">
        <v>145</v>
      </c>
      <c r="I28" s="115" t="s">
        <v>145</v>
      </c>
      <c r="J28" s="115" t="s">
        <v>145</v>
      </c>
    </row>
    <row r="29" spans="1:10" s="114" customFormat="1" ht="26.25" customHeight="1">
      <c r="A29" s="126" t="s">
        <v>145</v>
      </c>
      <c r="B29" s="114" t="s">
        <v>115</v>
      </c>
      <c r="C29" s="114" t="s">
        <v>117</v>
      </c>
      <c r="D29" s="114" t="s">
        <v>121</v>
      </c>
      <c r="E29" s="114" t="s">
        <v>65</v>
      </c>
      <c r="F29" s="116">
        <v>6000</v>
      </c>
      <c r="G29" s="114" t="s">
        <v>25</v>
      </c>
      <c r="H29" s="126" t="s">
        <v>145</v>
      </c>
      <c r="I29" s="115" t="s">
        <v>145</v>
      </c>
      <c r="J29" s="115" t="s">
        <v>145</v>
      </c>
    </row>
    <row r="30" spans="1:10" s="114" customFormat="1" ht="26.25" customHeight="1">
      <c r="A30" s="126" t="s">
        <v>145</v>
      </c>
      <c r="B30" s="114" t="s">
        <v>115</v>
      </c>
      <c r="C30" s="114" t="s">
        <v>117</v>
      </c>
      <c r="D30" s="114" t="s">
        <v>180</v>
      </c>
      <c r="E30" s="114" t="s">
        <v>65</v>
      </c>
      <c r="F30" s="116">
        <v>6000</v>
      </c>
      <c r="G30" s="114" t="s">
        <v>25</v>
      </c>
      <c r="H30" s="126" t="s">
        <v>145</v>
      </c>
      <c r="I30" s="115" t="s">
        <v>145</v>
      </c>
      <c r="J30" s="115" t="s">
        <v>145</v>
      </c>
    </row>
    <row r="31" spans="1:10" s="114" customFormat="1" ht="26.25" customHeight="1">
      <c r="A31" s="126" t="s">
        <v>145</v>
      </c>
      <c r="B31" s="114" t="s">
        <v>164</v>
      </c>
      <c r="C31" s="114" t="s">
        <v>117</v>
      </c>
      <c r="D31" s="114" t="s">
        <v>121</v>
      </c>
      <c r="E31" s="114" t="s">
        <v>65</v>
      </c>
      <c r="F31" s="116">
        <v>9000</v>
      </c>
      <c r="G31" s="114" t="s">
        <v>25</v>
      </c>
      <c r="H31" s="126" t="s">
        <v>145</v>
      </c>
      <c r="I31" s="115" t="s">
        <v>145</v>
      </c>
      <c r="J31" s="115" t="s">
        <v>145</v>
      </c>
    </row>
    <row r="32" spans="1:10" s="114" customFormat="1" ht="26.25" customHeight="1">
      <c r="A32" s="126" t="s">
        <v>145</v>
      </c>
      <c r="B32" s="114" t="s">
        <v>164</v>
      </c>
      <c r="C32" s="114" t="s">
        <v>117</v>
      </c>
      <c r="D32" s="114" t="s">
        <v>121</v>
      </c>
      <c r="E32" s="114" t="s">
        <v>65</v>
      </c>
      <c r="F32" s="116">
        <v>6000</v>
      </c>
      <c r="G32" s="114" t="s">
        <v>25</v>
      </c>
      <c r="H32" s="126" t="s">
        <v>145</v>
      </c>
      <c r="I32" s="115" t="s">
        <v>145</v>
      </c>
      <c r="J32" s="115" t="s">
        <v>145</v>
      </c>
    </row>
    <row r="33" spans="1:10" s="114" customFormat="1" ht="26.25" customHeight="1">
      <c r="A33" s="126" t="s">
        <v>145</v>
      </c>
      <c r="B33" s="114" t="s">
        <v>164</v>
      </c>
      <c r="C33" s="114" t="s">
        <v>117</v>
      </c>
      <c r="D33" s="114" t="s">
        <v>121</v>
      </c>
      <c r="E33" s="114" t="s">
        <v>65</v>
      </c>
      <c r="F33" s="116">
        <v>6000</v>
      </c>
      <c r="G33" s="114" t="s">
        <v>25</v>
      </c>
      <c r="H33" s="126" t="s">
        <v>145</v>
      </c>
      <c r="I33" s="115" t="s">
        <v>145</v>
      </c>
      <c r="J33" s="115" t="s">
        <v>145</v>
      </c>
    </row>
    <row r="34" spans="1:10" s="114" customFormat="1" ht="26.25" customHeight="1">
      <c r="A34" s="126" t="s">
        <v>145</v>
      </c>
      <c r="B34" s="114" t="s">
        <v>165</v>
      </c>
      <c r="C34" s="114" t="s">
        <v>117</v>
      </c>
      <c r="D34" s="114" t="s">
        <v>121</v>
      </c>
      <c r="E34" s="114" t="s">
        <v>65</v>
      </c>
      <c r="F34" s="116">
        <v>9000</v>
      </c>
      <c r="G34" s="114" t="s">
        <v>25</v>
      </c>
      <c r="H34" s="126" t="s">
        <v>145</v>
      </c>
      <c r="I34" s="115" t="s">
        <v>145</v>
      </c>
      <c r="J34" s="115" t="s">
        <v>145</v>
      </c>
    </row>
    <row r="35" spans="1:10" s="114" customFormat="1" ht="26.25" customHeight="1">
      <c r="A35" s="126" t="s">
        <v>145</v>
      </c>
      <c r="B35" s="114" t="s">
        <v>165</v>
      </c>
      <c r="C35" s="114" t="s">
        <v>117</v>
      </c>
      <c r="D35" s="114" t="s">
        <v>121</v>
      </c>
      <c r="E35" s="114" t="s">
        <v>65</v>
      </c>
      <c r="F35" s="116">
        <v>6000</v>
      </c>
      <c r="G35" s="114" t="s">
        <v>25</v>
      </c>
      <c r="H35" s="126" t="s">
        <v>145</v>
      </c>
      <c r="I35" s="115" t="s">
        <v>145</v>
      </c>
      <c r="J35" s="115" t="s">
        <v>145</v>
      </c>
    </row>
    <row r="36" spans="1:10" s="114" customFormat="1" ht="26.25" customHeight="1">
      <c r="A36" s="126" t="s">
        <v>145</v>
      </c>
      <c r="B36" s="114" t="s">
        <v>165</v>
      </c>
      <c r="C36" s="114" t="s">
        <v>117</v>
      </c>
      <c r="D36" s="114" t="s">
        <v>121</v>
      </c>
      <c r="E36" s="114" t="s">
        <v>65</v>
      </c>
      <c r="F36" s="116">
        <v>6000</v>
      </c>
      <c r="G36" s="114" t="s">
        <v>25</v>
      </c>
      <c r="H36" s="126" t="s">
        <v>145</v>
      </c>
      <c r="I36" s="115" t="s">
        <v>145</v>
      </c>
      <c r="J36" s="115" t="s">
        <v>145</v>
      </c>
    </row>
    <row r="37" spans="1:10" s="114" customFormat="1" ht="26.25" customHeight="1">
      <c r="A37" s="126" t="s">
        <v>145</v>
      </c>
      <c r="B37" s="114" t="s">
        <v>140</v>
      </c>
      <c r="C37" s="114" t="s">
        <v>117</v>
      </c>
      <c r="D37" s="114" t="s">
        <v>121</v>
      </c>
      <c r="E37" s="114" t="s">
        <v>65</v>
      </c>
      <c r="F37" s="116">
        <v>9000</v>
      </c>
      <c r="G37" s="114" t="s">
        <v>25</v>
      </c>
      <c r="H37" s="126" t="s">
        <v>145</v>
      </c>
      <c r="I37" s="115" t="s">
        <v>145</v>
      </c>
      <c r="J37" s="115" t="s">
        <v>145</v>
      </c>
    </row>
    <row r="38" spans="1:10" s="114" customFormat="1" ht="26.25" customHeight="1">
      <c r="A38" s="126" t="s">
        <v>145</v>
      </c>
      <c r="B38" s="114" t="s">
        <v>140</v>
      </c>
      <c r="C38" s="114" t="s">
        <v>117</v>
      </c>
      <c r="D38" s="114" t="s">
        <v>121</v>
      </c>
      <c r="E38" s="114" t="s">
        <v>65</v>
      </c>
      <c r="F38" s="116">
        <v>6000</v>
      </c>
      <c r="G38" s="114" t="s">
        <v>25</v>
      </c>
      <c r="H38" s="126" t="s">
        <v>145</v>
      </c>
      <c r="I38" s="115" t="s">
        <v>145</v>
      </c>
      <c r="J38" s="115" t="s">
        <v>145</v>
      </c>
    </row>
    <row r="39" spans="1:10" s="114" customFormat="1" ht="26.25" customHeight="1">
      <c r="A39" s="126" t="s">
        <v>145</v>
      </c>
      <c r="B39" s="114" t="s">
        <v>140</v>
      </c>
      <c r="C39" s="114" t="s">
        <v>117</v>
      </c>
      <c r="D39" s="114" t="s">
        <v>121</v>
      </c>
      <c r="E39" s="114" t="s">
        <v>65</v>
      </c>
      <c r="F39" s="116">
        <v>6000</v>
      </c>
      <c r="G39" s="114" t="s">
        <v>25</v>
      </c>
      <c r="H39" s="126" t="s">
        <v>145</v>
      </c>
      <c r="I39" s="115" t="s">
        <v>145</v>
      </c>
      <c r="J39" s="115" t="s">
        <v>145</v>
      </c>
    </row>
    <row r="40" spans="1:10" s="114" customFormat="1" ht="26.25" customHeight="1">
      <c r="A40" s="126" t="s">
        <v>145</v>
      </c>
      <c r="B40" s="114" t="s">
        <v>141</v>
      </c>
      <c r="C40" s="114" t="s">
        <v>117</v>
      </c>
      <c r="D40" s="114" t="s">
        <v>121</v>
      </c>
      <c r="E40" s="114" t="s">
        <v>65</v>
      </c>
      <c r="F40" s="116">
        <v>9000</v>
      </c>
      <c r="G40" s="114" t="s">
        <v>25</v>
      </c>
      <c r="H40" s="126" t="s">
        <v>145</v>
      </c>
      <c r="I40" s="115" t="s">
        <v>145</v>
      </c>
      <c r="J40" s="115" t="s">
        <v>145</v>
      </c>
    </row>
    <row r="41" spans="1:10" s="114" customFormat="1" ht="26.25" customHeight="1">
      <c r="A41" s="126" t="s">
        <v>145</v>
      </c>
      <c r="B41" s="114" t="s">
        <v>141</v>
      </c>
      <c r="C41" s="114" t="s">
        <v>117</v>
      </c>
      <c r="D41" s="114" t="s">
        <v>121</v>
      </c>
      <c r="E41" s="114" t="s">
        <v>65</v>
      </c>
      <c r="F41" s="116">
        <v>6000</v>
      </c>
      <c r="G41" s="114" t="s">
        <v>25</v>
      </c>
      <c r="H41" s="126" t="s">
        <v>145</v>
      </c>
      <c r="I41" s="115" t="s">
        <v>145</v>
      </c>
      <c r="J41" s="115" t="s">
        <v>145</v>
      </c>
    </row>
    <row r="42" spans="1:10" s="114" customFormat="1" ht="26.25" customHeight="1">
      <c r="A42" s="126" t="s">
        <v>145</v>
      </c>
      <c r="B42" s="114" t="s">
        <v>141</v>
      </c>
      <c r="C42" s="114" t="s">
        <v>117</v>
      </c>
      <c r="D42" s="114" t="s">
        <v>121</v>
      </c>
      <c r="E42" s="114" t="s">
        <v>65</v>
      </c>
      <c r="F42" s="116">
        <v>6000</v>
      </c>
      <c r="G42" s="114" t="s">
        <v>25</v>
      </c>
      <c r="H42" s="126" t="s">
        <v>145</v>
      </c>
      <c r="I42" s="115" t="s">
        <v>145</v>
      </c>
      <c r="J42" s="115" t="s">
        <v>145</v>
      </c>
    </row>
    <row r="43" spans="1:10" s="114" customFormat="1" ht="26.25" customHeight="1">
      <c r="A43" s="126" t="s">
        <v>145</v>
      </c>
      <c r="B43" s="114" t="s">
        <v>141</v>
      </c>
      <c r="C43" s="114" t="s">
        <v>117</v>
      </c>
      <c r="D43" s="114" t="s">
        <v>121</v>
      </c>
      <c r="E43" s="114" t="s">
        <v>65</v>
      </c>
      <c r="F43" s="116">
        <v>3000</v>
      </c>
      <c r="G43" s="114" t="s">
        <v>25</v>
      </c>
      <c r="H43" s="126" t="s">
        <v>145</v>
      </c>
      <c r="I43" s="115" t="s">
        <v>145</v>
      </c>
      <c r="J43" s="115" t="s">
        <v>145</v>
      </c>
    </row>
    <row r="44" spans="1:10" s="114" customFormat="1" ht="26.25" customHeight="1">
      <c r="A44" s="126" t="s">
        <v>152</v>
      </c>
      <c r="B44" s="114" t="s">
        <v>118</v>
      </c>
      <c r="C44" s="114" t="s">
        <v>166</v>
      </c>
      <c r="D44" s="114" t="s">
        <v>171</v>
      </c>
      <c r="E44" s="114" t="s">
        <v>65</v>
      </c>
      <c r="F44" s="116">
        <v>9000</v>
      </c>
      <c r="G44" s="114" t="s">
        <v>25</v>
      </c>
      <c r="H44" s="115">
        <v>0.5</v>
      </c>
      <c r="I44" s="115">
        <v>0.6</v>
      </c>
      <c r="J44" s="115" t="s">
        <v>183</v>
      </c>
    </row>
    <row r="45" spans="1:10" s="114" customFormat="1" ht="26.25" customHeight="1">
      <c r="A45" s="126" t="s">
        <v>145</v>
      </c>
      <c r="B45" s="114" t="s">
        <v>115</v>
      </c>
      <c r="C45" s="114" t="s">
        <v>166</v>
      </c>
      <c r="D45" s="114" t="s">
        <v>171</v>
      </c>
      <c r="E45" s="114" t="s">
        <v>65</v>
      </c>
      <c r="F45" s="116">
        <v>6000</v>
      </c>
      <c r="G45" s="114" t="s">
        <v>25</v>
      </c>
      <c r="H45" s="115" t="s">
        <v>145</v>
      </c>
      <c r="I45" s="115" t="s">
        <v>145</v>
      </c>
      <c r="J45" s="115" t="s">
        <v>145</v>
      </c>
    </row>
    <row r="46" spans="1:10" ht="12.75" customHeight="1">
      <c r="A46" s="159"/>
      <c r="B46" s="159"/>
      <c r="C46" s="160"/>
      <c r="D46" s="160"/>
      <c r="E46" s="160"/>
      <c r="F46" s="161"/>
      <c r="G46" s="160"/>
      <c r="H46" s="162"/>
      <c r="I46" s="163"/>
      <c r="J46" s="163"/>
    </row>
    <row r="47" spans="1:10">
      <c r="A47" s="164">
        <v>7</v>
      </c>
      <c r="B47" s="165"/>
      <c r="C47" s="166"/>
      <c r="D47" s="167"/>
      <c r="E47" s="168" t="s">
        <v>72</v>
      </c>
      <c r="F47" s="169">
        <f>SUM(F21:F46)</f>
        <v>351000</v>
      </c>
      <c r="G47" s="168"/>
      <c r="H47" s="170">
        <f>SUM(H21:H46)</f>
        <v>8</v>
      </c>
      <c r="I47" s="170">
        <f>SUM(I21:I46)</f>
        <v>11.799999999999999</v>
      </c>
      <c r="J47" s="171" t="s">
        <v>185</v>
      </c>
    </row>
    <row r="48" spans="1:10">
      <c r="A48" s="117"/>
      <c r="B48" s="117"/>
      <c r="C48" s="117"/>
      <c r="D48" s="117"/>
      <c r="E48" s="118" t="s">
        <v>73</v>
      </c>
      <c r="F48" s="119">
        <v>7</v>
      </c>
      <c r="G48" s="117"/>
      <c r="H48" s="117"/>
      <c r="I48" s="117"/>
      <c r="J48" s="117"/>
    </row>
    <row r="49" spans="1:10">
      <c r="A49" s="117"/>
      <c r="B49" s="117"/>
      <c r="C49" s="117"/>
      <c r="D49" s="117"/>
      <c r="E49" s="118" t="s">
        <v>74</v>
      </c>
      <c r="F49" s="120" t="s">
        <v>75</v>
      </c>
      <c r="G49" s="117"/>
      <c r="H49" s="117"/>
      <c r="I49" s="117"/>
      <c r="J49" s="117"/>
    </row>
    <row r="50" spans="1:10">
      <c r="A50"/>
      <c r="F50" s="121"/>
    </row>
    <row r="51" spans="1:10">
      <c r="A51"/>
    </row>
    <row r="52" spans="1:10">
      <c r="A52"/>
    </row>
    <row r="53" spans="1:10">
      <c r="A53"/>
      <c r="H53" s="106" t="s">
        <v>130</v>
      </c>
    </row>
    <row r="54" spans="1:10">
      <c r="A54"/>
      <c r="H54" s="106"/>
    </row>
    <row r="55" spans="1:10">
      <c r="A55"/>
      <c r="H55" s="106"/>
    </row>
    <row r="56" spans="1:10">
      <c r="A56"/>
      <c r="H56" s="106" t="s">
        <v>131</v>
      </c>
    </row>
    <row r="57" spans="1:10">
      <c r="A57"/>
    </row>
    <row r="58" spans="1:10">
      <c r="A58"/>
    </row>
    <row r="59" spans="1:10">
      <c r="A59"/>
    </row>
    <row r="60" spans="1:10">
      <c r="A60"/>
    </row>
    <row r="61" spans="1:10">
      <c r="A61"/>
    </row>
    <row r="62" spans="1:10">
      <c r="A62"/>
    </row>
    <row r="63" spans="1:10">
      <c r="A63"/>
    </row>
    <row r="64" spans="1:10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</sheetData>
  <mergeCells count="18">
    <mergeCell ref="A18:C18"/>
    <mergeCell ref="J19:J20"/>
    <mergeCell ref="A19:A20"/>
    <mergeCell ref="B19:B20"/>
    <mergeCell ref="C19:C20"/>
    <mergeCell ref="F19:F20"/>
    <mergeCell ref="G19:G20"/>
    <mergeCell ref="D19:E20"/>
    <mergeCell ref="A1:J1"/>
    <mergeCell ref="F14:G14"/>
    <mergeCell ref="F15:G15"/>
    <mergeCell ref="A16:C16"/>
    <mergeCell ref="F16:G16"/>
    <mergeCell ref="A5:D6"/>
    <mergeCell ref="A9:D10"/>
    <mergeCell ref="A13:D13"/>
    <mergeCell ref="A14:D14"/>
    <mergeCell ref="A12:D12"/>
  </mergeCells>
  <phoneticPr fontId="14" type="noConversion"/>
  <conditionalFormatting sqref="F21:F45">
    <cfRule type="expression" dxfId="8" priority="1">
      <formula>AND(OR(#REF!="Demand quantity",#REF!="Available PO quantity"),(COLUMN()-17)&gt;=$A21)</formula>
    </cfRule>
    <cfRule type="expression" dxfId="7" priority="2">
      <formula>AND(#REF!="Supply commitment",(COLUMN()-17)&gt;=$A21)</formula>
    </cfRule>
    <cfRule type="expression" dxfId="6" priority="3">
      <formula>AND(#REF!="Demand quantity",(COLUMN()-17)&lt;#REF!)</formula>
    </cfRule>
  </conditionalFormatting>
  <conditionalFormatting sqref="F47">
    <cfRule type="expression" dxfId="5" priority="4">
      <formula>AND(OR(#REF!="Demand quantity",#REF!="Available PO quantity"),(COLUMN()-17)&gt;=$A47)</formula>
    </cfRule>
    <cfRule type="expression" dxfId="4" priority="5">
      <formula>AND(#REF!="Supply commitment",(COLUMN()-17)&gt;=$A47)</formula>
    </cfRule>
    <cfRule type="expression" dxfId="3" priority="6">
      <formula>AND(#REF!="Demand quantity",(COLUMN()-17)&lt;#REF!)</formula>
    </cfRule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4883-D76C-4B8B-98D0-AFC4B675041F}">
  <sheetPr>
    <pageSetUpPr fitToPage="1"/>
  </sheetPr>
  <dimension ref="A1:IV29"/>
  <sheetViews>
    <sheetView zoomScaleNormal="100" workbookViewId="0">
      <selection activeCell="L19" sqref="L19"/>
    </sheetView>
  </sheetViews>
  <sheetFormatPr defaultColWidth="8.85546875" defaultRowHeight="14.25"/>
  <cols>
    <col min="1" max="1" width="30.28515625" style="45" customWidth="1"/>
    <col min="2" max="2" width="37" style="45" customWidth="1"/>
    <col min="3" max="3" width="6.140625" style="45" hidden="1" customWidth="1"/>
    <col min="4" max="4" width="10.28515625" style="45" customWidth="1"/>
    <col min="5" max="5" width="16.140625" style="45" customWidth="1"/>
    <col min="6" max="6" width="17.28515625" style="45" customWidth="1"/>
    <col min="7" max="7" width="14.85546875" style="45" customWidth="1"/>
    <col min="8" max="8" width="6.28515625" style="45" bestFit="1" customWidth="1"/>
    <col min="9" max="9" width="3.85546875" style="45" customWidth="1"/>
    <col min="10" max="256" width="8.85546875" style="45"/>
    <col min="257" max="257" width="30.28515625" style="45" customWidth="1"/>
    <col min="258" max="258" width="37" style="45" customWidth="1"/>
    <col min="259" max="259" width="0" style="45" hidden="1" customWidth="1"/>
    <col min="260" max="260" width="10.28515625" style="45" customWidth="1"/>
    <col min="261" max="261" width="16.140625" style="45" customWidth="1"/>
    <col min="262" max="262" width="17.28515625" style="45" customWidth="1"/>
    <col min="263" max="263" width="14.85546875" style="45" customWidth="1"/>
    <col min="264" max="264" width="6.28515625" style="45" bestFit="1" customWidth="1"/>
    <col min="265" max="265" width="3.85546875" style="45" customWidth="1"/>
    <col min="266" max="512" width="8.85546875" style="45"/>
    <col min="513" max="513" width="30.28515625" style="45" customWidth="1"/>
    <col min="514" max="514" width="37" style="45" customWidth="1"/>
    <col min="515" max="515" width="0" style="45" hidden="1" customWidth="1"/>
    <col min="516" max="516" width="10.28515625" style="45" customWidth="1"/>
    <col min="517" max="517" width="16.140625" style="45" customWidth="1"/>
    <col min="518" max="518" width="17.28515625" style="45" customWidth="1"/>
    <col min="519" max="519" width="14.85546875" style="45" customWidth="1"/>
    <col min="520" max="520" width="6.28515625" style="45" bestFit="1" customWidth="1"/>
    <col min="521" max="521" width="3.85546875" style="45" customWidth="1"/>
    <col min="522" max="768" width="8.85546875" style="45"/>
    <col min="769" max="769" width="30.28515625" style="45" customWidth="1"/>
    <col min="770" max="770" width="37" style="45" customWidth="1"/>
    <col min="771" max="771" width="0" style="45" hidden="1" customWidth="1"/>
    <col min="772" max="772" width="10.28515625" style="45" customWidth="1"/>
    <col min="773" max="773" width="16.140625" style="45" customWidth="1"/>
    <col min="774" max="774" width="17.28515625" style="45" customWidth="1"/>
    <col min="775" max="775" width="14.85546875" style="45" customWidth="1"/>
    <col min="776" max="776" width="6.28515625" style="45" bestFit="1" customWidth="1"/>
    <col min="777" max="777" width="3.85546875" style="45" customWidth="1"/>
    <col min="778" max="1024" width="8.85546875" style="45"/>
    <col min="1025" max="1025" width="30.28515625" style="45" customWidth="1"/>
    <col min="1026" max="1026" width="37" style="45" customWidth="1"/>
    <col min="1027" max="1027" width="0" style="45" hidden="1" customWidth="1"/>
    <col min="1028" max="1028" width="10.28515625" style="45" customWidth="1"/>
    <col min="1029" max="1029" width="16.140625" style="45" customWidth="1"/>
    <col min="1030" max="1030" width="17.28515625" style="45" customWidth="1"/>
    <col min="1031" max="1031" width="14.85546875" style="45" customWidth="1"/>
    <col min="1032" max="1032" width="6.28515625" style="45" bestFit="1" customWidth="1"/>
    <col min="1033" max="1033" width="3.85546875" style="45" customWidth="1"/>
    <col min="1034" max="1280" width="8.85546875" style="45"/>
    <col min="1281" max="1281" width="30.28515625" style="45" customWidth="1"/>
    <col min="1282" max="1282" width="37" style="45" customWidth="1"/>
    <col min="1283" max="1283" width="0" style="45" hidden="1" customWidth="1"/>
    <col min="1284" max="1284" width="10.28515625" style="45" customWidth="1"/>
    <col min="1285" max="1285" width="16.140625" style="45" customWidth="1"/>
    <col min="1286" max="1286" width="17.28515625" style="45" customWidth="1"/>
    <col min="1287" max="1287" width="14.85546875" style="45" customWidth="1"/>
    <col min="1288" max="1288" width="6.28515625" style="45" bestFit="1" customWidth="1"/>
    <col min="1289" max="1289" width="3.85546875" style="45" customWidth="1"/>
    <col min="1290" max="1536" width="8.85546875" style="45"/>
    <col min="1537" max="1537" width="30.28515625" style="45" customWidth="1"/>
    <col min="1538" max="1538" width="37" style="45" customWidth="1"/>
    <col min="1539" max="1539" width="0" style="45" hidden="1" customWidth="1"/>
    <col min="1540" max="1540" width="10.28515625" style="45" customWidth="1"/>
    <col min="1541" max="1541" width="16.140625" style="45" customWidth="1"/>
    <col min="1542" max="1542" width="17.28515625" style="45" customWidth="1"/>
    <col min="1543" max="1543" width="14.85546875" style="45" customWidth="1"/>
    <col min="1544" max="1544" width="6.28515625" style="45" bestFit="1" customWidth="1"/>
    <col min="1545" max="1545" width="3.85546875" style="45" customWidth="1"/>
    <col min="1546" max="1792" width="8.85546875" style="45"/>
    <col min="1793" max="1793" width="30.28515625" style="45" customWidth="1"/>
    <col min="1794" max="1794" width="37" style="45" customWidth="1"/>
    <col min="1795" max="1795" width="0" style="45" hidden="1" customWidth="1"/>
    <col min="1796" max="1796" width="10.28515625" style="45" customWidth="1"/>
    <col min="1797" max="1797" width="16.140625" style="45" customWidth="1"/>
    <col min="1798" max="1798" width="17.28515625" style="45" customWidth="1"/>
    <col min="1799" max="1799" width="14.85546875" style="45" customWidth="1"/>
    <col min="1800" max="1800" width="6.28515625" style="45" bestFit="1" customWidth="1"/>
    <col min="1801" max="1801" width="3.85546875" style="45" customWidth="1"/>
    <col min="1802" max="2048" width="8.85546875" style="45"/>
    <col min="2049" max="2049" width="30.28515625" style="45" customWidth="1"/>
    <col min="2050" max="2050" width="37" style="45" customWidth="1"/>
    <col min="2051" max="2051" width="0" style="45" hidden="1" customWidth="1"/>
    <col min="2052" max="2052" width="10.28515625" style="45" customWidth="1"/>
    <col min="2053" max="2053" width="16.140625" style="45" customWidth="1"/>
    <col min="2054" max="2054" width="17.28515625" style="45" customWidth="1"/>
    <col min="2055" max="2055" width="14.85546875" style="45" customWidth="1"/>
    <col min="2056" max="2056" width="6.28515625" style="45" bestFit="1" customWidth="1"/>
    <col min="2057" max="2057" width="3.85546875" style="45" customWidth="1"/>
    <col min="2058" max="2304" width="8.85546875" style="45"/>
    <col min="2305" max="2305" width="30.28515625" style="45" customWidth="1"/>
    <col min="2306" max="2306" width="37" style="45" customWidth="1"/>
    <col min="2307" max="2307" width="0" style="45" hidden="1" customWidth="1"/>
    <col min="2308" max="2308" width="10.28515625" style="45" customWidth="1"/>
    <col min="2309" max="2309" width="16.140625" style="45" customWidth="1"/>
    <col min="2310" max="2310" width="17.28515625" style="45" customWidth="1"/>
    <col min="2311" max="2311" width="14.85546875" style="45" customWidth="1"/>
    <col min="2312" max="2312" width="6.28515625" style="45" bestFit="1" customWidth="1"/>
    <col min="2313" max="2313" width="3.85546875" style="45" customWidth="1"/>
    <col min="2314" max="2560" width="8.85546875" style="45"/>
    <col min="2561" max="2561" width="30.28515625" style="45" customWidth="1"/>
    <col min="2562" max="2562" width="37" style="45" customWidth="1"/>
    <col min="2563" max="2563" width="0" style="45" hidden="1" customWidth="1"/>
    <col min="2564" max="2564" width="10.28515625" style="45" customWidth="1"/>
    <col min="2565" max="2565" width="16.140625" style="45" customWidth="1"/>
    <col min="2566" max="2566" width="17.28515625" style="45" customWidth="1"/>
    <col min="2567" max="2567" width="14.85546875" style="45" customWidth="1"/>
    <col min="2568" max="2568" width="6.28515625" style="45" bestFit="1" customWidth="1"/>
    <col min="2569" max="2569" width="3.85546875" style="45" customWidth="1"/>
    <col min="2570" max="2816" width="8.85546875" style="45"/>
    <col min="2817" max="2817" width="30.28515625" style="45" customWidth="1"/>
    <col min="2818" max="2818" width="37" style="45" customWidth="1"/>
    <col min="2819" max="2819" width="0" style="45" hidden="1" customWidth="1"/>
    <col min="2820" max="2820" width="10.28515625" style="45" customWidth="1"/>
    <col min="2821" max="2821" width="16.140625" style="45" customWidth="1"/>
    <col min="2822" max="2822" width="17.28515625" style="45" customWidth="1"/>
    <col min="2823" max="2823" width="14.85546875" style="45" customWidth="1"/>
    <col min="2824" max="2824" width="6.28515625" style="45" bestFit="1" customWidth="1"/>
    <col min="2825" max="2825" width="3.85546875" style="45" customWidth="1"/>
    <col min="2826" max="3072" width="8.85546875" style="45"/>
    <col min="3073" max="3073" width="30.28515625" style="45" customWidth="1"/>
    <col min="3074" max="3074" width="37" style="45" customWidth="1"/>
    <col min="3075" max="3075" width="0" style="45" hidden="1" customWidth="1"/>
    <col min="3076" max="3076" width="10.28515625" style="45" customWidth="1"/>
    <col min="3077" max="3077" width="16.140625" style="45" customWidth="1"/>
    <col min="3078" max="3078" width="17.28515625" style="45" customWidth="1"/>
    <col min="3079" max="3079" width="14.85546875" style="45" customWidth="1"/>
    <col min="3080" max="3080" width="6.28515625" style="45" bestFit="1" customWidth="1"/>
    <col min="3081" max="3081" width="3.85546875" style="45" customWidth="1"/>
    <col min="3082" max="3328" width="8.85546875" style="45"/>
    <col min="3329" max="3329" width="30.28515625" style="45" customWidth="1"/>
    <col min="3330" max="3330" width="37" style="45" customWidth="1"/>
    <col min="3331" max="3331" width="0" style="45" hidden="1" customWidth="1"/>
    <col min="3332" max="3332" width="10.28515625" style="45" customWidth="1"/>
    <col min="3333" max="3333" width="16.140625" style="45" customWidth="1"/>
    <col min="3334" max="3334" width="17.28515625" style="45" customWidth="1"/>
    <col min="3335" max="3335" width="14.85546875" style="45" customWidth="1"/>
    <col min="3336" max="3336" width="6.28515625" style="45" bestFit="1" customWidth="1"/>
    <col min="3337" max="3337" width="3.85546875" style="45" customWidth="1"/>
    <col min="3338" max="3584" width="8.85546875" style="45"/>
    <col min="3585" max="3585" width="30.28515625" style="45" customWidth="1"/>
    <col min="3586" max="3586" width="37" style="45" customWidth="1"/>
    <col min="3587" max="3587" width="0" style="45" hidden="1" customWidth="1"/>
    <col min="3588" max="3588" width="10.28515625" style="45" customWidth="1"/>
    <col min="3589" max="3589" width="16.140625" style="45" customWidth="1"/>
    <col min="3590" max="3590" width="17.28515625" style="45" customWidth="1"/>
    <col min="3591" max="3591" width="14.85546875" style="45" customWidth="1"/>
    <col min="3592" max="3592" width="6.28515625" style="45" bestFit="1" customWidth="1"/>
    <col min="3593" max="3593" width="3.85546875" style="45" customWidth="1"/>
    <col min="3594" max="3840" width="8.85546875" style="45"/>
    <col min="3841" max="3841" width="30.28515625" style="45" customWidth="1"/>
    <col min="3842" max="3842" width="37" style="45" customWidth="1"/>
    <col min="3843" max="3843" width="0" style="45" hidden="1" customWidth="1"/>
    <col min="3844" max="3844" width="10.28515625" style="45" customWidth="1"/>
    <col min="3845" max="3845" width="16.140625" style="45" customWidth="1"/>
    <col min="3846" max="3846" width="17.28515625" style="45" customWidth="1"/>
    <col min="3847" max="3847" width="14.85546875" style="45" customWidth="1"/>
    <col min="3848" max="3848" width="6.28515625" style="45" bestFit="1" customWidth="1"/>
    <col min="3849" max="3849" width="3.85546875" style="45" customWidth="1"/>
    <col min="3850" max="4096" width="8.85546875" style="45"/>
    <col min="4097" max="4097" width="30.28515625" style="45" customWidth="1"/>
    <col min="4098" max="4098" width="37" style="45" customWidth="1"/>
    <col min="4099" max="4099" width="0" style="45" hidden="1" customWidth="1"/>
    <col min="4100" max="4100" width="10.28515625" style="45" customWidth="1"/>
    <col min="4101" max="4101" width="16.140625" style="45" customWidth="1"/>
    <col min="4102" max="4102" width="17.28515625" style="45" customWidth="1"/>
    <col min="4103" max="4103" width="14.85546875" style="45" customWidth="1"/>
    <col min="4104" max="4104" width="6.28515625" style="45" bestFit="1" customWidth="1"/>
    <col min="4105" max="4105" width="3.85546875" style="45" customWidth="1"/>
    <col min="4106" max="4352" width="8.85546875" style="45"/>
    <col min="4353" max="4353" width="30.28515625" style="45" customWidth="1"/>
    <col min="4354" max="4354" width="37" style="45" customWidth="1"/>
    <col min="4355" max="4355" width="0" style="45" hidden="1" customWidth="1"/>
    <col min="4356" max="4356" width="10.28515625" style="45" customWidth="1"/>
    <col min="4357" max="4357" width="16.140625" style="45" customWidth="1"/>
    <col min="4358" max="4358" width="17.28515625" style="45" customWidth="1"/>
    <col min="4359" max="4359" width="14.85546875" style="45" customWidth="1"/>
    <col min="4360" max="4360" width="6.28515625" style="45" bestFit="1" customWidth="1"/>
    <col min="4361" max="4361" width="3.85546875" style="45" customWidth="1"/>
    <col min="4362" max="4608" width="8.85546875" style="45"/>
    <col min="4609" max="4609" width="30.28515625" style="45" customWidth="1"/>
    <col min="4610" max="4610" width="37" style="45" customWidth="1"/>
    <col min="4611" max="4611" width="0" style="45" hidden="1" customWidth="1"/>
    <col min="4612" max="4612" width="10.28515625" style="45" customWidth="1"/>
    <col min="4613" max="4613" width="16.140625" style="45" customWidth="1"/>
    <col min="4614" max="4614" width="17.28515625" style="45" customWidth="1"/>
    <col min="4615" max="4615" width="14.85546875" style="45" customWidth="1"/>
    <col min="4616" max="4616" width="6.28515625" style="45" bestFit="1" customWidth="1"/>
    <col min="4617" max="4617" width="3.85546875" style="45" customWidth="1"/>
    <col min="4618" max="4864" width="8.85546875" style="45"/>
    <col min="4865" max="4865" width="30.28515625" style="45" customWidth="1"/>
    <col min="4866" max="4866" width="37" style="45" customWidth="1"/>
    <col min="4867" max="4867" width="0" style="45" hidden="1" customWidth="1"/>
    <col min="4868" max="4868" width="10.28515625" style="45" customWidth="1"/>
    <col min="4869" max="4869" width="16.140625" style="45" customWidth="1"/>
    <col min="4870" max="4870" width="17.28515625" style="45" customWidth="1"/>
    <col min="4871" max="4871" width="14.85546875" style="45" customWidth="1"/>
    <col min="4872" max="4872" width="6.28515625" style="45" bestFit="1" customWidth="1"/>
    <col min="4873" max="4873" width="3.85546875" style="45" customWidth="1"/>
    <col min="4874" max="5120" width="8.85546875" style="45"/>
    <col min="5121" max="5121" width="30.28515625" style="45" customWidth="1"/>
    <col min="5122" max="5122" width="37" style="45" customWidth="1"/>
    <col min="5123" max="5123" width="0" style="45" hidden="1" customWidth="1"/>
    <col min="5124" max="5124" width="10.28515625" style="45" customWidth="1"/>
    <col min="5125" max="5125" width="16.140625" style="45" customWidth="1"/>
    <col min="5126" max="5126" width="17.28515625" style="45" customWidth="1"/>
    <col min="5127" max="5127" width="14.85546875" style="45" customWidth="1"/>
    <col min="5128" max="5128" width="6.28515625" style="45" bestFit="1" customWidth="1"/>
    <col min="5129" max="5129" width="3.85546875" style="45" customWidth="1"/>
    <col min="5130" max="5376" width="8.85546875" style="45"/>
    <col min="5377" max="5377" width="30.28515625" style="45" customWidth="1"/>
    <col min="5378" max="5378" width="37" style="45" customWidth="1"/>
    <col min="5379" max="5379" width="0" style="45" hidden="1" customWidth="1"/>
    <col min="5380" max="5380" width="10.28515625" style="45" customWidth="1"/>
    <col min="5381" max="5381" width="16.140625" style="45" customWidth="1"/>
    <col min="5382" max="5382" width="17.28515625" style="45" customWidth="1"/>
    <col min="5383" max="5383" width="14.85546875" style="45" customWidth="1"/>
    <col min="5384" max="5384" width="6.28515625" style="45" bestFit="1" customWidth="1"/>
    <col min="5385" max="5385" width="3.85546875" style="45" customWidth="1"/>
    <col min="5386" max="5632" width="8.85546875" style="45"/>
    <col min="5633" max="5633" width="30.28515625" style="45" customWidth="1"/>
    <col min="5634" max="5634" width="37" style="45" customWidth="1"/>
    <col min="5635" max="5635" width="0" style="45" hidden="1" customWidth="1"/>
    <col min="5636" max="5636" width="10.28515625" style="45" customWidth="1"/>
    <col min="5637" max="5637" width="16.140625" style="45" customWidth="1"/>
    <col min="5638" max="5638" width="17.28515625" style="45" customWidth="1"/>
    <col min="5639" max="5639" width="14.85546875" style="45" customWidth="1"/>
    <col min="5640" max="5640" width="6.28515625" style="45" bestFit="1" customWidth="1"/>
    <col min="5641" max="5641" width="3.85546875" style="45" customWidth="1"/>
    <col min="5642" max="5888" width="8.85546875" style="45"/>
    <col min="5889" max="5889" width="30.28515625" style="45" customWidth="1"/>
    <col min="5890" max="5890" width="37" style="45" customWidth="1"/>
    <col min="5891" max="5891" width="0" style="45" hidden="1" customWidth="1"/>
    <col min="5892" max="5892" width="10.28515625" style="45" customWidth="1"/>
    <col min="5893" max="5893" width="16.140625" style="45" customWidth="1"/>
    <col min="5894" max="5894" width="17.28515625" style="45" customWidth="1"/>
    <col min="5895" max="5895" width="14.85546875" style="45" customWidth="1"/>
    <col min="5896" max="5896" width="6.28515625" style="45" bestFit="1" customWidth="1"/>
    <col min="5897" max="5897" width="3.85546875" style="45" customWidth="1"/>
    <col min="5898" max="6144" width="8.85546875" style="45"/>
    <col min="6145" max="6145" width="30.28515625" style="45" customWidth="1"/>
    <col min="6146" max="6146" width="37" style="45" customWidth="1"/>
    <col min="6147" max="6147" width="0" style="45" hidden="1" customWidth="1"/>
    <col min="6148" max="6148" width="10.28515625" style="45" customWidth="1"/>
    <col min="6149" max="6149" width="16.140625" style="45" customWidth="1"/>
    <col min="6150" max="6150" width="17.28515625" style="45" customWidth="1"/>
    <col min="6151" max="6151" width="14.85546875" style="45" customWidth="1"/>
    <col min="6152" max="6152" width="6.28515625" style="45" bestFit="1" customWidth="1"/>
    <col min="6153" max="6153" width="3.85546875" style="45" customWidth="1"/>
    <col min="6154" max="6400" width="8.85546875" style="45"/>
    <col min="6401" max="6401" width="30.28515625" style="45" customWidth="1"/>
    <col min="6402" max="6402" width="37" style="45" customWidth="1"/>
    <col min="6403" max="6403" width="0" style="45" hidden="1" customWidth="1"/>
    <col min="6404" max="6404" width="10.28515625" style="45" customWidth="1"/>
    <col min="6405" max="6405" width="16.140625" style="45" customWidth="1"/>
    <col min="6406" max="6406" width="17.28515625" style="45" customWidth="1"/>
    <col min="6407" max="6407" width="14.85546875" style="45" customWidth="1"/>
    <col min="6408" max="6408" width="6.28515625" style="45" bestFit="1" customWidth="1"/>
    <col min="6409" max="6409" width="3.85546875" style="45" customWidth="1"/>
    <col min="6410" max="6656" width="8.85546875" style="45"/>
    <col min="6657" max="6657" width="30.28515625" style="45" customWidth="1"/>
    <col min="6658" max="6658" width="37" style="45" customWidth="1"/>
    <col min="6659" max="6659" width="0" style="45" hidden="1" customWidth="1"/>
    <col min="6660" max="6660" width="10.28515625" style="45" customWidth="1"/>
    <col min="6661" max="6661" width="16.140625" style="45" customWidth="1"/>
    <col min="6662" max="6662" width="17.28515625" style="45" customWidth="1"/>
    <col min="6663" max="6663" width="14.85546875" style="45" customWidth="1"/>
    <col min="6664" max="6664" width="6.28515625" style="45" bestFit="1" customWidth="1"/>
    <col min="6665" max="6665" width="3.85546875" style="45" customWidth="1"/>
    <col min="6666" max="6912" width="8.85546875" style="45"/>
    <col min="6913" max="6913" width="30.28515625" style="45" customWidth="1"/>
    <col min="6914" max="6914" width="37" style="45" customWidth="1"/>
    <col min="6915" max="6915" width="0" style="45" hidden="1" customWidth="1"/>
    <col min="6916" max="6916" width="10.28515625" style="45" customWidth="1"/>
    <col min="6917" max="6917" width="16.140625" style="45" customWidth="1"/>
    <col min="6918" max="6918" width="17.28515625" style="45" customWidth="1"/>
    <col min="6919" max="6919" width="14.85546875" style="45" customWidth="1"/>
    <col min="6920" max="6920" width="6.28515625" style="45" bestFit="1" customWidth="1"/>
    <col min="6921" max="6921" width="3.85546875" style="45" customWidth="1"/>
    <col min="6922" max="7168" width="8.85546875" style="45"/>
    <col min="7169" max="7169" width="30.28515625" style="45" customWidth="1"/>
    <col min="7170" max="7170" width="37" style="45" customWidth="1"/>
    <col min="7171" max="7171" width="0" style="45" hidden="1" customWidth="1"/>
    <col min="7172" max="7172" width="10.28515625" style="45" customWidth="1"/>
    <col min="7173" max="7173" width="16.140625" style="45" customWidth="1"/>
    <col min="7174" max="7174" width="17.28515625" style="45" customWidth="1"/>
    <col min="7175" max="7175" width="14.85546875" style="45" customWidth="1"/>
    <col min="7176" max="7176" width="6.28515625" style="45" bestFit="1" customWidth="1"/>
    <col min="7177" max="7177" width="3.85546875" style="45" customWidth="1"/>
    <col min="7178" max="7424" width="8.85546875" style="45"/>
    <col min="7425" max="7425" width="30.28515625" style="45" customWidth="1"/>
    <col min="7426" max="7426" width="37" style="45" customWidth="1"/>
    <col min="7427" max="7427" width="0" style="45" hidden="1" customWidth="1"/>
    <col min="7428" max="7428" width="10.28515625" style="45" customWidth="1"/>
    <col min="7429" max="7429" width="16.140625" style="45" customWidth="1"/>
    <col min="7430" max="7430" width="17.28515625" style="45" customWidth="1"/>
    <col min="7431" max="7431" width="14.85546875" style="45" customWidth="1"/>
    <col min="7432" max="7432" width="6.28515625" style="45" bestFit="1" customWidth="1"/>
    <col min="7433" max="7433" width="3.85546875" style="45" customWidth="1"/>
    <col min="7434" max="7680" width="8.85546875" style="45"/>
    <col min="7681" max="7681" width="30.28515625" style="45" customWidth="1"/>
    <col min="7682" max="7682" width="37" style="45" customWidth="1"/>
    <col min="7683" max="7683" width="0" style="45" hidden="1" customWidth="1"/>
    <col min="7684" max="7684" width="10.28515625" style="45" customWidth="1"/>
    <col min="7685" max="7685" width="16.140625" style="45" customWidth="1"/>
    <col min="7686" max="7686" width="17.28515625" style="45" customWidth="1"/>
    <col min="7687" max="7687" width="14.85546875" style="45" customWidth="1"/>
    <col min="7688" max="7688" width="6.28515625" style="45" bestFit="1" customWidth="1"/>
    <col min="7689" max="7689" width="3.85546875" style="45" customWidth="1"/>
    <col min="7690" max="7936" width="8.85546875" style="45"/>
    <col min="7937" max="7937" width="30.28515625" style="45" customWidth="1"/>
    <col min="7938" max="7938" width="37" style="45" customWidth="1"/>
    <col min="7939" max="7939" width="0" style="45" hidden="1" customWidth="1"/>
    <col min="7940" max="7940" width="10.28515625" style="45" customWidth="1"/>
    <col min="7941" max="7941" width="16.140625" style="45" customWidth="1"/>
    <col min="7942" max="7942" width="17.28515625" style="45" customWidth="1"/>
    <col min="7943" max="7943" width="14.85546875" style="45" customWidth="1"/>
    <col min="7944" max="7944" width="6.28515625" style="45" bestFit="1" customWidth="1"/>
    <col min="7945" max="7945" width="3.85546875" style="45" customWidth="1"/>
    <col min="7946" max="8192" width="8.85546875" style="45"/>
    <col min="8193" max="8193" width="30.28515625" style="45" customWidth="1"/>
    <col min="8194" max="8194" width="37" style="45" customWidth="1"/>
    <col min="8195" max="8195" width="0" style="45" hidden="1" customWidth="1"/>
    <col min="8196" max="8196" width="10.28515625" style="45" customWidth="1"/>
    <col min="8197" max="8197" width="16.140625" style="45" customWidth="1"/>
    <col min="8198" max="8198" width="17.28515625" style="45" customWidth="1"/>
    <col min="8199" max="8199" width="14.85546875" style="45" customWidth="1"/>
    <col min="8200" max="8200" width="6.28515625" style="45" bestFit="1" customWidth="1"/>
    <col min="8201" max="8201" width="3.85546875" style="45" customWidth="1"/>
    <col min="8202" max="8448" width="8.85546875" style="45"/>
    <col min="8449" max="8449" width="30.28515625" style="45" customWidth="1"/>
    <col min="8450" max="8450" width="37" style="45" customWidth="1"/>
    <col min="8451" max="8451" width="0" style="45" hidden="1" customWidth="1"/>
    <col min="8452" max="8452" width="10.28515625" style="45" customWidth="1"/>
    <col min="8453" max="8453" width="16.140625" style="45" customWidth="1"/>
    <col min="8454" max="8454" width="17.28515625" style="45" customWidth="1"/>
    <col min="8455" max="8455" width="14.85546875" style="45" customWidth="1"/>
    <col min="8456" max="8456" width="6.28515625" style="45" bestFit="1" customWidth="1"/>
    <col min="8457" max="8457" width="3.85546875" style="45" customWidth="1"/>
    <col min="8458" max="8704" width="8.85546875" style="45"/>
    <col min="8705" max="8705" width="30.28515625" style="45" customWidth="1"/>
    <col min="8706" max="8706" width="37" style="45" customWidth="1"/>
    <col min="8707" max="8707" width="0" style="45" hidden="1" customWidth="1"/>
    <col min="8708" max="8708" width="10.28515625" style="45" customWidth="1"/>
    <col min="8709" max="8709" width="16.140625" style="45" customWidth="1"/>
    <col min="8710" max="8710" width="17.28515625" style="45" customWidth="1"/>
    <col min="8711" max="8711" width="14.85546875" style="45" customWidth="1"/>
    <col min="8712" max="8712" width="6.28515625" style="45" bestFit="1" customWidth="1"/>
    <col min="8713" max="8713" width="3.85546875" style="45" customWidth="1"/>
    <col min="8714" max="8960" width="8.85546875" style="45"/>
    <col min="8961" max="8961" width="30.28515625" style="45" customWidth="1"/>
    <col min="8962" max="8962" width="37" style="45" customWidth="1"/>
    <col min="8963" max="8963" width="0" style="45" hidden="1" customWidth="1"/>
    <col min="8964" max="8964" width="10.28515625" style="45" customWidth="1"/>
    <col min="8965" max="8965" width="16.140625" style="45" customWidth="1"/>
    <col min="8966" max="8966" width="17.28515625" style="45" customWidth="1"/>
    <col min="8967" max="8967" width="14.85546875" style="45" customWidth="1"/>
    <col min="8968" max="8968" width="6.28515625" style="45" bestFit="1" customWidth="1"/>
    <col min="8969" max="8969" width="3.85546875" style="45" customWidth="1"/>
    <col min="8970" max="9216" width="8.85546875" style="45"/>
    <col min="9217" max="9217" width="30.28515625" style="45" customWidth="1"/>
    <col min="9218" max="9218" width="37" style="45" customWidth="1"/>
    <col min="9219" max="9219" width="0" style="45" hidden="1" customWidth="1"/>
    <col min="9220" max="9220" width="10.28515625" style="45" customWidth="1"/>
    <col min="9221" max="9221" width="16.140625" style="45" customWidth="1"/>
    <col min="9222" max="9222" width="17.28515625" style="45" customWidth="1"/>
    <col min="9223" max="9223" width="14.85546875" style="45" customWidth="1"/>
    <col min="9224" max="9224" width="6.28515625" style="45" bestFit="1" customWidth="1"/>
    <col min="9225" max="9225" width="3.85546875" style="45" customWidth="1"/>
    <col min="9226" max="9472" width="8.85546875" style="45"/>
    <col min="9473" max="9473" width="30.28515625" style="45" customWidth="1"/>
    <col min="9474" max="9474" width="37" style="45" customWidth="1"/>
    <col min="9475" max="9475" width="0" style="45" hidden="1" customWidth="1"/>
    <col min="9476" max="9476" width="10.28515625" style="45" customWidth="1"/>
    <col min="9477" max="9477" width="16.140625" style="45" customWidth="1"/>
    <col min="9478" max="9478" width="17.28515625" style="45" customWidth="1"/>
    <col min="9479" max="9479" width="14.85546875" style="45" customWidth="1"/>
    <col min="9480" max="9480" width="6.28515625" style="45" bestFit="1" customWidth="1"/>
    <col min="9481" max="9481" width="3.85546875" style="45" customWidth="1"/>
    <col min="9482" max="9728" width="8.85546875" style="45"/>
    <col min="9729" max="9729" width="30.28515625" style="45" customWidth="1"/>
    <col min="9730" max="9730" width="37" style="45" customWidth="1"/>
    <col min="9731" max="9731" width="0" style="45" hidden="1" customWidth="1"/>
    <col min="9732" max="9732" width="10.28515625" style="45" customWidth="1"/>
    <col min="9733" max="9733" width="16.140625" style="45" customWidth="1"/>
    <col min="9734" max="9734" width="17.28515625" style="45" customWidth="1"/>
    <col min="9735" max="9735" width="14.85546875" style="45" customWidth="1"/>
    <col min="9736" max="9736" width="6.28515625" style="45" bestFit="1" customWidth="1"/>
    <col min="9737" max="9737" width="3.85546875" style="45" customWidth="1"/>
    <col min="9738" max="9984" width="8.85546875" style="45"/>
    <col min="9985" max="9985" width="30.28515625" style="45" customWidth="1"/>
    <col min="9986" max="9986" width="37" style="45" customWidth="1"/>
    <col min="9987" max="9987" width="0" style="45" hidden="1" customWidth="1"/>
    <col min="9988" max="9988" width="10.28515625" style="45" customWidth="1"/>
    <col min="9989" max="9989" width="16.140625" style="45" customWidth="1"/>
    <col min="9990" max="9990" width="17.28515625" style="45" customWidth="1"/>
    <col min="9991" max="9991" width="14.85546875" style="45" customWidth="1"/>
    <col min="9992" max="9992" width="6.28515625" style="45" bestFit="1" customWidth="1"/>
    <col min="9993" max="9993" width="3.85546875" style="45" customWidth="1"/>
    <col min="9994" max="10240" width="8.85546875" style="45"/>
    <col min="10241" max="10241" width="30.28515625" style="45" customWidth="1"/>
    <col min="10242" max="10242" width="37" style="45" customWidth="1"/>
    <col min="10243" max="10243" width="0" style="45" hidden="1" customWidth="1"/>
    <col min="10244" max="10244" width="10.28515625" style="45" customWidth="1"/>
    <col min="10245" max="10245" width="16.140625" style="45" customWidth="1"/>
    <col min="10246" max="10246" width="17.28515625" style="45" customWidth="1"/>
    <col min="10247" max="10247" width="14.85546875" style="45" customWidth="1"/>
    <col min="10248" max="10248" width="6.28515625" style="45" bestFit="1" customWidth="1"/>
    <col min="10249" max="10249" width="3.85546875" style="45" customWidth="1"/>
    <col min="10250" max="10496" width="8.85546875" style="45"/>
    <col min="10497" max="10497" width="30.28515625" style="45" customWidth="1"/>
    <col min="10498" max="10498" width="37" style="45" customWidth="1"/>
    <col min="10499" max="10499" width="0" style="45" hidden="1" customWidth="1"/>
    <col min="10500" max="10500" width="10.28515625" style="45" customWidth="1"/>
    <col min="10501" max="10501" width="16.140625" style="45" customWidth="1"/>
    <col min="10502" max="10502" width="17.28515625" style="45" customWidth="1"/>
    <col min="10503" max="10503" width="14.85546875" style="45" customWidth="1"/>
    <col min="10504" max="10504" width="6.28515625" style="45" bestFit="1" customWidth="1"/>
    <col min="10505" max="10505" width="3.85546875" style="45" customWidth="1"/>
    <col min="10506" max="10752" width="8.85546875" style="45"/>
    <col min="10753" max="10753" width="30.28515625" style="45" customWidth="1"/>
    <col min="10754" max="10754" width="37" style="45" customWidth="1"/>
    <col min="10755" max="10755" width="0" style="45" hidden="1" customWidth="1"/>
    <col min="10756" max="10756" width="10.28515625" style="45" customWidth="1"/>
    <col min="10757" max="10757" width="16.140625" style="45" customWidth="1"/>
    <col min="10758" max="10758" width="17.28515625" style="45" customWidth="1"/>
    <col min="10759" max="10759" width="14.85546875" style="45" customWidth="1"/>
    <col min="10760" max="10760" width="6.28515625" style="45" bestFit="1" customWidth="1"/>
    <col min="10761" max="10761" width="3.85546875" style="45" customWidth="1"/>
    <col min="10762" max="11008" width="8.85546875" style="45"/>
    <col min="11009" max="11009" width="30.28515625" style="45" customWidth="1"/>
    <col min="11010" max="11010" width="37" style="45" customWidth="1"/>
    <col min="11011" max="11011" width="0" style="45" hidden="1" customWidth="1"/>
    <col min="11012" max="11012" width="10.28515625" style="45" customWidth="1"/>
    <col min="11013" max="11013" width="16.140625" style="45" customWidth="1"/>
    <col min="11014" max="11014" width="17.28515625" style="45" customWidth="1"/>
    <col min="11015" max="11015" width="14.85546875" style="45" customWidth="1"/>
    <col min="11016" max="11016" width="6.28515625" style="45" bestFit="1" customWidth="1"/>
    <col min="11017" max="11017" width="3.85546875" style="45" customWidth="1"/>
    <col min="11018" max="11264" width="8.85546875" style="45"/>
    <col min="11265" max="11265" width="30.28515625" style="45" customWidth="1"/>
    <col min="11266" max="11266" width="37" style="45" customWidth="1"/>
    <col min="11267" max="11267" width="0" style="45" hidden="1" customWidth="1"/>
    <col min="11268" max="11268" width="10.28515625" style="45" customWidth="1"/>
    <col min="11269" max="11269" width="16.140625" style="45" customWidth="1"/>
    <col min="11270" max="11270" width="17.28515625" style="45" customWidth="1"/>
    <col min="11271" max="11271" width="14.85546875" style="45" customWidth="1"/>
    <col min="11272" max="11272" width="6.28515625" style="45" bestFit="1" customWidth="1"/>
    <col min="11273" max="11273" width="3.85546875" style="45" customWidth="1"/>
    <col min="11274" max="11520" width="8.85546875" style="45"/>
    <col min="11521" max="11521" width="30.28515625" style="45" customWidth="1"/>
    <col min="11522" max="11522" width="37" style="45" customWidth="1"/>
    <col min="11523" max="11523" width="0" style="45" hidden="1" customWidth="1"/>
    <col min="11524" max="11524" width="10.28515625" style="45" customWidth="1"/>
    <col min="11525" max="11525" width="16.140625" style="45" customWidth="1"/>
    <col min="11526" max="11526" width="17.28515625" style="45" customWidth="1"/>
    <col min="11527" max="11527" width="14.85546875" style="45" customWidth="1"/>
    <col min="11528" max="11528" width="6.28515625" style="45" bestFit="1" customWidth="1"/>
    <col min="11529" max="11529" width="3.85546875" style="45" customWidth="1"/>
    <col min="11530" max="11776" width="8.85546875" style="45"/>
    <col min="11777" max="11777" width="30.28515625" style="45" customWidth="1"/>
    <col min="11778" max="11778" width="37" style="45" customWidth="1"/>
    <col min="11779" max="11779" width="0" style="45" hidden="1" customWidth="1"/>
    <col min="11780" max="11780" width="10.28515625" style="45" customWidth="1"/>
    <col min="11781" max="11781" width="16.140625" style="45" customWidth="1"/>
    <col min="11782" max="11782" width="17.28515625" style="45" customWidth="1"/>
    <col min="11783" max="11783" width="14.85546875" style="45" customWidth="1"/>
    <col min="11784" max="11784" width="6.28515625" style="45" bestFit="1" customWidth="1"/>
    <col min="11785" max="11785" width="3.85546875" style="45" customWidth="1"/>
    <col min="11786" max="12032" width="8.85546875" style="45"/>
    <col min="12033" max="12033" width="30.28515625" style="45" customWidth="1"/>
    <col min="12034" max="12034" width="37" style="45" customWidth="1"/>
    <col min="12035" max="12035" width="0" style="45" hidden="1" customWidth="1"/>
    <col min="12036" max="12036" width="10.28515625" style="45" customWidth="1"/>
    <col min="12037" max="12037" width="16.140625" style="45" customWidth="1"/>
    <col min="12038" max="12038" width="17.28515625" style="45" customWidth="1"/>
    <col min="12039" max="12039" width="14.85546875" style="45" customWidth="1"/>
    <col min="12040" max="12040" width="6.28515625" style="45" bestFit="1" customWidth="1"/>
    <col min="12041" max="12041" width="3.85546875" style="45" customWidth="1"/>
    <col min="12042" max="12288" width="8.85546875" style="45"/>
    <col min="12289" max="12289" width="30.28515625" style="45" customWidth="1"/>
    <col min="12290" max="12290" width="37" style="45" customWidth="1"/>
    <col min="12291" max="12291" width="0" style="45" hidden="1" customWidth="1"/>
    <col min="12292" max="12292" width="10.28515625" style="45" customWidth="1"/>
    <col min="12293" max="12293" width="16.140625" style="45" customWidth="1"/>
    <col min="12294" max="12294" width="17.28515625" style="45" customWidth="1"/>
    <col min="12295" max="12295" width="14.85546875" style="45" customWidth="1"/>
    <col min="12296" max="12296" width="6.28515625" style="45" bestFit="1" customWidth="1"/>
    <col min="12297" max="12297" width="3.85546875" style="45" customWidth="1"/>
    <col min="12298" max="12544" width="8.85546875" style="45"/>
    <col min="12545" max="12545" width="30.28515625" style="45" customWidth="1"/>
    <col min="12546" max="12546" width="37" style="45" customWidth="1"/>
    <col min="12547" max="12547" width="0" style="45" hidden="1" customWidth="1"/>
    <col min="12548" max="12548" width="10.28515625" style="45" customWidth="1"/>
    <col min="12549" max="12549" width="16.140625" style="45" customWidth="1"/>
    <col min="12550" max="12550" width="17.28515625" style="45" customWidth="1"/>
    <col min="12551" max="12551" width="14.85546875" style="45" customWidth="1"/>
    <col min="12552" max="12552" width="6.28515625" style="45" bestFit="1" customWidth="1"/>
    <col min="12553" max="12553" width="3.85546875" style="45" customWidth="1"/>
    <col min="12554" max="12800" width="8.85546875" style="45"/>
    <col min="12801" max="12801" width="30.28515625" style="45" customWidth="1"/>
    <col min="12802" max="12802" width="37" style="45" customWidth="1"/>
    <col min="12803" max="12803" width="0" style="45" hidden="1" customWidth="1"/>
    <col min="12804" max="12804" width="10.28515625" style="45" customWidth="1"/>
    <col min="12805" max="12805" width="16.140625" style="45" customWidth="1"/>
    <col min="12806" max="12806" width="17.28515625" style="45" customWidth="1"/>
    <col min="12807" max="12807" width="14.85546875" style="45" customWidth="1"/>
    <col min="12808" max="12808" width="6.28515625" style="45" bestFit="1" customWidth="1"/>
    <col min="12809" max="12809" width="3.85546875" style="45" customWidth="1"/>
    <col min="12810" max="13056" width="8.85546875" style="45"/>
    <col min="13057" max="13057" width="30.28515625" style="45" customWidth="1"/>
    <col min="13058" max="13058" width="37" style="45" customWidth="1"/>
    <col min="13059" max="13059" width="0" style="45" hidden="1" customWidth="1"/>
    <col min="13060" max="13060" width="10.28515625" style="45" customWidth="1"/>
    <col min="13061" max="13061" width="16.140625" style="45" customWidth="1"/>
    <col min="13062" max="13062" width="17.28515625" style="45" customWidth="1"/>
    <col min="13063" max="13063" width="14.85546875" style="45" customWidth="1"/>
    <col min="13064" max="13064" width="6.28515625" style="45" bestFit="1" customWidth="1"/>
    <col min="13065" max="13065" width="3.85546875" style="45" customWidth="1"/>
    <col min="13066" max="13312" width="8.85546875" style="45"/>
    <col min="13313" max="13313" width="30.28515625" style="45" customWidth="1"/>
    <col min="13314" max="13314" width="37" style="45" customWidth="1"/>
    <col min="13315" max="13315" width="0" style="45" hidden="1" customWidth="1"/>
    <col min="13316" max="13316" width="10.28515625" style="45" customWidth="1"/>
    <col min="13317" max="13317" width="16.140625" style="45" customWidth="1"/>
    <col min="13318" max="13318" width="17.28515625" style="45" customWidth="1"/>
    <col min="13319" max="13319" width="14.85546875" style="45" customWidth="1"/>
    <col min="13320" max="13320" width="6.28515625" style="45" bestFit="1" customWidth="1"/>
    <col min="13321" max="13321" width="3.85546875" style="45" customWidth="1"/>
    <col min="13322" max="13568" width="8.85546875" style="45"/>
    <col min="13569" max="13569" width="30.28515625" style="45" customWidth="1"/>
    <col min="13570" max="13570" width="37" style="45" customWidth="1"/>
    <col min="13571" max="13571" width="0" style="45" hidden="1" customWidth="1"/>
    <col min="13572" max="13572" width="10.28515625" style="45" customWidth="1"/>
    <col min="13573" max="13573" width="16.140625" style="45" customWidth="1"/>
    <col min="13574" max="13574" width="17.28515625" style="45" customWidth="1"/>
    <col min="13575" max="13575" width="14.85546875" style="45" customWidth="1"/>
    <col min="13576" max="13576" width="6.28515625" style="45" bestFit="1" customWidth="1"/>
    <col min="13577" max="13577" width="3.85546875" style="45" customWidth="1"/>
    <col min="13578" max="13824" width="8.85546875" style="45"/>
    <col min="13825" max="13825" width="30.28515625" style="45" customWidth="1"/>
    <col min="13826" max="13826" width="37" style="45" customWidth="1"/>
    <col min="13827" max="13827" width="0" style="45" hidden="1" customWidth="1"/>
    <col min="13828" max="13828" width="10.28515625" style="45" customWidth="1"/>
    <col min="13829" max="13829" width="16.140625" style="45" customWidth="1"/>
    <col min="13830" max="13830" width="17.28515625" style="45" customWidth="1"/>
    <col min="13831" max="13831" width="14.85546875" style="45" customWidth="1"/>
    <col min="13832" max="13832" width="6.28515625" style="45" bestFit="1" customWidth="1"/>
    <col min="13833" max="13833" width="3.85546875" style="45" customWidth="1"/>
    <col min="13834" max="14080" width="8.85546875" style="45"/>
    <col min="14081" max="14081" width="30.28515625" style="45" customWidth="1"/>
    <col min="14082" max="14082" width="37" style="45" customWidth="1"/>
    <col min="14083" max="14083" width="0" style="45" hidden="1" customWidth="1"/>
    <col min="14084" max="14084" width="10.28515625" style="45" customWidth="1"/>
    <col min="14085" max="14085" width="16.140625" style="45" customWidth="1"/>
    <col min="14086" max="14086" width="17.28515625" style="45" customWidth="1"/>
    <col min="14087" max="14087" width="14.85546875" style="45" customWidth="1"/>
    <col min="14088" max="14088" width="6.28515625" style="45" bestFit="1" customWidth="1"/>
    <col min="14089" max="14089" width="3.85546875" style="45" customWidth="1"/>
    <col min="14090" max="14336" width="8.85546875" style="45"/>
    <col min="14337" max="14337" width="30.28515625" style="45" customWidth="1"/>
    <col min="14338" max="14338" width="37" style="45" customWidth="1"/>
    <col min="14339" max="14339" width="0" style="45" hidden="1" customWidth="1"/>
    <col min="14340" max="14340" width="10.28515625" style="45" customWidth="1"/>
    <col min="14341" max="14341" width="16.140625" style="45" customWidth="1"/>
    <col min="14342" max="14342" width="17.28515625" style="45" customWidth="1"/>
    <col min="14343" max="14343" width="14.85546875" style="45" customWidth="1"/>
    <col min="14344" max="14344" width="6.28515625" style="45" bestFit="1" customWidth="1"/>
    <col min="14345" max="14345" width="3.85546875" style="45" customWidth="1"/>
    <col min="14346" max="14592" width="8.85546875" style="45"/>
    <col min="14593" max="14593" width="30.28515625" style="45" customWidth="1"/>
    <col min="14594" max="14594" width="37" style="45" customWidth="1"/>
    <col min="14595" max="14595" width="0" style="45" hidden="1" customWidth="1"/>
    <col min="14596" max="14596" width="10.28515625" style="45" customWidth="1"/>
    <col min="14597" max="14597" width="16.140625" style="45" customWidth="1"/>
    <col min="14598" max="14598" width="17.28515625" style="45" customWidth="1"/>
    <col min="14599" max="14599" width="14.85546875" style="45" customWidth="1"/>
    <col min="14600" max="14600" width="6.28515625" style="45" bestFit="1" customWidth="1"/>
    <col min="14601" max="14601" width="3.85546875" style="45" customWidth="1"/>
    <col min="14602" max="14848" width="8.85546875" style="45"/>
    <col min="14849" max="14849" width="30.28515625" style="45" customWidth="1"/>
    <col min="14850" max="14850" width="37" style="45" customWidth="1"/>
    <col min="14851" max="14851" width="0" style="45" hidden="1" customWidth="1"/>
    <col min="14852" max="14852" width="10.28515625" style="45" customWidth="1"/>
    <col min="14853" max="14853" width="16.140625" style="45" customWidth="1"/>
    <col min="14854" max="14854" width="17.28515625" style="45" customWidth="1"/>
    <col min="14855" max="14855" width="14.85546875" style="45" customWidth="1"/>
    <col min="14856" max="14856" width="6.28515625" style="45" bestFit="1" customWidth="1"/>
    <col min="14857" max="14857" width="3.85546875" style="45" customWidth="1"/>
    <col min="14858" max="15104" width="8.85546875" style="45"/>
    <col min="15105" max="15105" width="30.28515625" style="45" customWidth="1"/>
    <col min="15106" max="15106" width="37" style="45" customWidth="1"/>
    <col min="15107" max="15107" width="0" style="45" hidden="1" customWidth="1"/>
    <col min="15108" max="15108" width="10.28515625" style="45" customWidth="1"/>
    <col min="15109" max="15109" width="16.140625" style="45" customWidth="1"/>
    <col min="15110" max="15110" width="17.28515625" style="45" customWidth="1"/>
    <col min="15111" max="15111" width="14.85546875" style="45" customWidth="1"/>
    <col min="15112" max="15112" width="6.28515625" style="45" bestFit="1" customWidth="1"/>
    <col min="15113" max="15113" width="3.85546875" style="45" customWidth="1"/>
    <col min="15114" max="15360" width="8.85546875" style="45"/>
    <col min="15361" max="15361" width="30.28515625" style="45" customWidth="1"/>
    <col min="15362" max="15362" width="37" style="45" customWidth="1"/>
    <col min="15363" max="15363" width="0" style="45" hidden="1" customWidth="1"/>
    <col min="15364" max="15364" width="10.28515625" style="45" customWidth="1"/>
    <col min="15365" max="15365" width="16.140625" style="45" customWidth="1"/>
    <col min="15366" max="15366" width="17.28515625" style="45" customWidth="1"/>
    <col min="15367" max="15367" width="14.85546875" style="45" customWidth="1"/>
    <col min="15368" max="15368" width="6.28515625" style="45" bestFit="1" customWidth="1"/>
    <col min="15369" max="15369" width="3.85546875" style="45" customWidth="1"/>
    <col min="15370" max="15616" width="8.85546875" style="45"/>
    <col min="15617" max="15617" width="30.28515625" style="45" customWidth="1"/>
    <col min="15618" max="15618" width="37" style="45" customWidth="1"/>
    <col min="15619" max="15619" width="0" style="45" hidden="1" customWidth="1"/>
    <col min="15620" max="15620" width="10.28515625" style="45" customWidth="1"/>
    <col min="15621" max="15621" width="16.140625" style="45" customWidth="1"/>
    <col min="15622" max="15622" width="17.28515625" style="45" customWidth="1"/>
    <col min="15623" max="15623" width="14.85546875" style="45" customWidth="1"/>
    <col min="15624" max="15624" width="6.28515625" style="45" bestFit="1" customWidth="1"/>
    <col min="15625" max="15625" width="3.85546875" style="45" customWidth="1"/>
    <col min="15626" max="15872" width="8.85546875" style="45"/>
    <col min="15873" max="15873" width="30.28515625" style="45" customWidth="1"/>
    <col min="15874" max="15874" width="37" style="45" customWidth="1"/>
    <col min="15875" max="15875" width="0" style="45" hidden="1" customWidth="1"/>
    <col min="15876" max="15876" width="10.28515625" style="45" customWidth="1"/>
    <col min="15877" max="15877" width="16.140625" style="45" customWidth="1"/>
    <col min="15878" max="15878" width="17.28515625" style="45" customWidth="1"/>
    <col min="15879" max="15879" width="14.85546875" style="45" customWidth="1"/>
    <col min="15880" max="15880" width="6.28515625" style="45" bestFit="1" customWidth="1"/>
    <col min="15881" max="15881" width="3.85546875" style="45" customWidth="1"/>
    <col min="15882" max="16128" width="8.85546875" style="45"/>
    <col min="16129" max="16129" width="30.28515625" style="45" customWidth="1"/>
    <col min="16130" max="16130" width="37" style="45" customWidth="1"/>
    <col min="16131" max="16131" width="0" style="45" hidden="1" customWidth="1"/>
    <col min="16132" max="16132" width="10.28515625" style="45" customWidth="1"/>
    <col min="16133" max="16133" width="16.140625" style="45" customWidth="1"/>
    <col min="16134" max="16134" width="17.28515625" style="45" customWidth="1"/>
    <col min="16135" max="16135" width="14.85546875" style="45" customWidth="1"/>
    <col min="16136" max="16136" width="6.28515625" style="45" bestFit="1" customWidth="1"/>
    <col min="16137" max="16137" width="3.85546875" style="45" customWidth="1"/>
    <col min="16138" max="16384" width="8.85546875" style="45"/>
  </cols>
  <sheetData>
    <row r="1" spans="1:256" ht="25.5">
      <c r="A1" s="232" t="s">
        <v>76</v>
      </c>
      <c r="B1" s="233"/>
      <c r="C1" s="233"/>
      <c r="D1" s="233"/>
      <c r="E1" s="233"/>
      <c r="F1" s="233"/>
      <c r="G1" s="233"/>
      <c r="H1" s="233"/>
    </row>
    <row r="2" spans="1:256" ht="15.75">
      <c r="A2" s="46" t="s">
        <v>77</v>
      </c>
      <c r="B2" s="47"/>
      <c r="C2" s="48"/>
      <c r="D2" s="48"/>
      <c r="E2" s="49"/>
      <c r="F2" s="49"/>
      <c r="G2" s="47"/>
      <c r="H2" s="47"/>
    </row>
    <row r="3" spans="1:256" ht="15.75">
      <c r="A3" s="50" t="s">
        <v>78</v>
      </c>
      <c r="D3" s="48"/>
      <c r="E3" s="49"/>
      <c r="F3" s="49"/>
      <c r="G3" s="47"/>
      <c r="H3" s="47"/>
    </row>
    <row r="4" spans="1:256" ht="15">
      <c r="A4" s="51" t="s">
        <v>79</v>
      </c>
      <c r="B4" s="234" t="str">
        <f>INV!E3</f>
        <v>QWD910-INV250815004</v>
      </c>
      <c r="C4" s="234"/>
      <c r="D4" s="52"/>
      <c r="E4" s="53"/>
      <c r="F4" s="53"/>
      <c r="G4" s="54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</row>
    <row r="5" spans="1:256" ht="22.15" customHeight="1">
      <c r="A5" s="47" t="s">
        <v>80</v>
      </c>
      <c r="B5" s="47"/>
      <c r="C5" s="48"/>
      <c r="D5" s="48"/>
      <c r="E5" s="49"/>
      <c r="F5" s="49"/>
      <c r="G5" s="47"/>
      <c r="H5" s="47"/>
    </row>
    <row r="6" spans="1:256" ht="15.75">
      <c r="B6" s="47"/>
      <c r="C6" s="47"/>
      <c r="D6" s="48"/>
      <c r="E6" s="48"/>
      <c r="F6" s="49"/>
      <c r="G6" s="49"/>
      <c r="H6" s="47"/>
    </row>
    <row r="7" spans="1:256" ht="16.149999999999999" customHeight="1">
      <c r="A7" s="56" t="s">
        <v>81</v>
      </c>
      <c r="B7" s="56" t="s">
        <v>82</v>
      </c>
      <c r="C7" s="56"/>
      <c r="D7" s="56" t="s">
        <v>83</v>
      </c>
      <c r="E7" s="56" t="s">
        <v>84</v>
      </c>
      <c r="F7" s="56" t="s">
        <v>85</v>
      </c>
      <c r="G7" s="56" t="s">
        <v>86</v>
      </c>
      <c r="H7" s="56" t="s">
        <v>87</v>
      </c>
    </row>
    <row r="8" spans="1:256">
      <c r="A8" s="79" t="str">
        <f>INV!E3</f>
        <v>QWD910-INV250815004</v>
      </c>
      <c r="B8" s="57" t="s">
        <v>128</v>
      </c>
      <c r="C8" s="58"/>
      <c r="D8" s="59" t="s">
        <v>88</v>
      </c>
      <c r="E8" s="60">
        <v>200000</v>
      </c>
      <c r="F8" s="61">
        <v>1.4500000000000001E-2</v>
      </c>
      <c r="G8" s="62">
        <f t="shared" ref="G8:G14" si="0">F8*E8</f>
        <v>2900</v>
      </c>
      <c r="H8" s="63" t="s">
        <v>26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</row>
    <row r="9" spans="1:256">
      <c r="A9" s="79" t="str">
        <f>INV!E3</f>
        <v>QWD910-INV250815004</v>
      </c>
      <c r="B9" s="57" t="s">
        <v>129</v>
      </c>
      <c r="C9" s="58"/>
      <c r="D9" s="59" t="s">
        <v>88</v>
      </c>
      <c r="E9" s="60">
        <v>6000</v>
      </c>
      <c r="F9" s="61">
        <v>6.1800000000000001E-2</v>
      </c>
      <c r="G9" s="62">
        <f t="shared" si="0"/>
        <v>370.8</v>
      </c>
      <c r="H9" s="63" t="s">
        <v>26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</row>
    <row r="10" spans="1:256">
      <c r="A10" s="79" t="str">
        <f>INV!E3</f>
        <v>QWD910-INV250815004</v>
      </c>
      <c r="B10" s="57" t="s">
        <v>155</v>
      </c>
      <c r="C10" s="58"/>
      <c r="D10" s="59" t="s">
        <v>88</v>
      </c>
      <c r="E10" s="60">
        <v>5000</v>
      </c>
      <c r="F10" s="61">
        <v>5.4000000000000003E-3</v>
      </c>
      <c r="G10" s="62">
        <f t="shared" si="0"/>
        <v>27</v>
      </c>
      <c r="H10" s="63" t="s">
        <v>26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</row>
    <row r="11" spans="1:256">
      <c r="A11" s="79" t="str">
        <f>INV!E3</f>
        <v>QWD910-INV250815004</v>
      </c>
      <c r="B11" s="57" t="s">
        <v>156</v>
      </c>
      <c r="C11" s="58"/>
      <c r="D11" s="59" t="s">
        <v>88</v>
      </c>
      <c r="E11" s="60">
        <v>9000</v>
      </c>
      <c r="F11" s="61">
        <v>5.7999999999999996E-3</v>
      </c>
      <c r="G11" s="62">
        <f t="shared" si="0"/>
        <v>52.199999999999996</v>
      </c>
      <c r="H11" s="63" t="s">
        <v>26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</row>
    <row r="12" spans="1:256">
      <c r="A12" s="79" t="str">
        <f>INV!E3</f>
        <v>QWD910-INV250815004</v>
      </c>
      <c r="B12" s="57" t="s">
        <v>157</v>
      </c>
      <c r="C12" s="58"/>
      <c r="D12" s="59" t="s">
        <v>88</v>
      </c>
      <c r="E12" s="60">
        <v>5000</v>
      </c>
      <c r="F12" s="61">
        <v>7.3000000000000001E-3</v>
      </c>
      <c r="G12" s="62">
        <f t="shared" si="0"/>
        <v>36.5</v>
      </c>
      <c r="H12" s="63" t="s">
        <v>26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</row>
    <row r="13" spans="1:256">
      <c r="A13" s="79" t="str">
        <f>INV!E3</f>
        <v>QWD910-INV250815004</v>
      </c>
      <c r="B13" s="57" t="s">
        <v>111</v>
      </c>
      <c r="C13" s="58"/>
      <c r="D13" s="59" t="s">
        <v>88</v>
      </c>
      <c r="E13" s="60">
        <v>111000</v>
      </c>
      <c r="F13" s="61">
        <v>2.2000000000000001E-3</v>
      </c>
      <c r="G13" s="62">
        <f t="shared" si="0"/>
        <v>244.20000000000002</v>
      </c>
      <c r="H13" s="63" t="s">
        <v>26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</row>
    <row r="14" spans="1:256">
      <c r="A14" s="79" t="str">
        <f>INV!E3</f>
        <v>QWD910-INV250815004</v>
      </c>
      <c r="B14" s="57" t="s">
        <v>158</v>
      </c>
      <c r="C14" s="58"/>
      <c r="D14" s="59" t="s">
        <v>88</v>
      </c>
      <c r="E14" s="60">
        <v>15000</v>
      </c>
      <c r="F14" s="61">
        <v>2.2000000000000001E-3</v>
      </c>
      <c r="G14" s="62">
        <f t="shared" si="0"/>
        <v>33</v>
      </c>
      <c r="H14" s="63" t="s">
        <v>26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</row>
    <row r="15" spans="1:256">
      <c r="A15" s="79"/>
      <c r="B15" s="57"/>
      <c r="C15" s="58"/>
      <c r="D15" s="59"/>
      <c r="E15" s="60"/>
      <c r="F15" s="61"/>
      <c r="G15" s="62"/>
      <c r="H15" s="63"/>
    </row>
    <row r="16" spans="1:256">
      <c r="A16" s="57"/>
      <c r="B16" s="57"/>
      <c r="C16" s="58"/>
      <c r="D16" s="59"/>
      <c r="E16" s="60">
        <f>SUM(E8:E14)</f>
        <v>351000</v>
      </c>
      <c r="F16" s="65"/>
      <c r="G16" s="62">
        <f>SUM(G8:G14)</f>
        <v>3663.7</v>
      </c>
      <c r="H16" s="63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4"/>
      <c r="IT16" s="64"/>
      <c r="IU16" s="64"/>
      <c r="IV16" s="64"/>
    </row>
    <row r="17" spans="1:256" ht="15.75">
      <c r="B17" s="47"/>
      <c r="C17" s="47"/>
      <c r="D17" s="48"/>
      <c r="E17" s="48"/>
      <c r="F17" s="49"/>
      <c r="G17" s="49"/>
      <c r="H17" s="47"/>
    </row>
    <row r="18" spans="1:256" ht="15.75">
      <c r="A18" s="66" t="s">
        <v>89</v>
      </c>
      <c r="B18" s="67"/>
      <c r="C18" s="48"/>
      <c r="D18" s="48"/>
      <c r="E18" s="49"/>
      <c r="F18" s="49"/>
      <c r="G18" s="47"/>
      <c r="H18" s="47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/>
      <c r="HR18" s="68"/>
      <c r="HS18" s="68"/>
      <c r="HT18" s="68"/>
      <c r="HU18" s="68"/>
      <c r="HV18" s="68"/>
      <c r="HW18" s="68"/>
      <c r="HX18" s="68"/>
      <c r="HY18" s="68"/>
      <c r="HZ18" s="68"/>
      <c r="IA18" s="68"/>
      <c r="IB18" s="68"/>
      <c r="IC18" s="68"/>
      <c r="ID18" s="68"/>
      <c r="IE18" s="68"/>
      <c r="IF18" s="68"/>
      <c r="IG18" s="68"/>
      <c r="IH18" s="68"/>
      <c r="II18" s="68"/>
      <c r="IJ18" s="68"/>
      <c r="IK18" s="68"/>
      <c r="IL18" s="68"/>
      <c r="IM18" s="68"/>
      <c r="IN18" s="68"/>
      <c r="IO18" s="68"/>
      <c r="IP18" s="68"/>
      <c r="IQ18" s="68"/>
      <c r="IR18" s="68"/>
      <c r="IS18" s="68"/>
      <c r="IT18" s="68"/>
      <c r="IU18" s="68"/>
      <c r="IV18" s="68"/>
    </row>
    <row r="19" spans="1:256" ht="15.75">
      <c r="A19" s="66" t="s">
        <v>90</v>
      </c>
      <c r="B19" s="67"/>
      <c r="C19" s="48"/>
      <c r="D19" s="48"/>
      <c r="E19" s="49"/>
      <c r="F19" s="49"/>
      <c r="G19" s="47"/>
      <c r="H19" s="47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</row>
    <row r="20" spans="1:256" ht="15.75">
      <c r="A20" s="67" t="s">
        <v>91</v>
      </c>
      <c r="B20" s="67"/>
      <c r="C20" s="48"/>
      <c r="D20" s="48"/>
      <c r="E20" s="49"/>
      <c r="F20" s="49"/>
      <c r="G20" s="47"/>
      <c r="H20" s="47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  <c r="HA20" s="68"/>
      <c r="HB20" s="68"/>
      <c r="HC20" s="68"/>
      <c r="HD20" s="68"/>
      <c r="HE20" s="68"/>
      <c r="HF20" s="68"/>
      <c r="HG20" s="68"/>
      <c r="HH20" s="68"/>
      <c r="HI20" s="68"/>
      <c r="HJ20" s="68"/>
      <c r="HK20" s="68"/>
      <c r="HL20" s="68"/>
      <c r="HM20" s="68"/>
      <c r="HN20" s="68"/>
      <c r="HO20" s="68"/>
      <c r="HP20" s="68"/>
      <c r="HQ20" s="68"/>
      <c r="HR20" s="68"/>
      <c r="HS20" s="68"/>
      <c r="HT20" s="68"/>
      <c r="HU20" s="68"/>
      <c r="HV20" s="68"/>
      <c r="HW20" s="68"/>
      <c r="HX20" s="68"/>
      <c r="HY20" s="68"/>
      <c r="HZ20" s="68"/>
      <c r="IA20" s="68"/>
      <c r="IB20" s="68"/>
      <c r="IC20" s="68"/>
      <c r="ID20" s="68"/>
      <c r="IE20" s="68"/>
      <c r="IF20" s="68"/>
      <c r="IG20" s="68"/>
      <c r="IH20" s="68"/>
      <c r="II20" s="68"/>
      <c r="IJ20" s="68"/>
      <c r="IK20" s="68"/>
      <c r="IL20" s="68"/>
      <c r="IM20" s="68"/>
      <c r="IN20" s="68"/>
      <c r="IO20" s="68"/>
      <c r="IP20" s="68"/>
      <c r="IQ20" s="68"/>
      <c r="IR20" s="68"/>
      <c r="IS20" s="68"/>
      <c r="IT20" s="68"/>
      <c r="IU20" s="68"/>
      <c r="IV20" s="68"/>
    </row>
    <row r="21" spans="1:256" ht="15.75">
      <c r="A21" s="67" t="s">
        <v>92</v>
      </c>
      <c r="B21" s="67"/>
      <c r="C21" s="48"/>
      <c r="D21" s="48"/>
      <c r="E21" s="49"/>
      <c r="F21" s="49"/>
      <c r="G21" s="69"/>
      <c r="H21" s="47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8"/>
      <c r="ER21" s="68"/>
      <c r="ES21" s="68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68"/>
      <c r="GQ21" s="68"/>
      <c r="GR21" s="68"/>
      <c r="GS21" s="68"/>
      <c r="GT21" s="68"/>
      <c r="GU21" s="68"/>
      <c r="GV21" s="68"/>
      <c r="GW21" s="68"/>
      <c r="GX21" s="68"/>
      <c r="GY21" s="68"/>
      <c r="GZ21" s="68"/>
      <c r="HA21" s="68"/>
      <c r="HB21" s="68"/>
      <c r="HC21" s="68"/>
      <c r="HD21" s="68"/>
      <c r="HE21" s="68"/>
      <c r="HF21" s="68"/>
      <c r="HG21" s="68"/>
      <c r="HH21" s="68"/>
      <c r="HI21" s="68"/>
      <c r="HJ21" s="68"/>
      <c r="HK21" s="68"/>
      <c r="HL21" s="68"/>
      <c r="HM21" s="68"/>
      <c r="HN21" s="68"/>
      <c r="HO21" s="68"/>
      <c r="HP21" s="68"/>
      <c r="HQ21" s="68"/>
      <c r="HR21" s="68"/>
      <c r="HS21" s="68"/>
      <c r="HT21" s="68"/>
      <c r="HU21" s="68"/>
      <c r="HV21" s="68"/>
      <c r="HW21" s="68"/>
      <c r="HX21" s="68"/>
      <c r="HY21" s="68"/>
      <c r="HZ21" s="68"/>
      <c r="IA21" s="68"/>
      <c r="IB21" s="68"/>
      <c r="IC21" s="68"/>
      <c r="ID21" s="68"/>
      <c r="IE21" s="68"/>
      <c r="IF21" s="68"/>
      <c r="IG21" s="68"/>
      <c r="IH21" s="68"/>
      <c r="II21" s="68"/>
      <c r="IJ21" s="68"/>
      <c r="IK21" s="68"/>
      <c r="IL21" s="68"/>
      <c r="IM21" s="68"/>
      <c r="IN21" s="68"/>
      <c r="IO21" s="68"/>
      <c r="IP21" s="68"/>
      <c r="IQ21" s="68"/>
      <c r="IR21" s="68"/>
      <c r="IS21" s="68"/>
      <c r="IT21" s="68"/>
      <c r="IU21" s="68"/>
      <c r="IV21" s="68"/>
    </row>
    <row r="22" spans="1:256" ht="15.75">
      <c r="A22" s="66" t="s">
        <v>93</v>
      </c>
      <c r="B22" s="70">
        <f>INV!E4</f>
        <v>45884</v>
      </c>
      <c r="C22" s="48"/>
      <c r="D22" s="48"/>
      <c r="E22" s="49"/>
      <c r="F22" s="49"/>
      <c r="G22" s="47"/>
      <c r="H22" s="47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8"/>
      <c r="ER22" s="68"/>
      <c r="ES22" s="68"/>
      <c r="ET22" s="68"/>
      <c r="EU22" s="68"/>
      <c r="EV22" s="68"/>
      <c r="EW22" s="68"/>
      <c r="EX22" s="68"/>
      <c r="EY22" s="68"/>
      <c r="EZ22" s="68"/>
      <c r="FA22" s="68"/>
      <c r="FB22" s="68"/>
      <c r="FC22" s="68"/>
      <c r="FD22" s="68"/>
      <c r="FE22" s="68"/>
      <c r="FF22" s="68"/>
      <c r="FG22" s="68"/>
      <c r="FH22" s="68"/>
      <c r="FI22" s="68"/>
      <c r="FJ22" s="68"/>
      <c r="FK22" s="68"/>
      <c r="FL22" s="68"/>
      <c r="FM22" s="68"/>
      <c r="FN22" s="68"/>
      <c r="FO22" s="68"/>
      <c r="FP22" s="68"/>
      <c r="FQ22" s="68"/>
      <c r="FR22" s="68"/>
      <c r="FS22" s="68"/>
      <c r="FT22" s="68"/>
      <c r="FU22" s="68"/>
      <c r="FV22" s="68"/>
      <c r="FW22" s="68"/>
      <c r="FX22" s="68"/>
      <c r="FY22" s="68"/>
      <c r="FZ22" s="68"/>
      <c r="GA22" s="68"/>
      <c r="GB22" s="68"/>
      <c r="GC22" s="68"/>
      <c r="GD22" s="68"/>
      <c r="GE22" s="68"/>
      <c r="GF22" s="68"/>
      <c r="GG22" s="68"/>
      <c r="GH22" s="68"/>
      <c r="GI22" s="68"/>
      <c r="GJ22" s="68"/>
      <c r="GK22" s="68"/>
      <c r="GL22" s="68"/>
      <c r="GM22" s="68"/>
      <c r="GN22" s="68"/>
      <c r="GO22" s="68"/>
      <c r="GP22" s="68"/>
      <c r="GQ22" s="68"/>
      <c r="GR22" s="68"/>
      <c r="GS22" s="68"/>
      <c r="GT22" s="68"/>
      <c r="GU22" s="68"/>
      <c r="GV22" s="68"/>
      <c r="GW22" s="68"/>
      <c r="GX22" s="68"/>
      <c r="GY22" s="68"/>
      <c r="GZ22" s="68"/>
      <c r="HA22" s="68"/>
      <c r="HB22" s="68"/>
      <c r="HC22" s="68"/>
      <c r="HD22" s="68"/>
      <c r="HE22" s="68"/>
      <c r="HF22" s="68"/>
      <c r="HG22" s="68"/>
      <c r="HH22" s="68"/>
      <c r="HI22" s="68"/>
      <c r="HJ22" s="68"/>
      <c r="HK22" s="68"/>
      <c r="HL22" s="68"/>
      <c r="HM22" s="68"/>
      <c r="HN22" s="68"/>
      <c r="HO22" s="68"/>
      <c r="HP22" s="68"/>
      <c r="HQ22" s="68"/>
      <c r="HR22" s="68"/>
      <c r="HS22" s="68"/>
      <c r="HT22" s="68"/>
      <c r="HU22" s="68"/>
      <c r="HV22" s="68"/>
      <c r="HW22" s="68"/>
      <c r="HX22" s="68"/>
      <c r="HY22" s="68"/>
      <c r="HZ22" s="68"/>
      <c r="IA22" s="68"/>
      <c r="IB22" s="68"/>
      <c r="IC22" s="68"/>
      <c r="ID22" s="68"/>
      <c r="IE22" s="68"/>
      <c r="IF22" s="68"/>
      <c r="IG22" s="68"/>
      <c r="IH22" s="68"/>
      <c r="II22" s="68"/>
      <c r="IJ22" s="68"/>
      <c r="IK22" s="68"/>
      <c r="IL22" s="68"/>
      <c r="IM22" s="68"/>
      <c r="IN22" s="68"/>
      <c r="IO22" s="68"/>
      <c r="IP22" s="68"/>
      <c r="IQ22" s="68"/>
      <c r="IR22" s="68"/>
      <c r="IS22" s="68"/>
      <c r="IT22" s="68"/>
      <c r="IU22" s="68"/>
      <c r="IV22" s="68"/>
    </row>
    <row r="23" spans="1:256" ht="15.75">
      <c r="A23" s="66" t="s">
        <v>94</v>
      </c>
      <c r="B23" s="67"/>
      <c r="C23" s="48"/>
      <c r="D23" s="48"/>
      <c r="E23" s="49"/>
      <c r="F23" s="49"/>
      <c r="G23" s="47"/>
      <c r="H23" s="47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</row>
    <row r="24" spans="1:256" ht="15.75">
      <c r="A24" s="47"/>
      <c r="B24" s="47"/>
      <c r="C24" s="48"/>
      <c r="D24" s="48"/>
      <c r="E24" s="49"/>
      <c r="F24" s="49"/>
      <c r="G24" s="47"/>
      <c r="H24" s="47"/>
    </row>
    <row r="25" spans="1:256" ht="15.75">
      <c r="A25" s="71" t="s">
        <v>95</v>
      </c>
      <c r="B25" s="47"/>
      <c r="C25" s="72"/>
      <c r="F25" s="235" t="s">
        <v>96</v>
      </c>
      <c r="G25" s="235"/>
      <c r="H25" s="47"/>
    </row>
    <row r="26" spans="1:256">
      <c r="A26" s="73" t="s">
        <v>97</v>
      </c>
      <c r="B26" s="73" t="s">
        <v>98</v>
      </c>
      <c r="C26" s="73" t="s">
        <v>99</v>
      </c>
      <c r="F26" s="74" t="s">
        <v>100</v>
      </c>
      <c r="G26" s="73"/>
      <c r="H26" s="66"/>
    </row>
    <row r="27" spans="1:256">
      <c r="A27" s="73" t="s">
        <v>101</v>
      </c>
      <c r="B27" s="73" t="s">
        <v>102</v>
      </c>
      <c r="C27" s="73" t="s">
        <v>103</v>
      </c>
      <c r="F27" s="71" t="s">
        <v>104</v>
      </c>
      <c r="G27" s="71"/>
      <c r="H27" s="73"/>
    </row>
    <row r="28" spans="1:256" ht="15" customHeight="1">
      <c r="A28" s="71" t="s">
        <v>105</v>
      </c>
      <c r="B28" s="73" t="s">
        <v>106</v>
      </c>
      <c r="C28" s="75" t="s">
        <v>107</v>
      </c>
      <c r="D28" s="73"/>
      <c r="E28" s="73"/>
      <c r="F28" s="73"/>
      <c r="G28" s="47"/>
      <c r="H28" s="47"/>
    </row>
    <row r="29" spans="1:256" ht="15.75">
      <c r="A29" s="76" t="s">
        <v>108</v>
      </c>
      <c r="B29" s="77" t="s">
        <v>109</v>
      </c>
      <c r="C29" s="236" t="s">
        <v>110</v>
      </c>
      <c r="D29" s="236"/>
      <c r="E29" s="236"/>
      <c r="F29" s="236"/>
      <c r="G29" s="47"/>
      <c r="H29" s="47"/>
    </row>
  </sheetData>
  <mergeCells count="4">
    <mergeCell ref="A1:H1"/>
    <mergeCell ref="B4:C4"/>
    <mergeCell ref="F25:G25"/>
    <mergeCell ref="C29:F29"/>
  </mergeCells>
  <phoneticPr fontId="14" type="noConversion"/>
  <conditionalFormatting sqref="E8:E16">
    <cfRule type="expression" dxfId="2" priority="1">
      <formula>AND(OR($E8="Demand quantity",$E8="Available PO quantity"),(COLUMN()-17)&gt;=$A8)</formula>
    </cfRule>
    <cfRule type="expression" dxfId="1" priority="2">
      <formula>AND($E8="Supply commitment",(COLUMN()-17)&gt;=$A8)</formula>
    </cfRule>
    <cfRule type="expression" dxfId="0" priority="3">
      <formula>AND($E8="Demand quantity",(COLUMN()-17)&lt;#REF!)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INV</vt:lpstr>
      <vt:lpstr>PAK</vt:lpstr>
      <vt:lpstr>合同</vt:lpstr>
      <vt:lpstr>INV!Print_Area</vt:lpstr>
      <vt:lpstr>PAK!Print_Area</vt:lpstr>
      <vt:lpstr>INV!Print_Titles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Ivy Cheng - Wendell</cp:lastModifiedBy>
  <cp:lastPrinted>2025-08-14T09:24:13Z</cp:lastPrinted>
  <dcterms:created xsi:type="dcterms:W3CDTF">2025-07-17T08:11:00Z</dcterms:created>
  <dcterms:modified xsi:type="dcterms:W3CDTF">2025-08-14T09:41:56Z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