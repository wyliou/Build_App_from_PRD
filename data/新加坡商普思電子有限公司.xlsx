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410"/>
  </bookViews>
  <sheets>
    <sheet name="INVOICE" sheetId="1" r:id="rId1"/>
    <sheet name="PACKING" sheetId="3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<sst xmlns="http://schemas.openxmlformats.org/spreadsheetml/2006/main" count="183" uniqueCount="85">
  <si>
    <t>COMMERCIAL INVOICE</t>
  </si>
  <si>
    <t>Shipper/Exporter</t>
  </si>
  <si>
    <t>No. &amp; Date of Invoice</t>
  </si>
  <si>
    <t>PULSE ELECTRONICS (SINGAPORE) PTE LTD.</t>
  </si>
  <si>
    <t>SZ-250819</t>
  </si>
  <si>
    <r>
      <rPr>
        <sz val="10"/>
        <rFont val="Arial"/>
        <charset val="134"/>
      </rPr>
      <t>NO. 29, LANE 301, TEHHSIN ROAD, HOSIN HUKOU, HSINCHU, TAIWAN</t>
    </r>
    <r>
      <rPr>
        <sz val="10"/>
        <rFont val="微軟正黑體"/>
        <charset val="136"/>
      </rPr>
      <t>，</t>
    </r>
    <r>
      <rPr>
        <sz val="10"/>
        <rFont val="Arial"/>
        <charset val="134"/>
      </rPr>
      <t>CHINA</t>
    </r>
  </si>
  <si>
    <t>Bill To:</t>
  </si>
  <si>
    <t xml:space="preserve"> Payment Term</t>
  </si>
  <si>
    <t xml:space="preserve">Sernet(Suzhou)Technologies Corporation  </t>
  </si>
  <si>
    <t>No.8,Tangzhuang Road, Suzhou Industrial Park, Jiangsu, China</t>
  </si>
  <si>
    <t>Ship To:</t>
  </si>
  <si>
    <t xml:space="preserve"> Trade Term</t>
  </si>
  <si>
    <t>HK FOREARDER</t>
  </si>
  <si>
    <t>FOB HK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</si>
  <si>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</si>
  <si>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</si>
  <si>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</si>
  <si>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</si>
  <si>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</si>
  <si>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</si>
  <si>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SINGAPORE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</si>
  <si>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</si>
  <si>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</si>
  <si>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</si>
  <si>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</si>
  <si>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</si>
  <si>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</si>
  <si>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</si>
  <si>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</si>
  <si>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</si>
  <si>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</si>
  <si>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</si>
  <si>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</si>
  <si>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</si>
  <si>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</si>
  <si>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</si>
  <si>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362005X0CL</t>
  </si>
  <si>
    <t>2250102981</t>
  </si>
  <si>
    <t>PBY100505T-100Y-N</t>
  </si>
  <si>
    <t>PCS</t>
  </si>
  <si>
    <t>USD</t>
  </si>
  <si>
    <t>CHINA</t>
  </si>
  <si>
    <t>****</t>
  </si>
  <si>
    <t>無品牌</t>
  </si>
  <si>
    <t>無品牌類型</t>
  </si>
  <si>
    <t>3620007RCL</t>
  </si>
  <si>
    <t>2250300460</t>
  </si>
  <si>
    <t>PBY060303T-121Y-N</t>
  </si>
  <si>
    <t>2250303012</t>
  </si>
  <si>
    <t>3670003ACL</t>
  </si>
  <si>
    <t>2250403338</t>
  </si>
  <si>
    <t>CUW21T-900M-N</t>
  </si>
  <si>
    <t>2250500247</t>
  </si>
  <si>
    <t>36700067CL</t>
  </si>
  <si>
    <t>CMM21T-900M-N</t>
  </si>
  <si>
    <t>36200079CL</t>
  </si>
  <si>
    <t>2250501425</t>
  </si>
  <si>
    <t>PBY060303T-330Y-N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</si>
  <si>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</si>
  <si>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</si>
  <si>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</si>
  <si>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</si>
  <si>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</si>
  <si>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</si>
  <si>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</si>
  <si>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</si>
  <si>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</si>
  <si>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</si>
  <si>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</si>
  <si>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1</t>
  </si>
  <si>
    <t>40.8*20.7*21.7</t>
  </si>
  <si>
    <t>2</t>
  </si>
  <si>
    <t>3</t>
  </si>
  <si>
    <t>4</t>
  </si>
  <si>
    <t>5</t>
  </si>
  <si>
    <t>6</t>
  </si>
  <si>
    <t>7</t>
  </si>
  <si>
    <t>110*96*36</t>
  </si>
  <si>
    <t>TOTAL</t>
  </si>
  <si>
    <t>0.38 m³</t>
  </si>
  <si>
    <t>件数</t>
  </si>
  <si>
    <t>包装种类</t>
  </si>
  <si>
    <t>托盘</t>
  </si>
  <si>
    <t>托盘材质</t>
  </si>
  <si>
    <t>再生木托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</si>
</sst>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0.00_ "/>
    <numFmt numFmtId="177" formatCode="_ * #,##0.00_ ;_ * \-#,##0.00_ ;_ * &quot;-&quot;??_ ;_ @_ "/>
    <numFmt numFmtId="178" formatCode="_ * #,##0_ ;_ * \-#,##0_ ;_ * &quot;-&quot;_ ;_ @_ "/>
    <numFmt numFmtId="179" formatCode="yyyy/m/d;@"/>
    <numFmt numFmtId="180" formatCode="#,##0.00_ "/>
    <numFmt numFmtId="181" formatCode="0_ "/>
    <numFmt numFmtId="182" formatCode="0.000_ "/>
    <numFmt numFmtId="183" formatCode="0.00_);[Red]\(0.00\)"/>
    <numFmt numFmtId="184" formatCode="0.0000_);[Red]\(0.0000\)"/>
  </numFmts>
  <fonts count="40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6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6"/>
      <scheme val="minor"/>
    </font>
    <font>
      <b/>
      <sz val="18"/>
      <name val="Arial"/>
      <charset val="134"/>
    </font>
    <font>
      <sz val="10"/>
      <color rgb="FFFF0000"/>
      <name val="宋体"/>
      <charset val="136"/>
    </font>
    <font>
      <sz val="10"/>
      <name val="宋体"/>
      <charset val="136"/>
    </font>
    <font>
      <sz val="10"/>
      <name val="微軟正黑體"/>
      <charset val="136"/>
    </font>
    <font>
      <sz val="10"/>
      <color indexed="12"/>
      <name val="新細明體"/>
      <charset val="136"/>
    </font>
    <font>
      <sz val="18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6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1" fillId="12" borderId="14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3" borderId="15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0"/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9" fillId="0" borderId="0"/>
  </cellStyleXfs>
  <cellXfs count="173">
    <xf numFmtId="0" fontId="0" fillId="0" borderId="0" xfId="0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0" borderId="4" xfId="31" applyFont="1" applyBorder="1"/>
    <xf numFmtId="0" fontId="5" fillId="2" borderId="3" xfId="0" applyFont="1" applyFill="1" applyBorder="1" applyAlignment="1"/>
    <xf numFmtId="0" fontId="3" fillId="2" borderId="0" xfId="31" applyFont="1" applyFill="1" applyAlignment="1">
      <alignment horizontal="left"/>
    </xf>
    <xf numFmtId="0" fontId="3" fillId="0" borderId="0" xfId="31" applyFont="1"/>
    <xf numFmtId="0" fontId="3" fillId="0" borderId="5" xfId="31" applyFont="1" applyBorder="1"/>
    <xf numFmtId="0" fontId="3" fillId="2" borderId="3" xfId="0" applyFont="1" applyFill="1" applyBorder="1" applyAlignment="1"/>
    <xf numFmtId="0" fontId="3" fillId="0" borderId="3" xfId="50" applyFont="1" applyBorder="1" applyAlignment="1">
      <alignment horizontal="left" vertical="top" wrapText="1"/>
    </xf>
    <xf numFmtId="0" fontId="3" fillId="0" borderId="0" xfId="50" applyFont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179" fontId="3" fillId="2" borderId="3" xfId="0" applyNumberFormat="1" applyFont="1" applyFill="1" applyBorder="1" applyAlignment="1">
      <alignment horizontal="left"/>
    </xf>
    <xf numFmtId="0" fontId="3" fillId="0" borderId="3" xfId="31" applyFont="1" applyBorder="1"/>
    <xf numFmtId="0" fontId="3" fillId="0" borderId="6" xfId="50" applyFont="1" applyBorder="1" applyAlignment="1">
      <alignment horizontal="left"/>
    </xf>
    <xf numFmtId="0" fontId="3" fillId="0" borderId="7" xfId="50" applyFont="1" applyBorder="1"/>
    <xf numFmtId="0" fontId="3" fillId="0" borderId="7" xfId="52" applyFont="1" applyBorder="1"/>
    <xf numFmtId="0" fontId="3" fillId="0" borderId="8" xfId="52" applyFont="1" applyBorder="1"/>
    <xf numFmtId="0" fontId="3" fillId="0" borderId="6" xfId="31" applyFont="1" applyBorder="1"/>
    <xf numFmtId="0" fontId="3" fillId="0" borderId="7" xfId="31" applyFont="1" applyBorder="1"/>
    <xf numFmtId="0" fontId="1" fillId="2" borderId="1" xfId="50" applyFont="1" applyFill="1" applyBorder="1"/>
    <xf numFmtId="0" fontId="3" fillId="2" borderId="2" xfId="31" applyFont="1" applyFill="1" applyBorder="1"/>
    <xf numFmtId="0" fontId="3" fillId="2" borderId="4" xfId="31" applyFont="1" applyFill="1" applyBorder="1"/>
    <xf numFmtId="0" fontId="1" fillId="0" borderId="2" xfId="31" applyFont="1" applyBorder="1"/>
    <xf numFmtId="0" fontId="3" fillId="2" borderId="3" xfId="31" applyFont="1" applyFill="1" applyBorder="1" applyAlignment="1">
      <alignment horizontal="left"/>
    </xf>
    <xf numFmtId="0" fontId="3" fillId="2" borderId="0" xfId="31" applyFont="1" applyFill="1"/>
    <xf numFmtId="0" fontId="3" fillId="2" borderId="5" xfId="31" applyFont="1" applyFill="1" applyBorder="1"/>
    <xf numFmtId="0" fontId="1" fillId="0" borderId="0" xfId="31" applyFont="1"/>
    <xf numFmtId="0" fontId="3" fillId="0" borderId="0" xfId="50" applyFont="1"/>
    <xf numFmtId="0" fontId="3" fillId="2" borderId="3" xfId="31" applyFont="1" applyFill="1" applyBorder="1" applyAlignment="1">
      <alignment vertical="top" wrapText="1"/>
    </xf>
    <xf numFmtId="0" fontId="3" fillId="2" borderId="0" xfId="31" applyFont="1" applyFill="1" applyAlignment="1">
      <alignment vertical="top" wrapText="1"/>
    </xf>
    <xf numFmtId="0" fontId="3" fillId="2" borderId="5" xfId="31" applyFont="1" applyFill="1" applyBorder="1" applyAlignment="1">
      <alignment vertical="top" wrapText="1"/>
    </xf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31" applyFont="1" applyBorder="1"/>
    <xf numFmtId="0" fontId="6" fillId="0" borderId="0" xfId="31" applyFont="1"/>
    <xf numFmtId="0" fontId="7" fillId="0" borderId="0" xfId="31" applyFont="1"/>
    <xf numFmtId="0" fontId="3" fillId="0" borderId="0" xfId="0" applyFont="1" applyAlignment="1"/>
    <xf numFmtId="0" fontId="3" fillId="0" borderId="0" xfId="31" applyFont="1" applyAlignment="1">
      <alignment horizontal="left"/>
    </xf>
    <xf numFmtId="0" fontId="3" fillId="0" borderId="3" xfId="31" applyFont="1" applyBorder="1" applyAlignment="1">
      <alignment horizontal="left"/>
    </xf>
    <xf numFmtId="0" fontId="3" fillId="0" borderId="5" xfId="3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1" xfId="31" applyFont="1" applyBorder="1"/>
    <xf numFmtId="0" fontId="4" fillId="0" borderId="4" xfId="50" applyFont="1" applyBorder="1"/>
    <xf numFmtId="176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5" xfId="31" applyFont="1" applyBorder="1"/>
    <xf numFmtId="0" fontId="8" fillId="0" borderId="5" xfId="31" applyFont="1" applyBorder="1" applyAlignment="1">
      <alignment horizontal="right"/>
    </xf>
    <xf numFmtId="179" fontId="3" fillId="0" borderId="6" xfId="0" applyNumberFormat="1" applyFont="1" applyBorder="1" applyAlignment="1">
      <alignment horizontal="left"/>
    </xf>
    <xf numFmtId="179" fontId="3" fillId="0" borderId="8" xfId="0" applyNumberFormat="1" applyFont="1" applyBorder="1" applyAlignment="1">
      <alignment horizontal="left"/>
    </xf>
    <xf numFmtId="0" fontId="1" fillId="2" borderId="3" xfId="50" applyFont="1" applyFill="1" applyBorder="1" applyAlignment="1">
      <alignment horizontal="center" vertical="center"/>
    </xf>
    <xf numFmtId="0" fontId="1" fillId="2" borderId="0" xfId="50" applyFont="1" applyFill="1" applyAlignment="1">
      <alignment horizontal="center" vertical="center"/>
    </xf>
    <xf numFmtId="0" fontId="1" fillId="2" borderId="0" xfId="31" applyFont="1" applyFill="1" applyAlignment="1">
      <alignment horizontal="center" vertical="center"/>
    </xf>
    <xf numFmtId="0" fontId="1" fillId="2" borderId="0" xfId="31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 wrapText="1" shrinkToFit="1"/>
    </xf>
    <xf numFmtId="0" fontId="0" fillId="2" borderId="9" xfId="0" applyFill="1" applyBorder="1" applyAlignment="1">
      <alignment horizontal="center" vertical="center"/>
    </xf>
    <xf numFmtId="181" fontId="3" fillId="2" borderId="9" xfId="0" applyNumberFormat="1" applyFont="1" applyFill="1" applyBorder="1" applyAlignment="1">
      <alignment horizontal="center" vertical="center" shrinkToFit="1"/>
    </xf>
    <xf numFmtId="182" fontId="3" fillId="2" borderId="9" xfId="0" applyNumberFormat="1" applyFont="1" applyFill="1" applyBorder="1" applyAlignment="1">
      <alignment horizontal="center" vertical="center" wrapText="1" shrinkToFit="1"/>
    </xf>
    <xf numFmtId="183" fontId="3" fillId="2" borderId="9" xfId="0" applyNumberFormat="1" applyFont="1" applyFill="1" applyBorder="1" applyAlignment="1">
      <alignment horizontal="center" vertical="center" wrapText="1" shrinkToFit="1"/>
    </xf>
    <xf numFmtId="0" fontId="3" fillId="0" borderId="9" xfId="51" applyFont="1" applyBorder="1" applyAlignment="1">
      <alignment horizontal="center" vertical="center" wrapText="1" shrinkToFit="1"/>
    </xf>
    <xf numFmtId="0" fontId="3" fillId="0" borderId="9" xfId="31" applyFont="1" applyBorder="1" applyAlignment="1">
      <alignment horizontal="center" vertical="center" wrapText="1" shrinkToFit="1"/>
    </xf>
    <xf numFmtId="182" fontId="4" fillId="0" borderId="9" xfId="31" applyNumberFormat="1" applyFont="1" applyBorder="1" applyAlignment="1">
      <alignment horizontal="center" vertical="center" wrapText="1" shrinkToFit="1"/>
    </xf>
    <xf numFmtId="183" fontId="3" fillId="0" borderId="9" xfId="31" applyNumberFormat="1" applyFont="1" applyBorder="1" applyAlignment="1">
      <alignment horizontal="center" vertical="center" wrapText="1" shrinkToFit="1"/>
    </xf>
    <xf numFmtId="181" fontId="1" fillId="2" borderId="9" xfId="31" applyNumberFormat="1" applyFont="1" applyFill="1" applyBorder="1" applyAlignment="1">
      <alignment horizontal="center"/>
    </xf>
    <xf numFmtId="0" fontId="3" fillId="0" borderId="9" xfId="31" applyFont="1" applyBorder="1"/>
    <xf numFmtId="0" fontId="1" fillId="0" borderId="9" xfId="31" applyFont="1" applyBorder="1"/>
    <xf numFmtId="0" fontId="1" fillId="0" borderId="9" xfId="31" applyFont="1" applyBorder="1" applyAlignment="1">
      <alignment horizontal="left"/>
    </xf>
    <xf numFmtId="0" fontId="1" fillId="0" borderId="9" xfId="31" applyFont="1" applyBorder="1" applyAlignment="1">
      <alignment horizontal="center"/>
    </xf>
    <xf numFmtId="0" fontId="1" fillId="2" borderId="9" xfId="31" applyNumberFormat="1" applyFont="1" applyFill="1" applyBorder="1" applyAlignment="1">
      <alignment horizontal="center"/>
    </xf>
    <xf numFmtId="0" fontId="1" fillId="2" borderId="9" xfId="31" applyFont="1" applyFill="1" applyBorder="1" applyAlignment="1">
      <alignment horizontal="center"/>
    </xf>
    <xf numFmtId="183" fontId="1" fillId="2" borderId="9" xfId="31" applyNumberFormat="1" applyFont="1" applyFill="1" applyBorder="1" applyAlignment="1">
      <alignment horizontal="center"/>
    </xf>
    <xf numFmtId="0" fontId="0" fillId="0" borderId="9" xfId="0" applyBorder="1">
      <alignment vertical="center"/>
    </xf>
    <xf numFmtId="0" fontId="5" fillId="2" borderId="9" xfId="31" applyFont="1" applyFill="1" applyBorder="1" applyAlignment="1">
      <alignment horizontal="center" vertical="center"/>
    </xf>
    <xf numFmtId="0" fontId="3" fillId="2" borderId="9" xfId="31" applyFont="1" applyFill="1" applyBorder="1" applyAlignment="1">
      <alignment horizontal="left"/>
    </xf>
    <xf numFmtId="0" fontId="5" fillId="2" borderId="9" xfId="31" applyFont="1" applyFill="1" applyBorder="1"/>
    <xf numFmtId="0" fontId="1" fillId="0" borderId="4" xfId="3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9" fillId="0" borderId="5" xfId="0" applyFont="1" applyBorder="1" applyAlignment="1"/>
    <xf numFmtId="0" fontId="3" fillId="0" borderId="0" xfId="31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83" fontId="1" fillId="0" borderId="9" xfId="31" applyNumberFormat="1" applyFont="1" applyBorder="1" applyAlignment="1">
      <alignment horizontal="center" vertical="center" wrapText="1" shrinkToFit="1"/>
    </xf>
    <xf numFmtId="0" fontId="12" fillId="0" borderId="0" xfId="0" applyFont="1">
      <alignment vertical="center"/>
    </xf>
    <xf numFmtId="0" fontId="13" fillId="0" borderId="1" xfId="50" applyFont="1" applyBorder="1" applyAlignment="1">
      <alignment horizontal="center"/>
    </xf>
    <xf numFmtId="0" fontId="13" fillId="0" borderId="2" xfId="50" applyFont="1" applyBorder="1" applyAlignment="1">
      <alignment horizontal="center"/>
    </xf>
    <xf numFmtId="0" fontId="1" fillId="2" borderId="2" xfId="50" applyFont="1" applyFill="1" applyBorder="1"/>
    <xf numFmtId="0" fontId="3" fillId="0" borderId="2" xfId="50" applyFont="1" applyBorder="1"/>
    <xf numFmtId="0" fontId="14" fillId="0" borderId="4" xfId="31" applyFont="1" applyBorder="1"/>
    <xf numFmtId="0" fontId="3" fillId="2" borderId="2" xfId="50" applyFont="1" applyFill="1" applyBorder="1"/>
    <xf numFmtId="0" fontId="15" fillId="2" borderId="3" xfId="0" applyFont="1" applyFill="1" applyBorder="1" applyAlignment="1"/>
    <xf numFmtId="0" fontId="3" fillId="2" borderId="0" xfId="31" applyFont="1" applyFill="1" applyBorder="1" applyAlignment="1">
      <alignment horizontal="left"/>
    </xf>
    <xf numFmtId="0" fontId="3" fillId="0" borderId="0" xfId="50" applyFont="1" applyBorder="1"/>
    <xf numFmtId="0" fontId="3" fillId="0" borderId="5" xfId="50" applyFont="1" applyBorder="1"/>
    <xf numFmtId="0" fontId="3" fillId="2" borderId="0" xfId="50" applyFont="1" applyFill="1" applyBorder="1"/>
    <xf numFmtId="49" fontId="3" fillId="2" borderId="0" xfId="50" applyNumberFormat="1" applyFont="1" applyFill="1" applyBorder="1" applyAlignment="1">
      <alignment horizontal="center"/>
    </xf>
    <xf numFmtId="49" fontId="3" fillId="0" borderId="0" xfId="50" applyNumberFormat="1" applyFont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79" fontId="3" fillId="2" borderId="0" xfId="0" applyNumberFormat="1" applyFont="1" applyFill="1" applyBorder="1" applyAlignment="1"/>
    <xf numFmtId="179" fontId="3" fillId="0" borderId="0" xfId="0" applyNumberFormat="1" applyFont="1" applyFill="1" applyBorder="1" applyAlignment="1">
      <alignment horizontal="left"/>
    </xf>
    <xf numFmtId="0" fontId="3" fillId="0" borderId="3" xfId="50" applyFont="1" applyBorder="1"/>
    <xf numFmtId="0" fontId="3" fillId="0" borderId="7" xfId="50" applyFont="1" applyBorder="1" applyAlignment="1">
      <alignment horizontal="left"/>
    </xf>
    <xf numFmtId="0" fontId="3" fillId="0" borderId="8" xfId="50" applyFont="1" applyBorder="1"/>
    <xf numFmtId="0" fontId="3" fillId="0" borderId="6" xfId="50" applyFont="1" applyBorder="1"/>
    <xf numFmtId="0" fontId="3" fillId="2" borderId="4" xfId="50" applyFont="1" applyFill="1" applyBorder="1"/>
    <xf numFmtId="0" fontId="1" fillId="0" borderId="1" xfId="50" applyFont="1" applyBorder="1"/>
    <xf numFmtId="0" fontId="1" fillId="2" borderId="0" xfId="31" applyFont="1" applyFill="1" applyBorder="1" applyAlignment="1">
      <alignment horizontal="left"/>
    </xf>
    <xf numFmtId="0" fontId="1" fillId="2" borderId="5" xfId="31" applyFont="1" applyFill="1" applyBorder="1" applyAlignment="1">
      <alignment horizontal="left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3" xfId="50" applyFont="1" applyBorder="1" applyAlignment="1">
      <alignment horizontal="center"/>
    </xf>
    <xf numFmtId="0" fontId="3" fillId="0" borderId="0" xfId="50" applyFont="1" applyBorder="1" applyAlignment="1">
      <alignment horizontal="center"/>
    </xf>
    <xf numFmtId="0" fontId="3" fillId="0" borderId="4" xfId="50" applyFont="1" applyBorder="1"/>
    <xf numFmtId="0" fontId="3" fillId="0" borderId="0" xfId="31" applyFont="1" applyBorder="1" applyAlignment="1">
      <alignment horizontal="left"/>
    </xf>
    <xf numFmtId="0" fontId="3" fillId="2" borderId="0" xfId="0" applyFont="1" applyFill="1" applyBorder="1" applyAlignment="1"/>
    <xf numFmtId="0" fontId="1" fillId="0" borderId="0" xfId="50" applyFont="1" applyBorder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15" fillId="0" borderId="0" xfId="50" applyFont="1" applyBorder="1"/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15" fillId="0" borderId="6" xfId="0" applyFont="1" applyFill="1" applyBorder="1" applyAlignment="1"/>
    <xf numFmtId="0" fontId="3" fillId="0" borderId="8" xfId="50" applyFont="1" applyBorder="1" applyAlignment="1"/>
    <xf numFmtId="0" fontId="3" fillId="0" borderId="0" xfId="0" applyFont="1" applyFill="1" applyBorder="1" applyAlignment="1"/>
    <xf numFmtId="0" fontId="1" fillId="0" borderId="3" xfId="50" applyFont="1" applyBorder="1"/>
    <xf numFmtId="0" fontId="3" fillId="0" borderId="6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179" fontId="3" fillId="0" borderId="6" xfId="0" applyNumberFormat="1" applyFont="1" applyFill="1" applyBorder="1" applyAlignment="1">
      <alignment horizontal="left"/>
    </xf>
    <xf numFmtId="179" fontId="3" fillId="0" borderId="8" xfId="0" applyNumberFormat="1" applyFont="1" applyFill="1" applyBorder="1" applyAlignment="1">
      <alignment horizontal="left"/>
    </xf>
    <xf numFmtId="0" fontId="15" fillId="2" borderId="6" xfId="50" applyFont="1" applyFill="1" applyBorder="1"/>
    <xf numFmtId="0" fontId="16" fillId="2" borderId="7" xfId="50" applyFont="1" applyFill="1" applyBorder="1"/>
    <xf numFmtId="0" fontId="1" fillId="0" borderId="9" xfId="50" applyFont="1" applyBorder="1" applyAlignment="1">
      <alignment horizontal="center" vertical="center"/>
    </xf>
    <xf numFmtId="0" fontId="1" fillId="2" borderId="9" xfId="50" applyFont="1" applyFill="1" applyBorder="1" applyAlignment="1">
      <alignment horizontal="center" vertical="center"/>
    </xf>
    <xf numFmtId="0" fontId="1" fillId="0" borderId="9" xfId="5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 shrinkToFit="1"/>
    </xf>
    <xf numFmtId="180" fontId="3" fillId="2" borderId="9" xfId="0" applyNumberFormat="1" applyFont="1" applyFill="1" applyBorder="1" applyAlignment="1">
      <alignment horizontal="center" vertical="center" wrapText="1" shrinkToFit="1"/>
    </xf>
    <xf numFmtId="0" fontId="3" fillId="2" borderId="9" xfId="0" applyNumberFormat="1" applyFont="1" applyFill="1" applyBorder="1" applyAlignment="1">
      <alignment horizontal="center" vertical="center" wrapText="1" shrinkToFit="1"/>
    </xf>
    <xf numFmtId="0" fontId="12" fillId="0" borderId="9" xfId="0" applyFont="1" applyBorder="1">
      <alignment vertical="center"/>
    </xf>
    <xf numFmtId="0" fontId="1" fillId="2" borderId="7" xfId="50" applyNumberFormat="1" applyFont="1" applyFill="1" applyBorder="1" applyAlignment="1">
      <alignment horizontal="center"/>
    </xf>
    <xf numFmtId="0" fontId="1" fillId="0" borderId="7" xfId="50" applyFont="1" applyFill="1" applyBorder="1"/>
    <xf numFmtId="184" fontId="1" fillId="0" borderId="7" xfId="50" applyNumberFormat="1" applyFont="1" applyBorder="1" applyAlignment="1">
      <alignment horizontal="center"/>
    </xf>
    <xf numFmtId="0" fontId="13" fillId="0" borderId="4" xfId="50" applyFont="1" applyBorder="1" applyAlignment="1">
      <alignment horizontal="center"/>
    </xf>
    <xf numFmtId="0" fontId="9" fillId="0" borderId="2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Alignment="1"/>
    <xf numFmtId="0" fontId="9" fillId="0" borderId="7" xfId="0" applyFont="1" applyFill="1" applyBorder="1" applyAlignment="1">
      <alignment vertical="center"/>
    </xf>
    <xf numFmtId="0" fontId="17" fillId="0" borderId="8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5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5" xfId="0" applyFont="1" applyFill="1" applyBorder="1" applyAlignment="1">
      <alignment vertical="center"/>
    </xf>
    <xf numFmtId="0" fontId="9" fillId="0" borderId="0" xfId="0" applyFont="1" applyFill="1" applyBorder="1" applyAlignment="1"/>
    <xf numFmtId="0" fontId="14" fillId="0" borderId="7" xfId="31" applyFont="1" applyBorder="1"/>
    <xf numFmtId="0" fontId="9" fillId="0" borderId="7" xfId="0" applyFont="1" applyFill="1" applyBorder="1" applyAlignment="1"/>
    <xf numFmtId="0" fontId="11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183" fontId="1" fillId="2" borderId="7" xfId="50" applyNumberFormat="1" applyFont="1" applyFill="1" applyBorder="1" applyAlignment="1">
      <alignment horizontal="center"/>
    </xf>
    <xf numFmtId="0" fontId="11" fillId="0" borderId="7" xfId="0" applyFont="1" applyFill="1" applyBorder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hirley.huang\Desktop\&#20013;&#30922;Q3%20cost%20down&#38656;&#27714;%2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工作表1"/>
      <sheetName val="工作表2"/>
    </sheetNames>
    <sheetDataSet>
      <sheetData sheetId="0"/>
      <sheetData sheetId="1">
        <row r="1">
          <cell r="A1" t="str">
            <v>料號</v>
          </cell>
          <cell r="B1" t="str">
            <v>Maker P/N</v>
          </cell>
        </row>
        <row r="1">
          <cell r="D1" t="str">
            <v>PBU</v>
          </cell>
          <cell r="E1" t="str">
            <v>尺寸</v>
          </cell>
          <cell r="F1" t="str">
            <v>price(USD)</v>
          </cell>
          <cell r="G1" t="str">
            <v>new price USD</v>
          </cell>
        </row>
        <row r="2">
          <cell r="A2" t="str">
            <v>36033407CL</v>
          </cell>
          <cell r="B2" t="str">
            <v>BMMA00050530R33MV1</v>
          </cell>
          <cell r="C2" t="str">
            <v>4B0003410109D000</v>
          </cell>
          <cell r="D2" t="str">
            <v>L Molded</v>
          </cell>
          <cell r="E2" t="str">
            <v>MHCC</v>
          </cell>
          <cell r="F2">
            <v>0.06174</v>
          </cell>
          <cell r="G2">
            <v>0.06051</v>
          </cell>
        </row>
        <row r="3">
          <cell r="A3" t="str">
            <v>3601250NCL</v>
          </cell>
          <cell r="B3" t="str">
            <v>BMMA000606301R2MX1</v>
          </cell>
          <cell r="C3" t="str">
            <v>38399102126710019N</v>
          </cell>
          <cell r="D3" t="str">
            <v>L Molded</v>
          </cell>
          <cell r="E3" t="str">
            <v>MHCC</v>
          </cell>
          <cell r="F3">
            <v>0.04704</v>
          </cell>
          <cell r="G3">
            <v>0.0461</v>
          </cell>
        </row>
        <row r="4">
          <cell r="A4" t="str">
            <v>3602256JCL</v>
          </cell>
          <cell r="B4" t="str">
            <v>BMMN000505182R2MX1</v>
          </cell>
          <cell r="C4" t="str">
            <v>4B0043360237D000</v>
          </cell>
          <cell r="D4" t="str">
            <v>L Molded</v>
          </cell>
          <cell r="E4" t="str">
            <v>MHCC</v>
          </cell>
          <cell r="F4">
            <v>0.08428</v>
          </cell>
          <cell r="G4">
            <v>0.08259</v>
          </cell>
        </row>
        <row r="5">
          <cell r="A5" t="str">
            <v>36033547CL</v>
          </cell>
          <cell r="B5" t="str">
            <v>BMRA000505303R3MA1</v>
          </cell>
          <cell r="C5" t="str">
            <v>3770111033671000N</v>
          </cell>
          <cell r="D5" t="str">
            <v>L Molded</v>
          </cell>
          <cell r="E5" t="str">
            <v>MHCC</v>
          </cell>
          <cell r="F5">
            <v>0.06051</v>
          </cell>
          <cell r="G5">
            <v>0.0593</v>
          </cell>
        </row>
        <row r="6">
          <cell r="A6" t="str">
            <v>3606851ECL</v>
          </cell>
          <cell r="B6" t="str">
            <v>BMRA000505306R8MA1</v>
          </cell>
          <cell r="C6" t="str">
            <v>3770111068671000N</v>
          </cell>
          <cell r="D6" t="str">
            <v>L Molded</v>
          </cell>
          <cell r="E6" t="str">
            <v>MHCC</v>
          </cell>
          <cell r="F6">
            <v>0.06051</v>
          </cell>
          <cell r="G6">
            <v>0.0593</v>
          </cell>
        </row>
        <row r="7">
          <cell r="A7" t="str">
            <v>36010526CL</v>
          </cell>
          <cell r="B7" t="str">
            <v>MHCI04020-1R0M-R8</v>
          </cell>
          <cell r="C7" t="str">
            <v>3770110910671010</v>
          </cell>
          <cell r="D7" t="str">
            <v>L Molded</v>
          </cell>
          <cell r="E7" t="str">
            <v>MHCC</v>
          </cell>
          <cell r="F7">
            <v>0.05962</v>
          </cell>
          <cell r="G7">
            <v>0.05843</v>
          </cell>
        </row>
        <row r="8">
          <cell r="A8" t="str">
            <v>3601550SCL</v>
          </cell>
          <cell r="B8" t="str">
            <v>MHCI04020-1R5M-R8</v>
          </cell>
          <cell r="C8" t="str">
            <v>3770110915671000</v>
          </cell>
          <cell r="D8" t="str">
            <v>L Molded</v>
          </cell>
          <cell r="E8" t="str">
            <v>MHCC</v>
          </cell>
          <cell r="F8">
            <v>0.05962</v>
          </cell>
          <cell r="G8">
            <v>0.05843</v>
          </cell>
        </row>
        <row r="9">
          <cell r="A9" t="str">
            <v>36022552CL</v>
          </cell>
          <cell r="B9" t="str">
            <v>MHCI04020-2R2M-R8</v>
          </cell>
          <cell r="C9" t="str">
            <v>3770110922671000</v>
          </cell>
          <cell r="D9" t="str">
            <v>L Molded</v>
          </cell>
          <cell r="E9" t="str">
            <v>MHCC</v>
          </cell>
          <cell r="F9">
            <v>0.05962</v>
          </cell>
          <cell r="G9">
            <v>0.05843</v>
          </cell>
        </row>
        <row r="10">
          <cell r="A10" t="str">
            <v>3604755MCL</v>
          </cell>
          <cell r="B10" t="str">
            <v>MHCI04020-4R7M-R8</v>
          </cell>
          <cell r="C10" t="str">
            <v>3770110947671000</v>
          </cell>
          <cell r="D10" t="str">
            <v>L Molded</v>
          </cell>
          <cell r="E10" t="str">
            <v>MHCC</v>
          </cell>
          <cell r="F10">
            <v>0.05962</v>
          </cell>
          <cell r="G10">
            <v>0.05843</v>
          </cell>
        </row>
        <row r="11">
          <cell r="A11" t="str">
            <v>3604740BCL</v>
          </cell>
          <cell r="B11" t="str">
            <v>MHCI04020-R47M-R8</v>
          </cell>
          <cell r="C11" t="str">
            <v>3770110947771000</v>
          </cell>
          <cell r="D11" t="str">
            <v>L Molded</v>
          </cell>
          <cell r="E11" t="str">
            <v>MHCC</v>
          </cell>
          <cell r="F11">
            <v>0.05962</v>
          </cell>
          <cell r="G11">
            <v>0.05843</v>
          </cell>
        </row>
        <row r="12">
          <cell r="A12" t="str">
            <v>3601066QCL</v>
          </cell>
          <cell r="B12" t="str">
            <v>MHCI05020-100M-R8</v>
          </cell>
          <cell r="C12" t="str">
            <v>3770110710070000</v>
          </cell>
          <cell r="D12" t="str">
            <v>L Molded</v>
          </cell>
          <cell r="E12" t="str">
            <v>MHCC</v>
          </cell>
          <cell r="F12">
            <v>0.0664</v>
          </cell>
          <cell r="G12">
            <v>0.06507</v>
          </cell>
        </row>
        <row r="13">
          <cell r="A13" t="str">
            <v>3601066SCL</v>
          </cell>
          <cell r="B13" t="str">
            <v>MHCI05020-100M-R8A</v>
          </cell>
          <cell r="C13" t="str">
            <v>3770110710070020</v>
          </cell>
          <cell r="D13" t="str">
            <v>L Molded</v>
          </cell>
          <cell r="E13" t="str">
            <v>MHCC</v>
          </cell>
          <cell r="F13">
            <v>0.0664</v>
          </cell>
          <cell r="G13">
            <v>0.06507</v>
          </cell>
        </row>
        <row r="14">
          <cell r="A14" t="str">
            <v>36056404CL</v>
          </cell>
          <cell r="B14" t="str">
            <v>MHCI05020-R56M-R8</v>
          </cell>
          <cell r="C14" t="str">
            <v>3770110756770000</v>
          </cell>
          <cell r="D14" t="str">
            <v>L Molded</v>
          </cell>
          <cell r="E14" t="str">
            <v>MHCC</v>
          </cell>
          <cell r="F14">
            <v>0.06573</v>
          </cell>
          <cell r="G14">
            <v>0.06442</v>
          </cell>
        </row>
        <row r="15">
          <cell r="A15" t="str">
            <v>36033542CL</v>
          </cell>
          <cell r="B15" t="str">
            <v>MHCI05030-3R3M-R8</v>
          </cell>
          <cell r="C15" t="str">
            <v>3770111033671000</v>
          </cell>
          <cell r="D15" t="str">
            <v>L Molded</v>
          </cell>
          <cell r="E15" t="str">
            <v>MHCC</v>
          </cell>
          <cell r="F15">
            <v>0.0594</v>
          </cell>
          <cell r="G15">
            <v>0.05821</v>
          </cell>
        </row>
        <row r="16">
          <cell r="A16" t="str">
            <v>3601052ECL</v>
          </cell>
          <cell r="B16" t="str">
            <v>MHCI06030-1R0M-R8</v>
          </cell>
          <cell r="C16" t="str">
            <v>3770110110670000</v>
          </cell>
          <cell r="D16" t="str">
            <v>L Molded</v>
          </cell>
          <cell r="E16" t="str">
            <v>MHCC</v>
          </cell>
          <cell r="F16">
            <v>0.03059</v>
          </cell>
          <cell r="G16">
            <v>0.02998</v>
          </cell>
        </row>
        <row r="17">
          <cell r="A17" t="str">
            <v>3602252MCL</v>
          </cell>
          <cell r="B17" t="str">
            <v>MHCI06030-2R2M-R8</v>
          </cell>
          <cell r="C17" t="str">
            <v>3770110122670000</v>
          </cell>
          <cell r="D17" t="str">
            <v>L Molded</v>
          </cell>
          <cell r="E17" t="str">
            <v>MHCC</v>
          </cell>
          <cell r="F17">
            <v>0.03059</v>
          </cell>
          <cell r="G17">
            <v>0.02998</v>
          </cell>
        </row>
        <row r="18">
          <cell r="A18" t="str">
            <v>3603352YCL</v>
          </cell>
          <cell r="B18" t="str">
            <v>MHCI06030-3R3M-R8</v>
          </cell>
          <cell r="C18" t="str">
            <v>3770110133670000</v>
          </cell>
          <cell r="D18" t="str">
            <v>L Molded</v>
          </cell>
          <cell r="E18" t="str">
            <v>MHCC</v>
          </cell>
          <cell r="F18">
            <v>0.03059</v>
          </cell>
          <cell r="G18">
            <v>0.02998</v>
          </cell>
        </row>
        <row r="19">
          <cell r="A19" t="str">
            <v>3604753UCL</v>
          </cell>
          <cell r="B19" t="str">
            <v>MHCI06030-4R7M-R8</v>
          </cell>
          <cell r="C19" t="str">
            <v>3770110147670000</v>
          </cell>
          <cell r="D19" t="str">
            <v>L Molded</v>
          </cell>
          <cell r="E19" t="str">
            <v>MHCC</v>
          </cell>
          <cell r="F19">
            <v>0.03059</v>
          </cell>
          <cell r="G19">
            <v>0.02998</v>
          </cell>
        </row>
        <row r="20">
          <cell r="A20" t="str">
            <v>3602240KCL</v>
          </cell>
          <cell r="B20" t="str">
            <v>MHCI06030-R22M-R8</v>
          </cell>
          <cell r="C20" t="str">
            <v>3770110122770000</v>
          </cell>
          <cell r="D20" t="str">
            <v>L Molded</v>
          </cell>
          <cell r="E20" t="str">
            <v>MHCC</v>
          </cell>
          <cell r="F20">
            <v>0.0326</v>
          </cell>
          <cell r="G20">
            <v>0.03195</v>
          </cell>
        </row>
        <row r="21">
          <cell r="A21" t="str">
            <v>36047409CL</v>
          </cell>
          <cell r="B21" t="str">
            <v>MHCI06030-R47M-R8</v>
          </cell>
          <cell r="C21" t="str">
            <v>3770110147770000</v>
          </cell>
          <cell r="D21" t="str">
            <v>L Molded</v>
          </cell>
          <cell r="E21" t="str">
            <v>MHCC</v>
          </cell>
          <cell r="F21">
            <v>0.03059</v>
          </cell>
          <cell r="G21">
            <v>0.02998</v>
          </cell>
        </row>
        <row r="22">
          <cell r="A22" t="str">
            <v>36022541CL</v>
          </cell>
          <cell r="B22" t="str">
            <v>BDHE002012102R2MQ1</v>
          </cell>
          <cell r="C22" t="str">
            <v>38601104226710009N</v>
          </cell>
          <cell r="D22" t="str">
            <v>M Molded</v>
          </cell>
          <cell r="E22" t="str">
            <v>MHCD</v>
          </cell>
          <cell r="F22">
            <v>0.01284</v>
          </cell>
          <cell r="G22">
            <v>0.01271</v>
          </cell>
        </row>
        <row r="23">
          <cell r="A23" t="str">
            <v>36010555CL</v>
          </cell>
          <cell r="B23" t="str">
            <v>BDHE002520121R0MQ1</v>
          </cell>
          <cell r="C23" t="str">
            <v>38601102106710009N</v>
          </cell>
          <cell r="D23" t="str">
            <v>M Molded</v>
          </cell>
          <cell r="E23" t="str">
            <v>MHCD</v>
          </cell>
        </row>
        <row r="23">
          <cell r="G23">
            <v>0.011</v>
          </cell>
        </row>
        <row r="24">
          <cell r="A24" t="str">
            <v>36010557CL</v>
          </cell>
          <cell r="B24" t="str">
            <v>BDHH002520101R0ME1</v>
          </cell>
          <cell r="C24" t="str">
            <v>34000101106710609N</v>
          </cell>
          <cell r="D24" t="str">
            <v>M Molded</v>
          </cell>
          <cell r="E24" t="str">
            <v>MHCD</v>
          </cell>
          <cell r="F24">
            <v>0.0225</v>
          </cell>
          <cell r="G24">
            <v>0.02183</v>
          </cell>
        </row>
        <row r="25">
          <cell r="A25" t="str">
            <v>3604743SCL</v>
          </cell>
          <cell r="B25" t="str">
            <v>BDHHDH252010R47MMA</v>
          </cell>
          <cell r="C25" t="str">
            <v>34000101477710209N</v>
          </cell>
          <cell r="D25" t="str">
            <v>M Molded</v>
          </cell>
          <cell r="E25" t="str">
            <v>MHCD</v>
          </cell>
          <cell r="F25">
            <v>0.023</v>
          </cell>
          <cell r="G25">
            <v>0.02231</v>
          </cell>
        </row>
        <row r="26">
          <cell r="A26" t="str">
            <v>3604740HCL</v>
          </cell>
          <cell r="B26" t="str">
            <v>BDUE00201610R47MQ1</v>
          </cell>
          <cell r="C26" t="str">
            <v>39500104477710309N</v>
          </cell>
          <cell r="D26" t="str">
            <v>M Molded</v>
          </cell>
          <cell r="E26" t="str">
            <v>MHCD</v>
          </cell>
          <cell r="F26">
            <v>0.01094</v>
          </cell>
          <cell r="G26">
            <v>0.01083</v>
          </cell>
        </row>
        <row r="27">
          <cell r="A27" t="str">
            <v>36015511CL</v>
          </cell>
          <cell r="B27" t="str">
            <v>HEI201610A-1R5M-Q8</v>
          </cell>
          <cell r="C27" t="str">
            <v>38601101156710009</v>
          </cell>
          <cell r="D27" t="str">
            <v>M Molded</v>
          </cell>
          <cell r="E27" t="str">
            <v>MHCD</v>
          </cell>
          <cell r="F27">
            <v>0.01186</v>
          </cell>
          <cell r="G27">
            <v>0.01174</v>
          </cell>
        </row>
        <row r="28">
          <cell r="A28" t="str">
            <v>36010537CL</v>
          </cell>
          <cell r="B28" t="str">
            <v>HEI252012A-1R0M-Q8</v>
          </cell>
          <cell r="C28" t="str">
            <v>38601102106710009</v>
          </cell>
          <cell r="D28" t="str">
            <v>M Molded</v>
          </cell>
          <cell r="E28" t="str">
            <v>MHCD</v>
          </cell>
          <cell r="F28">
            <v>0.01186</v>
          </cell>
          <cell r="G28">
            <v>0.01174</v>
          </cell>
        </row>
        <row r="29">
          <cell r="A29" t="str">
            <v>3602240HCL</v>
          </cell>
          <cell r="B29" t="str">
            <v>MHCD201610A-2R2M-A8S</v>
          </cell>
          <cell r="C29" t="str">
            <v>38500104226710509</v>
          </cell>
          <cell r="D29" t="str">
            <v>M Molded</v>
          </cell>
          <cell r="E29" t="str">
            <v>MHCD</v>
          </cell>
          <cell r="F29">
            <v>0.01035</v>
          </cell>
          <cell r="G29">
            <v>0.01025</v>
          </cell>
        </row>
        <row r="30">
          <cell r="A30" t="str">
            <v>3604740DCL</v>
          </cell>
          <cell r="B30" t="str">
            <v>MHCD201612A-R47M-A8S</v>
          </cell>
          <cell r="C30" t="str">
            <v>38500107477710309</v>
          </cell>
          <cell r="D30" t="str">
            <v>M Molded</v>
          </cell>
          <cell r="E30" t="str">
            <v>MHCD</v>
          </cell>
          <cell r="F30">
            <v>0.01035</v>
          </cell>
          <cell r="G30">
            <v>0.01025</v>
          </cell>
        </row>
        <row r="31">
          <cell r="A31" t="str">
            <v>3601052MCL</v>
          </cell>
          <cell r="B31" t="str">
            <v>MHCD252012A-1R0M-A8S</v>
          </cell>
          <cell r="C31" t="str">
            <v>38500106106711109</v>
          </cell>
          <cell r="D31" t="str">
            <v>M Molded</v>
          </cell>
          <cell r="E31" t="str">
            <v>MHCD</v>
          </cell>
          <cell r="F31">
            <v>0.01305</v>
          </cell>
          <cell r="G31">
            <v>0.01279</v>
          </cell>
        </row>
        <row r="32">
          <cell r="A32" t="str">
            <v>36022565ML</v>
          </cell>
          <cell r="B32" t="str">
            <v>MPC-TP10E2R2M-M1-EH</v>
          </cell>
          <cell r="C32" t="str">
            <v>33900102226710209</v>
          </cell>
          <cell r="D32" t="str">
            <v>M Molded</v>
          </cell>
          <cell r="E32" t="str">
            <v>MHCD</v>
          </cell>
          <cell r="F32">
            <v>0.0194</v>
          </cell>
          <cell r="G32">
            <v>0.01882</v>
          </cell>
        </row>
        <row r="33">
          <cell r="A33" t="str">
            <v>362000BTCL</v>
          </cell>
          <cell r="B33" t="str">
            <v>BBUP00100505121Y00</v>
          </cell>
          <cell r="C33" t="str">
            <v>60600109121610009N</v>
          </cell>
          <cell r="D33" t="str">
            <v>SMD</v>
          </cell>
          <cell r="E33" t="str">
            <v>Bead0402</v>
          </cell>
          <cell r="F33">
            <v>0.01501</v>
          </cell>
          <cell r="G33">
            <v>0.00751</v>
          </cell>
        </row>
        <row r="34">
          <cell r="A34" t="str">
            <v>36047578CL</v>
          </cell>
          <cell r="B34" t="str">
            <v>BKPB001608DZ4R7MA6</v>
          </cell>
          <cell r="C34" t="str">
            <v>71500108476710009N</v>
          </cell>
          <cell r="D34" t="str">
            <v>SMD</v>
          </cell>
          <cell r="E34" t="e">
            <v>#N/A</v>
          </cell>
          <cell r="F34">
            <v>0.01596</v>
          </cell>
          <cell r="G34">
            <v>0.01548</v>
          </cell>
        </row>
        <row r="35">
          <cell r="A35" t="str">
            <v>3602731CCL</v>
          </cell>
          <cell r="B35" t="str">
            <v>BSCH0006030327NJ00</v>
          </cell>
          <cell r="C35" t="str">
            <v>70200105270310009N</v>
          </cell>
          <cell r="D35" t="str">
            <v>SMD</v>
          </cell>
          <cell r="E35" t="str">
            <v>RF0402</v>
          </cell>
          <cell r="F35">
            <v>0.00069</v>
          </cell>
          <cell r="G35">
            <v>0.00068</v>
          </cell>
        </row>
        <row r="36">
          <cell r="A36" t="str">
            <v>36050104CL</v>
          </cell>
          <cell r="B36" t="str">
            <v>BSCQ000603030N5BHR</v>
          </cell>
          <cell r="C36" t="str">
            <v>70301102056010009N</v>
          </cell>
          <cell r="D36" t="str">
            <v>SMD</v>
          </cell>
          <cell r="E36" t="str">
            <v>RF0201</v>
          </cell>
          <cell r="F36">
            <v>0.00067</v>
          </cell>
          <cell r="G36">
            <v>0.00065</v>
          </cell>
        </row>
        <row r="37">
          <cell r="A37" t="str">
            <v>36060105CL</v>
          </cell>
          <cell r="B37" t="str">
            <v>BSCQ000603030N6B00</v>
          </cell>
          <cell r="C37" t="str">
            <v>70301102607010009N</v>
          </cell>
          <cell r="D37" t="str">
            <v>SMD</v>
          </cell>
          <cell r="E37" t="str">
            <v>RF0201</v>
          </cell>
          <cell r="F37">
            <v>0.00067</v>
          </cell>
          <cell r="G37">
            <v>0.00065</v>
          </cell>
        </row>
        <row r="38">
          <cell r="A38" t="str">
            <v>36070103CL</v>
          </cell>
          <cell r="B38" t="str">
            <v>BSCQ000603030N7B00</v>
          </cell>
          <cell r="C38" t="str">
            <v>70301102707010009N</v>
          </cell>
          <cell r="D38" t="str">
            <v>SMD</v>
          </cell>
          <cell r="E38" t="str">
            <v>RF0201</v>
          </cell>
          <cell r="F38">
            <v>0.00067</v>
          </cell>
          <cell r="G38">
            <v>0.00065</v>
          </cell>
        </row>
        <row r="39">
          <cell r="A39" t="str">
            <v>36080103CL</v>
          </cell>
          <cell r="B39" t="str">
            <v>BSCQ000603030N8B00</v>
          </cell>
          <cell r="C39" t="str">
            <v>70301102807010009N</v>
          </cell>
          <cell r="D39" t="str">
            <v>SMD</v>
          </cell>
          <cell r="E39" t="str">
            <v>RF0201</v>
          </cell>
          <cell r="F39">
            <v>0.00067</v>
          </cell>
          <cell r="G39">
            <v>0.00065</v>
          </cell>
        </row>
        <row r="40">
          <cell r="A40" t="str">
            <v>36090104CL</v>
          </cell>
          <cell r="B40" t="str">
            <v>BSCQ000603030N9B00</v>
          </cell>
          <cell r="C40" t="str">
            <v>70301102907010009N</v>
          </cell>
          <cell r="D40" t="str">
            <v>SMD</v>
          </cell>
          <cell r="E40" t="str">
            <v>RF0201</v>
          </cell>
          <cell r="F40">
            <v>0.00067</v>
          </cell>
          <cell r="G40">
            <v>0.00065</v>
          </cell>
        </row>
        <row r="41">
          <cell r="A41" t="str">
            <v>36010320CL</v>
          </cell>
          <cell r="B41" t="str">
            <v>BSCQ0006030310NH00</v>
          </cell>
          <cell r="C41" t="str">
            <v>70301102100010009N</v>
          </cell>
          <cell r="D41" t="str">
            <v>SMD</v>
          </cell>
          <cell r="E41" t="str">
            <v>RF0201</v>
          </cell>
          <cell r="F41">
            <v>0.00069</v>
          </cell>
          <cell r="G41">
            <v>0.00068</v>
          </cell>
        </row>
        <row r="42">
          <cell r="A42" t="str">
            <v>3601231MCL</v>
          </cell>
          <cell r="B42" t="str">
            <v>BSCQ0006030312NH00</v>
          </cell>
          <cell r="C42" t="str">
            <v>70301102120010009N</v>
          </cell>
          <cell r="D42" t="str">
            <v>SMD</v>
          </cell>
          <cell r="E42" t="str">
            <v>RF0201</v>
          </cell>
          <cell r="F42">
            <v>0.00069</v>
          </cell>
          <cell r="G42">
            <v>0.00068</v>
          </cell>
        </row>
        <row r="43">
          <cell r="A43" t="str">
            <v>3601831LCL</v>
          </cell>
          <cell r="B43" t="str">
            <v>BSCQ0006030318NH00</v>
          </cell>
          <cell r="C43" t="str">
            <v>70301102180010009N</v>
          </cell>
          <cell r="D43" t="str">
            <v>SMD</v>
          </cell>
          <cell r="E43" t="str">
            <v>RF0201</v>
          </cell>
          <cell r="F43">
            <v>0.00069</v>
          </cell>
          <cell r="G43">
            <v>0.00068</v>
          </cell>
        </row>
        <row r="44">
          <cell r="A44" t="str">
            <v>3601022BCL</v>
          </cell>
          <cell r="B44" t="str">
            <v>BSCQ000603031N0B00</v>
          </cell>
          <cell r="C44" t="str">
            <v>70301102106010009N</v>
          </cell>
          <cell r="D44" t="str">
            <v>SMD</v>
          </cell>
          <cell r="E44" t="str">
            <v>RF0201</v>
          </cell>
          <cell r="F44">
            <v>0.00067</v>
          </cell>
          <cell r="G44">
            <v>0.00065</v>
          </cell>
        </row>
        <row r="45">
          <cell r="A45" t="str">
            <v>3601120ACL</v>
          </cell>
          <cell r="B45" t="str">
            <v>BSCQ000603031N1B00</v>
          </cell>
          <cell r="C45" t="str">
            <v>70301102116010009N</v>
          </cell>
          <cell r="D45" t="str">
            <v>SMD</v>
          </cell>
          <cell r="E45" t="str">
            <v>RF0201</v>
          </cell>
          <cell r="F45">
            <v>0.00067</v>
          </cell>
          <cell r="G45">
            <v>0.00065</v>
          </cell>
        </row>
        <row r="46">
          <cell r="A46" t="str">
            <v>3601221TCL</v>
          </cell>
          <cell r="B46" t="str">
            <v>BSCQ000603031N2B00</v>
          </cell>
          <cell r="C46" t="str">
            <v>70301102126010009N</v>
          </cell>
          <cell r="D46" t="str">
            <v>SMD</v>
          </cell>
          <cell r="E46" t="str">
            <v>RF0201</v>
          </cell>
          <cell r="F46">
            <v>0.00067</v>
          </cell>
          <cell r="G46">
            <v>0.00065</v>
          </cell>
        </row>
        <row r="47">
          <cell r="A47" t="str">
            <v>3601320FCL</v>
          </cell>
          <cell r="B47" t="str">
            <v>BSCQ000603031N3B00</v>
          </cell>
          <cell r="C47" t="str">
            <v>70301102136010009N</v>
          </cell>
          <cell r="D47" t="str">
            <v>SMD</v>
          </cell>
          <cell r="E47" t="str">
            <v>RF0201</v>
          </cell>
          <cell r="F47">
            <v>0.00067</v>
          </cell>
          <cell r="G47">
            <v>0.00065</v>
          </cell>
        </row>
        <row r="48">
          <cell r="A48" t="str">
            <v>36014202CL</v>
          </cell>
          <cell r="B48" t="str">
            <v>BSCQ000603031N4B00</v>
          </cell>
          <cell r="C48" t="str">
            <v>70301102146010009N</v>
          </cell>
          <cell r="D48" t="str">
            <v>SMD</v>
          </cell>
          <cell r="E48" t="str">
            <v>RF0201</v>
          </cell>
          <cell r="F48">
            <v>0.00067</v>
          </cell>
          <cell r="G48">
            <v>0.00065</v>
          </cell>
        </row>
        <row r="49">
          <cell r="A49" t="str">
            <v>3601521HCL</v>
          </cell>
          <cell r="B49" t="str">
            <v>BSCQ000603031N5B00</v>
          </cell>
          <cell r="C49" t="str">
            <v>70301102156010009N</v>
          </cell>
          <cell r="D49" t="str">
            <v>SMD</v>
          </cell>
          <cell r="E49" t="str">
            <v>RF0201</v>
          </cell>
          <cell r="F49">
            <v>0.00067</v>
          </cell>
          <cell r="G49">
            <v>0.00065</v>
          </cell>
        </row>
        <row r="50">
          <cell r="A50" t="str">
            <v>3601621ECL</v>
          </cell>
          <cell r="B50" t="str">
            <v>BSCQ000603031N6B00</v>
          </cell>
          <cell r="C50" t="str">
            <v>70301102166010009N</v>
          </cell>
          <cell r="D50" t="str">
            <v>SMD</v>
          </cell>
          <cell r="E50" t="str">
            <v>RF0201</v>
          </cell>
          <cell r="F50">
            <v>0.00067</v>
          </cell>
          <cell r="G50">
            <v>0.00065</v>
          </cell>
        </row>
        <row r="51">
          <cell r="A51" t="str">
            <v>36017206CL</v>
          </cell>
          <cell r="B51" t="str">
            <v>BSCQ000603031N7B00</v>
          </cell>
          <cell r="C51" t="str">
            <v>70301102176010009N</v>
          </cell>
          <cell r="D51" t="str">
            <v>SMD</v>
          </cell>
          <cell r="E51" t="str">
            <v>RF0201</v>
          </cell>
          <cell r="F51">
            <v>0.00067</v>
          </cell>
          <cell r="G51">
            <v>0.00065</v>
          </cell>
        </row>
        <row r="52">
          <cell r="A52" t="str">
            <v>3601822ECL</v>
          </cell>
          <cell r="B52" t="str">
            <v>BSCQ000603031N8B00</v>
          </cell>
          <cell r="C52" t="str">
            <v>70301102186010009N</v>
          </cell>
          <cell r="D52" t="str">
            <v>SMD</v>
          </cell>
          <cell r="E52" t="str">
            <v>RF0201</v>
          </cell>
          <cell r="F52">
            <v>0.00067</v>
          </cell>
          <cell r="G52">
            <v>0.00065</v>
          </cell>
        </row>
        <row r="53">
          <cell r="A53" t="str">
            <v>36019202CL</v>
          </cell>
          <cell r="B53" t="str">
            <v>BSCQ000603031N9B00</v>
          </cell>
          <cell r="C53" t="str">
            <v>70301102196010009N</v>
          </cell>
          <cell r="D53" t="str">
            <v>SMD</v>
          </cell>
          <cell r="E53" t="str">
            <v>RF0201</v>
          </cell>
          <cell r="F53">
            <v>0.00067</v>
          </cell>
          <cell r="G53">
            <v>0.00065</v>
          </cell>
        </row>
        <row r="54">
          <cell r="A54" t="str">
            <v>3602231FCL</v>
          </cell>
          <cell r="B54" t="str">
            <v>BSCQ0006030322NH00</v>
          </cell>
          <cell r="C54" t="str">
            <v>70301102220010009N</v>
          </cell>
          <cell r="D54" t="str">
            <v>SMD</v>
          </cell>
          <cell r="E54" t="str">
            <v>RF0201</v>
          </cell>
          <cell r="F54">
            <v>0.00069</v>
          </cell>
          <cell r="G54">
            <v>0.00068</v>
          </cell>
        </row>
        <row r="55">
          <cell r="A55" t="str">
            <v>3602020GCL</v>
          </cell>
          <cell r="B55" t="str">
            <v>BSCQ000603032N0B00</v>
          </cell>
          <cell r="C55" t="str">
            <v>70301102206010009N</v>
          </cell>
          <cell r="D55" t="str">
            <v>SMD</v>
          </cell>
          <cell r="E55" t="str">
            <v>RF0201</v>
          </cell>
          <cell r="F55">
            <v>0.00067</v>
          </cell>
          <cell r="G55">
            <v>0.00065</v>
          </cell>
        </row>
        <row r="56">
          <cell r="A56" t="str">
            <v>36021202CL</v>
          </cell>
          <cell r="B56" t="str">
            <v>BSCQ000603032N1B00</v>
          </cell>
          <cell r="C56" t="str">
            <v>70301102216010009N</v>
          </cell>
          <cell r="D56" t="str">
            <v>SMD</v>
          </cell>
          <cell r="E56" t="str">
            <v>RF0201</v>
          </cell>
          <cell r="F56">
            <v>0.00067</v>
          </cell>
          <cell r="G56">
            <v>0.00065</v>
          </cell>
        </row>
        <row r="57">
          <cell r="A57" t="str">
            <v>3602221SCL</v>
          </cell>
          <cell r="B57" t="str">
            <v>BSCQ000603032N2B00</v>
          </cell>
          <cell r="C57" t="str">
            <v>70301102226010009N</v>
          </cell>
          <cell r="D57" t="str">
            <v>SMD</v>
          </cell>
          <cell r="E57" t="str">
            <v>RF0201</v>
          </cell>
          <cell r="F57">
            <v>0.00067</v>
          </cell>
          <cell r="G57">
            <v>0.00065</v>
          </cell>
        </row>
        <row r="58">
          <cell r="A58" t="str">
            <v>36023202CL</v>
          </cell>
          <cell r="B58" t="str">
            <v>BSCQ000603032N3B00</v>
          </cell>
          <cell r="C58" t="str">
            <v>70301102236010009N</v>
          </cell>
          <cell r="D58" t="str">
            <v>SMD</v>
          </cell>
          <cell r="E58" t="str">
            <v>RF0201</v>
          </cell>
          <cell r="F58">
            <v>0.00067</v>
          </cell>
          <cell r="G58">
            <v>0.00065</v>
          </cell>
        </row>
        <row r="59">
          <cell r="A59" t="str">
            <v>3602420BCL</v>
          </cell>
          <cell r="B59" t="str">
            <v>BSCQ000603032N4B00</v>
          </cell>
          <cell r="C59" t="str">
            <v>70301102246010009N</v>
          </cell>
          <cell r="D59" t="str">
            <v>SMD</v>
          </cell>
          <cell r="E59" t="str">
            <v>RF0201</v>
          </cell>
          <cell r="F59">
            <v>0.00067</v>
          </cell>
          <cell r="G59">
            <v>0.00065</v>
          </cell>
        </row>
        <row r="60">
          <cell r="A60" t="str">
            <v>36025203CL</v>
          </cell>
          <cell r="B60" t="str">
            <v>BSCQ000603032N5B00</v>
          </cell>
          <cell r="C60" t="str">
            <v>70301102256010009N</v>
          </cell>
          <cell r="D60" t="str">
            <v>SMD</v>
          </cell>
          <cell r="E60" t="str">
            <v>RF0201</v>
          </cell>
          <cell r="F60">
            <v>0.00067</v>
          </cell>
          <cell r="G60">
            <v>0.00065</v>
          </cell>
        </row>
        <row r="61">
          <cell r="A61" t="str">
            <v>36026205CL</v>
          </cell>
          <cell r="B61" t="str">
            <v>BSCQ000603032N6B00</v>
          </cell>
          <cell r="C61" t="str">
            <v>70301102266010009N</v>
          </cell>
          <cell r="D61" t="str">
            <v>SMD</v>
          </cell>
          <cell r="E61" t="str">
            <v>RF0201</v>
          </cell>
          <cell r="F61">
            <v>0.00067</v>
          </cell>
          <cell r="G61">
            <v>0.00065</v>
          </cell>
        </row>
        <row r="62">
          <cell r="A62" t="str">
            <v>3602722JCL</v>
          </cell>
          <cell r="B62" t="str">
            <v>BSCQ000603032N7B00</v>
          </cell>
          <cell r="C62" t="str">
            <v>70301102276010009N</v>
          </cell>
          <cell r="D62" t="str">
            <v>SMD</v>
          </cell>
          <cell r="E62" t="str">
            <v>RF0201</v>
          </cell>
          <cell r="F62">
            <v>0.00067</v>
          </cell>
          <cell r="G62">
            <v>0.00065</v>
          </cell>
        </row>
        <row r="63">
          <cell r="A63" t="str">
            <v>36028202CL</v>
          </cell>
          <cell r="B63" t="str">
            <v>BSCQ000603032N8B00</v>
          </cell>
          <cell r="C63" t="str">
            <v>70301102286010009N</v>
          </cell>
          <cell r="D63" t="str">
            <v>SMD</v>
          </cell>
          <cell r="E63" t="str">
            <v>RF0201</v>
          </cell>
          <cell r="F63">
            <v>0.00067</v>
          </cell>
          <cell r="G63">
            <v>0.00065</v>
          </cell>
        </row>
        <row r="64">
          <cell r="A64" t="str">
            <v>36029202CL</v>
          </cell>
          <cell r="B64" t="str">
            <v>BSCQ000603032N9B00</v>
          </cell>
          <cell r="C64" t="str">
            <v>70301102296010009N</v>
          </cell>
          <cell r="D64" t="str">
            <v>SMD</v>
          </cell>
          <cell r="E64" t="str">
            <v>RF0201</v>
          </cell>
          <cell r="F64">
            <v>0.00067</v>
          </cell>
          <cell r="G64">
            <v>0.00065</v>
          </cell>
        </row>
        <row r="65">
          <cell r="A65" t="str">
            <v>3603020DCL</v>
          </cell>
          <cell r="B65" t="str">
            <v>BSCQ000603033N0B00</v>
          </cell>
          <cell r="C65" t="str">
            <v>70301102306010009N</v>
          </cell>
          <cell r="D65" t="str">
            <v>SMD</v>
          </cell>
          <cell r="E65" t="str">
            <v>RF0201</v>
          </cell>
          <cell r="F65">
            <v>0.00067</v>
          </cell>
          <cell r="G65">
            <v>0.00065</v>
          </cell>
        </row>
        <row r="66">
          <cell r="A66" t="str">
            <v>3603322HCL</v>
          </cell>
          <cell r="B66" t="str">
            <v>BSCQ000603033N3B00</v>
          </cell>
          <cell r="C66" t="str">
            <v>70301102336010009N</v>
          </cell>
          <cell r="D66" t="str">
            <v>SMD</v>
          </cell>
          <cell r="E66" t="str">
            <v>RF0201</v>
          </cell>
          <cell r="F66">
            <v>0.00067</v>
          </cell>
          <cell r="G66">
            <v>0.00065</v>
          </cell>
        </row>
        <row r="67">
          <cell r="A67" t="str">
            <v>36034201CL</v>
          </cell>
          <cell r="B67" t="str">
            <v>BSCQ000603033N4B00</v>
          </cell>
          <cell r="C67" t="str">
            <v>70301102346010009N</v>
          </cell>
          <cell r="D67" t="str">
            <v>SMD</v>
          </cell>
          <cell r="E67" t="str">
            <v>RF0201</v>
          </cell>
          <cell r="F67">
            <v>0.00067</v>
          </cell>
          <cell r="G67">
            <v>0.00065</v>
          </cell>
        </row>
        <row r="68">
          <cell r="A68" t="str">
            <v>36035201CL</v>
          </cell>
          <cell r="B68" t="str">
            <v>BSCQ000603033N5B00</v>
          </cell>
          <cell r="C68" t="str">
            <v>70301102356010009N</v>
          </cell>
          <cell r="D68" t="str">
            <v>SMD</v>
          </cell>
          <cell r="E68" t="str">
            <v>RF0201</v>
          </cell>
          <cell r="F68">
            <v>0.00067</v>
          </cell>
          <cell r="G68">
            <v>0.00065</v>
          </cell>
        </row>
        <row r="69">
          <cell r="A69" t="str">
            <v>3603621CCL</v>
          </cell>
          <cell r="B69" t="str">
            <v>BSCQ000603033N6B00</v>
          </cell>
          <cell r="C69" t="str">
            <v>70301102366010009N</v>
          </cell>
          <cell r="D69" t="str">
            <v>SMD</v>
          </cell>
          <cell r="E69" t="str">
            <v>RF0201</v>
          </cell>
          <cell r="F69">
            <v>0.00067</v>
          </cell>
          <cell r="G69">
            <v>0.00065</v>
          </cell>
        </row>
        <row r="70">
          <cell r="A70" t="str">
            <v>36037201CL</v>
          </cell>
          <cell r="B70" t="str">
            <v>BSCQ000603033N7B00</v>
          </cell>
          <cell r="C70" t="str">
            <v>70301102376010009N</v>
          </cell>
          <cell r="D70" t="str">
            <v>SMD</v>
          </cell>
          <cell r="E70" t="str">
            <v>RF0201</v>
          </cell>
          <cell r="F70">
            <v>0.00067</v>
          </cell>
          <cell r="G70">
            <v>0.00065</v>
          </cell>
        </row>
        <row r="71">
          <cell r="A71" t="str">
            <v>3603922FCL</v>
          </cell>
          <cell r="B71" t="str">
            <v>BSCQ000603033N9B00</v>
          </cell>
          <cell r="C71" t="str">
            <v>70301102396010009N</v>
          </cell>
          <cell r="D71" t="str">
            <v>SMD</v>
          </cell>
          <cell r="E71" t="str">
            <v>RF0201</v>
          </cell>
          <cell r="F71">
            <v>0.00067</v>
          </cell>
          <cell r="G71">
            <v>0.00065</v>
          </cell>
        </row>
        <row r="72">
          <cell r="A72" t="str">
            <v>3604320CCL</v>
          </cell>
          <cell r="B72" t="str">
            <v>BSCQ000603034N3C00</v>
          </cell>
          <cell r="C72" t="str">
            <v>70301102436010009N</v>
          </cell>
          <cell r="D72" t="str">
            <v>SMD</v>
          </cell>
          <cell r="E72" t="str">
            <v>RF0201</v>
          </cell>
          <cell r="F72">
            <v>0.00067</v>
          </cell>
          <cell r="G72">
            <v>0.00065</v>
          </cell>
        </row>
        <row r="73">
          <cell r="A73" t="str">
            <v>3604722BCL</v>
          </cell>
          <cell r="B73" t="str">
            <v>BSCQ000603034N7C00</v>
          </cell>
          <cell r="C73" t="str">
            <v>70301102476010009N</v>
          </cell>
          <cell r="D73" t="str">
            <v>SMD</v>
          </cell>
          <cell r="E73" t="str">
            <v>RF0201</v>
          </cell>
          <cell r="F73">
            <v>0.00067</v>
          </cell>
          <cell r="G73">
            <v>0.00065</v>
          </cell>
        </row>
        <row r="74">
          <cell r="A74" t="str">
            <v>3604722CCL</v>
          </cell>
          <cell r="B74" t="str">
            <v>BSCQ000603034N7C00</v>
          </cell>
          <cell r="C74" t="str">
            <v>70301102476010009N</v>
          </cell>
          <cell r="D74" t="str">
            <v>SMD</v>
          </cell>
          <cell r="E74" t="str">
            <v>RF0201</v>
          </cell>
          <cell r="F74">
            <v>0.00067</v>
          </cell>
          <cell r="G74">
            <v>0.00065</v>
          </cell>
        </row>
        <row r="75">
          <cell r="A75" t="str">
            <v>36051208CL</v>
          </cell>
          <cell r="B75" t="str">
            <v>BSCQ000603035N1C00</v>
          </cell>
          <cell r="C75" t="str">
            <v>70301102516010009N</v>
          </cell>
          <cell r="D75" t="str">
            <v>SMD</v>
          </cell>
          <cell r="E75" t="str">
            <v>RF0201</v>
          </cell>
          <cell r="F75">
            <v>0.00067</v>
          </cell>
          <cell r="G75">
            <v>0.00065</v>
          </cell>
        </row>
        <row r="76">
          <cell r="A76" t="str">
            <v>3605622TCL</v>
          </cell>
          <cell r="B76" t="str">
            <v>BSCQ000603035N6C00</v>
          </cell>
          <cell r="C76" t="str">
            <v>70301102566010009N</v>
          </cell>
          <cell r="D76" t="str">
            <v>SMD</v>
          </cell>
          <cell r="E76" t="str">
            <v>RF0201</v>
          </cell>
          <cell r="F76">
            <v>0.00067</v>
          </cell>
          <cell r="G76">
            <v>0.00065</v>
          </cell>
        </row>
        <row r="77">
          <cell r="A77" t="str">
            <v>36062204CL</v>
          </cell>
          <cell r="B77" t="str">
            <v>BSCQ000603036N2C00</v>
          </cell>
          <cell r="C77" t="str">
            <v>70301102626010009N</v>
          </cell>
          <cell r="D77" t="str">
            <v>SMD</v>
          </cell>
          <cell r="E77" t="str">
            <v>RF0201</v>
          </cell>
          <cell r="F77">
            <v>0.00067</v>
          </cell>
          <cell r="G77">
            <v>0.00065</v>
          </cell>
        </row>
        <row r="78">
          <cell r="A78" t="str">
            <v>3607520DCL</v>
          </cell>
          <cell r="B78" t="str">
            <v>BSCQ000603036N8H00</v>
          </cell>
          <cell r="C78" t="str">
            <v>70301102686010009N</v>
          </cell>
          <cell r="D78" t="str">
            <v>SMD</v>
          </cell>
          <cell r="E78" t="str">
            <v>RF0201</v>
          </cell>
          <cell r="F78">
            <v>0.00069</v>
          </cell>
          <cell r="G78">
            <v>0.00068</v>
          </cell>
        </row>
        <row r="79">
          <cell r="A79" t="str">
            <v>3607520CCL</v>
          </cell>
          <cell r="B79" t="str">
            <v>BSCQ000603037N5H00</v>
          </cell>
          <cell r="C79" t="str">
            <v>70301102756010009N</v>
          </cell>
          <cell r="D79" t="str">
            <v>SMD</v>
          </cell>
          <cell r="E79" t="str">
            <v>RF0201</v>
          </cell>
          <cell r="F79">
            <v>0.00069</v>
          </cell>
          <cell r="G79">
            <v>0.00068</v>
          </cell>
        </row>
        <row r="80">
          <cell r="A80" t="str">
            <v>3608221LCL</v>
          </cell>
          <cell r="B80" t="str">
            <v>BSCQ000603038N2H00</v>
          </cell>
          <cell r="C80" t="str">
            <v>70301102826010009N</v>
          </cell>
          <cell r="D80" t="str">
            <v>SMD</v>
          </cell>
          <cell r="E80" t="str">
            <v>RF0201</v>
          </cell>
          <cell r="F80">
            <v>0.00069</v>
          </cell>
          <cell r="G80">
            <v>0.00068</v>
          </cell>
        </row>
        <row r="81">
          <cell r="A81" t="str">
            <v>36091206CL</v>
          </cell>
          <cell r="B81" t="str">
            <v>BSCQ000603039N1H00</v>
          </cell>
          <cell r="C81" t="str">
            <v>70301102916010009N</v>
          </cell>
          <cell r="D81" t="str">
            <v>SMD</v>
          </cell>
          <cell r="E81" t="str">
            <v>RF0201</v>
          </cell>
          <cell r="F81">
            <v>0.00069</v>
          </cell>
          <cell r="G81">
            <v>0.00068</v>
          </cell>
        </row>
        <row r="82">
          <cell r="A82" t="str">
            <v>3601521FCL</v>
          </cell>
          <cell r="B82" t="str">
            <v>CHQ0603T-15NH-HU</v>
          </cell>
          <cell r="C82" t="str">
            <v>70301102150010009</v>
          </cell>
          <cell r="D82" t="str">
            <v>SMD</v>
          </cell>
          <cell r="E82" t="str">
            <v>RF0201</v>
          </cell>
          <cell r="F82">
            <v>0.00069</v>
          </cell>
          <cell r="G82">
            <v>0.00068</v>
          </cell>
        </row>
        <row r="83">
          <cell r="A83" t="str">
            <v>3601320ECL</v>
          </cell>
          <cell r="B83" t="str">
            <v>CHQ0603T-1N3B-HU</v>
          </cell>
          <cell r="C83" t="str">
            <v>70301102136010009</v>
          </cell>
          <cell r="D83" t="str">
            <v>SMD</v>
          </cell>
          <cell r="E83" t="str">
            <v>RF0201</v>
          </cell>
          <cell r="F83">
            <v>0.00067</v>
          </cell>
          <cell r="G83">
            <v>0.00065</v>
          </cell>
        </row>
        <row r="84">
          <cell r="A84" t="str">
            <v>3601521NCL</v>
          </cell>
          <cell r="B84" t="str">
            <v>CHQ0603T-1N5B-HU</v>
          </cell>
          <cell r="C84" t="str">
            <v>70301102156010009</v>
          </cell>
          <cell r="D84" t="str">
            <v>SMD</v>
          </cell>
          <cell r="E84" t="str">
            <v>RF0201</v>
          </cell>
          <cell r="F84">
            <v>0.00067</v>
          </cell>
          <cell r="G84">
            <v>0.00065</v>
          </cell>
        </row>
        <row r="85">
          <cell r="A85" t="str">
            <v>3602020KCL</v>
          </cell>
          <cell r="B85" t="str">
            <v>CHQ0603T-2N0B-HU</v>
          </cell>
          <cell r="C85" t="str">
            <v>70301102206010009</v>
          </cell>
          <cell r="D85" t="str">
            <v>SMD</v>
          </cell>
          <cell r="E85" t="str">
            <v>RF0201</v>
          </cell>
          <cell r="F85">
            <v>0.00067</v>
          </cell>
          <cell r="G85">
            <v>0.00065</v>
          </cell>
        </row>
        <row r="86">
          <cell r="A86" t="str">
            <v>3602221ECL</v>
          </cell>
          <cell r="B86" t="str">
            <v>CHQ0603T-2N2B-HU</v>
          </cell>
          <cell r="C86" t="str">
            <v>70301102226010009</v>
          </cell>
          <cell r="D86" t="str">
            <v>SMD</v>
          </cell>
          <cell r="E86" t="str">
            <v>RF0201</v>
          </cell>
          <cell r="F86">
            <v>0.00067</v>
          </cell>
          <cell r="G86">
            <v>0.00065</v>
          </cell>
        </row>
        <row r="87">
          <cell r="A87" t="str">
            <v>3605622SCL</v>
          </cell>
          <cell r="B87" t="str">
            <v>CHQ0603T-5N6C-HU</v>
          </cell>
          <cell r="C87" t="str">
            <v>70301102566010009</v>
          </cell>
          <cell r="D87" t="str">
            <v>SMD</v>
          </cell>
          <cell r="E87" t="str">
            <v>RF0201</v>
          </cell>
          <cell r="F87">
            <v>0.00067</v>
          </cell>
          <cell r="G87">
            <v>0.00065</v>
          </cell>
        </row>
        <row r="88">
          <cell r="A88" t="str">
            <v>36010501CL</v>
          </cell>
          <cell r="B88" t="str">
            <v>CL201209T-1R0K-N</v>
          </cell>
          <cell r="C88" t="str">
            <v>70100103106410209</v>
          </cell>
          <cell r="D88" t="str">
            <v>SMD</v>
          </cell>
          <cell r="E88" t="e">
            <v>#N/A</v>
          </cell>
          <cell r="F88">
            <v>0.0447</v>
          </cell>
          <cell r="G88">
            <v>0.02235</v>
          </cell>
        </row>
        <row r="89">
          <cell r="A89" t="str">
            <v>3601221HCL</v>
          </cell>
          <cell r="B89" t="str">
            <v>CLH1005T-1N2S-S</v>
          </cell>
          <cell r="C89" t="str">
            <v>70200102126110009</v>
          </cell>
          <cell r="D89" t="str">
            <v>SMD</v>
          </cell>
          <cell r="E89" t="str">
            <v>RF0402</v>
          </cell>
          <cell r="F89">
            <v>0.00752</v>
          </cell>
          <cell r="G89">
            <v>0.00376</v>
          </cell>
        </row>
        <row r="90">
          <cell r="A90" t="str">
            <v>3602231NCL</v>
          </cell>
          <cell r="B90" t="str">
            <v>CLH1005T-22NJ-S-NP</v>
          </cell>
          <cell r="C90" t="str">
            <v>70200102220310309</v>
          </cell>
          <cell r="D90" t="str">
            <v>SMD</v>
          </cell>
          <cell r="E90" t="str">
            <v>RF0402</v>
          </cell>
          <cell r="F90">
            <v>0.00669</v>
          </cell>
          <cell r="G90">
            <v>0.00468</v>
          </cell>
        </row>
        <row r="91">
          <cell r="A91" t="str">
            <v>3604763KCL</v>
          </cell>
          <cell r="B91" t="str">
            <v>MPB201210T-4R7M-NA2</v>
          </cell>
          <cell r="C91" t="str">
            <v>71500101476710009</v>
          </cell>
          <cell r="D91" t="str">
            <v>SMD</v>
          </cell>
          <cell r="E91" t="str">
            <v>MPB</v>
          </cell>
          <cell r="F91">
            <v>0.11464</v>
          </cell>
          <cell r="G91">
            <v>0.05732</v>
          </cell>
        </row>
        <row r="92">
          <cell r="A92" t="str">
            <v>36047548CL</v>
          </cell>
          <cell r="B92" t="str">
            <v>MPB201212T-4R7M-NA2</v>
          </cell>
          <cell r="C92" t="str">
            <v>71500106476710009</v>
          </cell>
          <cell r="D92" t="str">
            <v>SMD</v>
          </cell>
          <cell r="E92" t="str">
            <v>MPB</v>
          </cell>
          <cell r="F92">
            <v>0.01648</v>
          </cell>
          <cell r="G92">
            <v>0.01599</v>
          </cell>
        </row>
        <row r="93">
          <cell r="A93" t="str">
            <v>3620007RCL</v>
          </cell>
          <cell r="B93" t="str">
            <v>PBY060303T-121Y-N</v>
          </cell>
          <cell r="C93" t="str">
            <v>60502110121610009</v>
          </cell>
          <cell r="D93" t="str">
            <v>SMD</v>
          </cell>
          <cell r="E93" t="str">
            <v>Bead0201</v>
          </cell>
          <cell r="F93">
            <v>0.00135</v>
          </cell>
          <cell r="G93">
            <v>0.00134</v>
          </cell>
        </row>
        <row r="94">
          <cell r="A94" t="str">
            <v>36200079CL</v>
          </cell>
          <cell r="B94" t="str">
            <v>PBY060303T-330Y-N</v>
          </cell>
          <cell r="C94" t="str">
            <v>60502110330610009</v>
          </cell>
          <cell r="D94" t="str">
            <v>SMD</v>
          </cell>
          <cell r="E94" t="str">
            <v>Bead0201</v>
          </cell>
          <cell r="F94">
            <v>0.00137</v>
          </cell>
          <cell r="G94">
            <v>0.00136</v>
          </cell>
        </row>
        <row r="95">
          <cell r="A95" t="str">
            <v>362000ARCL</v>
          </cell>
          <cell r="B95" t="str">
            <v>SBJ060303T-750Y-N</v>
          </cell>
          <cell r="C95" t="str">
            <v>60303111750610009</v>
          </cell>
          <cell r="D95" t="str">
            <v>SMD</v>
          </cell>
          <cell r="E95" t="str">
            <v>Bead0201</v>
          </cell>
          <cell r="F95">
            <v>0.00133</v>
          </cell>
          <cell r="G95">
            <v>0.00132</v>
          </cell>
        </row>
        <row r="96">
          <cell r="A96" t="str">
            <v>3620021CCL</v>
          </cell>
          <cell r="B96" t="str">
            <v>UPB201209T-101Y-N</v>
          </cell>
          <cell r="C96" t="str">
            <v>60600102101610109</v>
          </cell>
          <cell r="D96" t="str">
            <v>SMD</v>
          </cell>
          <cell r="E96" t="str">
            <v>Bead0805</v>
          </cell>
          <cell r="F96">
            <v>0.0054902</v>
          </cell>
          <cell r="G96">
            <v>0.00544</v>
          </cell>
        </row>
        <row r="97">
          <cell r="A97" t="str">
            <v>3601831MCL</v>
          </cell>
          <cell r="B97" t="str">
            <v>BWCS0023171518NG00</v>
          </cell>
          <cell r="C97" t="str">
            <v>4010010418021000N</v>
          </cell>
          <cell r="D97" t="str">
            <v>WW</v>
          </cell>
          <cell r="E97" t="str">
            <v>LCN0805</v>
          </cell>
          <cell r="F97">
            <v>0.01555</v>
          </cell>
          <cell r="G97">
            <v>0.01547</v>
          </cell>
        </row>
        <row r="98">
          <cell r="A98" t="str">
            <v>3602731GCL</v>
          </cell>
          <cell r="B98" t="str">
            <v>BWCS0023171527NG00</v>
          </cell>
          <cell r="C98" t="str">
            <v>4010010427021000N</v>
          </cell>
          <cell r="D98" t="str">
            <v>WW</v>
          </cell>
          <cell r="E98" t="str">
            <v>LCN0805</v>
          </cell>
          <cell r="F98">
            <v>0.01555</v>
          </cell>
          <cell r="G98">
            <v>0.01547</v>
          </cell>
        </row>
        <row r="99">
          <cell r="A99" t="str">
            <v>36036302CL</v>
          </cell>
          <cell r="B99" t="str">
            <v>BWCS0023171536NG00</v>
          </cell>
          <cell r="C99" t="str">
            <v>4010010436021000N</v>
          </cell>
          <cell r="D99" t="str">
            <v>WW</v>
          </cell>
          <cell r="E99" t="str">
            <v>LCN0805</v>
          </cell>
          <cell r="F99">
            <v>0.01555</v>
          </cell>
          <cell r="G99">
            <v>0.01547</v>
          </cell>
        </row>
        <row r="100">
          <cell r="A100" t="str">
            <v>3604731QCL</v>
          </cell>
          <cell r="B100" t="str">
            <v>BWCS0023171547NG00</v>
          </cell>
          <cell r="C100" t="str">
            <v>4010010447021000N</v>
          </cell>
          <cell r="D100" t="str">
            <v>WW</v>
          </cell>
          <cell r="E100" t="str">
            <v>LCN0805</v>
          </cell>
          <cell r="F100">
            <v>0.01545</v>
          </cell>
          <cell r="G100">
            <v>0.01537</v>
          </cell>
        </row>
        <row r="101">
          <cell r="A101" t="str">
            <v>36056325CL</v>
          </cell>
          <cell r="B101" t="str">
            <v>BWCS0023171556NG00</v>
          </cell>
          <cell r="C101" t="str">
            <v>4010010456021000N</v>
          </cell>
          <cell r="D101" t="str">
            <v>WW</v>
          </cell>
          <cell r="E101" t="str">
            <v>LCN0805</v>
          </cell>
          <cell r="F101">
            <v>0.01555</v>
          </cell>
          <cell r="G101">
            <v>0.01547</v>
          </cell>
        </row>
        <row r="102">
          <cell r="A102" t="str">
            <v>3601041SCL</v>
          </cell>
          <cell r="B102" t="str">
            <v>BWCS00231715R10G00</v>
          </cell>
          <cell r="C102" t="str">
            <v>4010010410121000N</v>
          </cell>
          <cell r="D102" t="str">
            <v>WW</v>
          </cell>
          <cell r="E102" t="str">
            <v>LCN0805</v>
          </cell>
          <cell r="F102">
            <v>0.01555</v>
          </cell>
          <cell r="G102">
            <v>0.01547</v>
          </cell>
        </row>
        <row r="103">
          <cell r="A103" t="str">
            <v>3601840ECL</v>
          </cell>
          <cell r="B103" t="str">
            <v>BWCS00231715R18G00</v>
          </cell>
          <cell r="C103" t="str">
            <v>4010010418721000N</v>
          </cell>
          <cell r="D103" t="str">
            <v>WW</v>
          </cell>
          <cell r="E103" t="str">
            <v>LCN0805</v>
          </cell>
          <cell r="F103">
            <v>0.01555</v>
          </cell>
          <cell r="G103">
            <v>0.01547</v>
          </cell>
        </row>
        <row r="104">
          <cell r="A104" t="str">
            <v>36020401CL</v>
          </cell>
          <cell r="B104" t="str">
            <v>BWCS00231715R20G00</v>
          </cell>
          <cell r="C104" t="str">
            <v>4010010420121000N</v>
          </cell>
          <cell r="D104" t="str">
            <v>WW</v>
          </cell>
          <cell r="E104" t="str">
            <v>LCN0805</v>
          </cell>
          <cell r="F104">
            <v>0.01555</v>
          </cell>
          <cell r="G104">
            <v>0.01547</v>
          </cell>
        </row>
        <row r="105">
          <cell r="A105" t="str">
            <v>3603341HCL</v>
          </cell>
          <cell r="B105" t="str">
            <v>BWCS00231715R33G00</v>
          </cell>
          <cell r="C105" t="str">
            <v>4010010433721000N</v>
          </cell>
          <cell r="D105" t="str">
            <v>WW</v>
          </cell>
          <cell r="E105" t="str">
            <v>LCN0805</v>
          </cell>
          <cell r="F105">
            <v>0.01496</v>
          </cell>
          <cell r="G105">
            <v>0.01489</v>
          </cell>
        </row>
        <row r="106">
          <cell r="A106" t="str">
            <v>3604742WCL</v>
          </cell>
          <cell r="B106" t="str">
            <v>BWCS00231715R47G00</v>
          </cell>
          <cell r="C106" t="str">
            <v>4010010447121000N</v>
          </cell>
          <cell r="D106" t="str">
            <v>WW</v>
          </cell>
          <cell r="E106" t="str">
            <v>LCN0805</v>
          </cell>
          <cell r="F106">
            <v>0.01555</v>
          </cell>
          <cell r="G106">
            <v>0.01547</v>
          </cell>
        </row>
        <row r="107">
          <cell r="A107" t="str">
            <v>36047560CL</v>
          </cell>
          <cell r="B107" t="str">
            <v>BWCS002928214R7G00</v>
          </cell>
          <cell r="C107" t="str">
            <v>4010010547221000N</v>
          </cell>
          <cell r="D107" t="str">
            <v>WW</v>
          </cell>
          <cell r="E107" t="str">
            <v>LCN1008</v>
          </cell>
          <cell r="F107">
            <v>0.01786</v>
          </cell>
          <cell r="G107">
            <v>0.01777</v>
          </cell>
        </row>
        <row r="108">
          <cell r="A108" t="str">
            <v>36700060CL</v>
          </cell>
          <cell r="B108" t="str">
            <v>BWCU00201212121M02</v>
          </cell>
          <cell r="C108" t="str">
            <v>40300101121711909N</v>
          </cell>
          <cell r="D108" t="str">
            <v>WW</v>
          </cell>
          <cell r="E108" t="str">
            <v>CMM</v>
          </cell>
          <cell r="F108">
            <v>0.01414</v>
          </cell>
          <cell r="G108">
            <v>0.01393</v>
          </cell>
        </row>
        <row r="109">
          <cell r="A109" t="str">
            <v>3670003ZCL</v>
          </cell>
          <cell r="B109" t="str">
            <v>BWCU00252113801Y00</v>
          </cell>
          <cell r="C109" t="str">
            <v>40300108801610109N</v>
          </cell>
          <cell r="D109" t="str">
            <v>WW</v>
          </cell>
          <cell r="E109" t="str">
            <v>CMM</v>
          </cell>
          <cell r="F109">
            <v>0.11047</v>
          </cell>
          <cell r="G109">
            <v>0.10771</v>
          </cell>
        </row>
        <row r="110">
          <cell r="A110" t="str">
            <v>36030304CL</v>
          </cell>
          <cell r="B110" t="str">
            <v>BWLS00100606R30J00</v>
          </cell>
          <cell r="C110" t="str">
            <v>40600105301310009N</v>
          </cell>
          <cell r="D110" t="str">
            <v>WW</v>
          </cell>
          <cell r="E110" t="e">
            <v>#N/A</v>
          </cell>
          <cell r="F110">
            <v>0.01485</v>
          </cell>
          <cell r="G110">
            <v>0.01478</v>
          </cell>
        </row>
        <row r="111">
          <cell r="A111" t="str">
            <v>36012607CL</v>
          </cell>
          <cell r="B111" t="str">
            <v>BWLT002418101R2K00</v>
          </cell>
          <cell r="C111" t="str">
            <v>42300101122410009N</v>
          </cell>
          <cell r="D111" t="str">
            <v>WW</v>
          </cell>
          <cell r="E111" t="e">
            <v>#N/A</v>
          </cell>
          <cell r="F111">
            <v>0.03345</v>
          </cell>
          <cell r="G111">
            <v>0.03278</v>
          </cell>
        </row>
        <row r="112">
          <cell r="A112" t="str">
            <v>36700067CL</v>
          </cell>
          <cell r="B112" t="str">
            <v>CMM21T-900M-N</v>
          </cell>
          <cell r="C112" t="str">
            <v>40300101900712709</v>
          </cell>
          <cell r="D112" t="str">
            <v>WW</v>
          </cell>
          <cell r="E112" t="str">
            <v>CMM</v>
          </cell>
          <cell r="F112">
            <v>0.01287</v>
          </cell>
          <cell r="G112">
            <v>0.01274</v>
          </cell>
        </row>
        <row r="113">
          <cell r="A113" t="str">
            <v>3601031PCL</v>
          </cell>
          <cell r="B113" t="str">
            <v>CS0603-10NJ-S</v>
          </cell>
          <cell r="C113" t="str">
            <v>4010010210031020</v>
          </cell>
          <cell r="D113" t="str">
            <v>WW</v>
          </cell>
          <cell r="E113" t="str">
            <v>LCN0603</v>
          </cell>
          <cell r="F113">
            <v>0.0139</v>
          </cell>
          <cell r="G113">
            <v>0.01383</v>
          </cell>
        </row>
        <row r="114">
          <cell r="A114" t="str">
            <v>3603322DCL</v>
          </cell>
          <cell r="B114" t="str">
            <v>CS0603-3N3J-S</v>
          </cell>
          <cell r="C114" t="str">
            <v>4010010233631010</v>
          </cell>
          <cell r="D114" t="str">
            <v>WW</v>
          </cell>
          <cell r="E114" t="str">
            <v>LCN0603</v>
          </cell>
          <cell r="F114">
            <v>0.0138</v>
          </cell>
          <cell r="G114">
            <v>0.01373</v>
          </cell>
        </row>
        <row r="115">
          <cell r="A115" t="str">
            <v>36082305CL</v>
          </cell>
          <cell r="B115" t="str">
            <v>CS0805-82NJ-S</v>
          </cell>
          <cell r="C115" t="str">
            <v>4010010482031000</v>
          </cell>
          <cell r="D115" t="str">
            <v>WW</v>
          </cell>
          <cell r="E115" t="str">
            <v>LCN0805</v>
          </cell>
          <cell r="F115">
            <v>0.01515</v>
          </cell>
          <cell r="G115">
            <v>0.01507</v>
          </cell>
        </row>
        <row r="116">
          <cell r="A116" t="str">
            <v>36010406CL</v>
          </cell>
          <cell r="B116" t="str">
            <v>CS0805-R10J-S</v>
          </cell>
          <cell r="C116" t="str">
            <v>4010010410131000</v>
          </cell>
          <cell r="D116" t="str">
            <v>WW</v>
          </cell>
          <cell r="E116" t="str">
            <v>LCN0805</v>
          </cell>
          <cell r="F116">
            <v>0.01555</v>
          </cell>
          <cell r="G116">
            <v>0.01547</v>
          </cell>
        </row>
        <row r="117">
          <cell r="A117" t="str">
            <v>36012401CL</v>
          </cell>
          <cell r="B117" t="str">
            <v>CS0805-R12J-S</v>
          </cell>
          <cell r="C117" t="str">
            <v>4010010412131000</v>
          </cell>
          <cell r="D117" t="str">
            <v>WW</v>
          </cell>
          <cell r="E117" t="str">
            <v>LCN0805</v>
          </cell>
          <cell r="F117">
            <v>0.01515</v>
          </cell>
          <cell r="G117">
            <v>0.01507</v>
          </cell>
        </row>
        <row r="118">
          <cell r="A118" t="str">
            <v>36015404</v>
          </cell>
          <cell r="B118" t="str">
            <v>CS0805-R15G-S</v>
          </cell>
          <cell r="C118" t="str">
            <v>4010010415121000</v>
          </cell>
          <cell r="D118" t="str">
            <v>WW</v>
          </cell>
          <cell r="E118" t="str">
            <v>LCN0805</v>
          </cell>
          <cell r="F118">
            <v>0.01525</v>
          </cell>
          <cell r="G118">
            <v>0.01517</v>
          </cell>
        </row>
        <row r="119">
          <cell r="A119" t="str">
            <v>3604740ECL</v>
          </cell>
          <cell r="B119" t="str">
            <v>CS0805-R47J-S</v>
          </cell>
          <cell r="C119" t="str">
            <v>4010010447731000</v>
          </cell>
          <cell r="D119" t="str">
            <v>WW</v>
          </cell>
          <cell r="E119" t="str">
            <v>LCN0805</v>
          </cell>
          <cell r="F119">
            <v>0.01525</v>
          </cell>
          <cell r="G119">
            <v>0.01517</v>
          </cell>
        </row>
        <row r="120">
          <cell r="A120" t="str">
            <v>36068405CL</v>
          </cell>
          <cell r="B120" t="str">
            <v>CS0805-R68J-S</v>
          </cell>
          <cell r="C120" t="str">
            <v>4010010468131000</v>
          </cell>
          <cell r="D120" t="str">
            <v>WW</v>
          </cell>
          <cell r="E120" t="str">
            <v>LCN0805</v>
          </cell>
          <cell r="F120">
            <v>0.01525</v>
          </cell>
          <cell r="G120">
            <v>0.01517</v>
          </cell>
        </row>
        <row r="121">
          <cell r="A121" t="str">
            <v>36012508CL</v>
          </cell>
          <cell r="B121" t="str">
            <v>LS0805-1R2J-N</v>
          </cell>
          <cell r="C121" t="str">
            <v>40600103122310009</v>
          </cell>
          <cell r="D121" t="str">
            <v>WW</v>
          </cell>
          <cell r="E121" t="str">
            <v>LCN0805</v>
          </cell>
          <cell r="F121">
            <v>0.02165</v>
          </cell>
          <cell r="G121">
            <v>0.02133</v>
          </cell>
        </row>
        <row r="122">
          <cell r="A122" t="str">
            <v>36015702CL</v>
          </cell>
          <cell r="B122" t="str">
            <v>LVC505040-151M-N</v>
          </cell>
          <cell r="C122" t="str">
            <v>46200107151710309</v>
          </cell>
          <cell r="D122" t="str">
            <v>WW</v>
          </cell>
          <cell r="E122" t="str">
            <v>LVX</v>
          </cell>
          <cell r="F122">
            <v>0.02765</v>
          </cell>
          <cell r="G122">
            <v>0.02724</v>
          </cell>
        </row>
        <row r="123">
          <cell r="A123" t="str">
            <v>3601066ECL</v>
          </cell>
          <cell r="B123" t="str">
            <v>LVC606028-100M-N</v>
          </cell>
          <cell r="C123" t="str">
            <v>46200106100710009</v>
          </cell>
          <cell r="D123" t="str">
            <v>WW</v>
          </cell>
          <cell r="E123" t="str">
            <v>LVX</v>
          </cell>
          <cell r="F123">
            <v>0.0378</v>
          </cell>
          <cell r="G123">
            <v>0.03742</v>
          </cell>
        </row>
        <row r="124">
          <cell r="A124" t="str">
            <v>3601550QCL</v>
          </cell>
          <cell r="B124" t="str">
            <v>LVF252A12-1R5M-N</v>
          </cell>
          <cell r="C124" t="str">
            <v>45700101156711009</v>
          </cell>
          <cell r="D124" t="str">
            <v>WW</v>
          </cell>
          <cell r="E124" t="str">
            <v>LVX</v>
          </cell>
          <cell r="F124">
            <v>0.02215</v>
          </cell>
          <cell r="G124">
            <v>0.02193</v>
          </cell>
        </row>
        <row r="125">
          <cell r="A125" t="str">
            <v>3604755ACL</v>
          </cell>
          <cell r="B125" t="str">
            <v>LVF505020-4R7M-N</v>
          </cell>
          <cell r="C125" t="str">
            <v>45700113476710009</v>
          </cell>
          <cell r="D125" t="str">
            <v>WW</v>
          </cell>
          <cell r="E125" t="str">
            <v>LVX</v>
          </cell>
          <cell r="F125">
            <v>0.02419</v>
          </cell>
          <cell r="G125">
            <v>0.024</v>
          </cell>
        </row>
        <row r="126">
          <cell r="A126" t="str">
            <v>36010529CL</v>
          </cell>
          <cell r="B126" t="str">
            <v>LVS201610-1R0T-N</v>
          </cell>
          <cell r="C126" t="str">
            <v>44000102106810009</v>
          </cell>
          <cell r="D126" t="str">
            <v>WW</v>
          </cell>
          <cell r="E126" t="str">
            <v>LVX</v>
          </cell>
          <cell r="F126">
            <v>0.01752</v>
          </cell>
          <cell r="G126">
            <v>0.01743</v>
          </cell>
        </row>
        <row r="127">
          <cell r="A127" t="str">
            <v>3601550RCL</v>
          </cell>
          <cell r="B127" t="str">
            <v>LVS303015-1R5M-N</v>
          </cell>
          <cell r="C127" t="str">
            <v>44000110156710609</v>
          </cell>
          <cell r="D127" t="str">
            <v>WW</v>
          </cell>
          <cell r="E127" t="str">
            <v>LVX</v>
          </cell>
          <cell r="F127">
            <v>0.01964</v>
          </cell>
          <cell r="G127">
            <v>0.01944</v>
          </cell>
        </row>
        <row r="128">
          <cell r="A128" t="str">
            <v>3602252ZCL</v>
          </cell>
          <cell r="B128" t="str">
            <v>LVS404018-2R2M-N</v>
          </cell>
          <cell r="C128" t="str">
            <v>44000106226711419</v>
          </cell>
          <cell r="D128" t="str">
            <v>WW</v>
          </cell>
          <cell r="E128" t="str">
            <v>LVX</v>
          </cell>
          <cell r="F128">
            <v>0.01743</v>
          </cell>
          <cell r="G128">
            <v>0.01734</v>
          </cell>
        </row>
        <row r="129">
          <cell r="A129" t="str">
            <v>36033535CL</v>
          </cell>
          <cell r="B129" t="str">
            <v>LVS404026-3R3M-N</v>
          </cell>
          <cell r="C129" t="str">
            <v>44000124336710919</v>
          </cell>
          <cell r="D129" t="str">
            <v>WW</v>
          </cell>
          <cell r="E129" t="str">
            <v>LVX</v>
          </cell>
          <cell r="F129">
            <v>0.02079</v>
          </cell>
          <cell r="G129">
            <v>0.02069</v>
          </cell>
        </row>
        <row r="130">
          <cell r="A130" t="str">
            <v>3603361DCL</v>
          </cell>
          <cell r="B130" t="str">
            <v>LVS505020-330M-N</v>
          </cell>
          <cell r="C130" t="str">
            <v>44000113330710009</v>
          </cell>
          <cell r="D130" t="str">
            <v>WW</v>
          </cell>
          <cell r="E130" t="str">
            <v>LVX</v>
          </cell>
          <cell r="F130">
            <v>0.02424</v>
          </cell>
          <cell r="G130">
            <v>0.024</v>
          </cell>
        </row>
        <row r="131">
          <cell r="A131" t="str">
            <v>3603352TCL</v>
          </cell>
          <cell r="B131" t="str">
            <v>LVS505020-3R3M-N</v>
          </cell>
          <cell r="C131" t="str">
            <v>44000113336710009</v>
          </cell>
          <cell r="D131" t="str">
            <v>WW</v>
          </cell>
          <cell r="E131" t="str">
            <v>LVX</v>
          </cell>
          <cell r="F131">
            <v>0.02424</v>
          </cell>
          <cell r="G131">
            <v>0.024</v>
          </cell>
        </row>
        <row r="132">
          <cell r="A132" t="str">
            <v>3601550NCL</v>
          </cell>
          <cell r="B132" t="str">
            <v>LVS606020-1R5M-N</v>
          </cell>
          <cell r="C132" t="str">
            <v>44000115156710119</v>
          </cell>
          <cell r="D132" t="str">
            <v>WW</v>
          </cell>
          <cell r="E132" t="str">
            <v>LVX</v>
          </cell>
          <cell r="F132">
            <v>0.02797</v>
          </cell>
          <cell r="G132">
            <v>0.02755</v>
          </cell>
        </row>
        <row r="133">
          <cell r="A133" t="str">
            <v>36010668CL</v>
          </cell>
          <cell r="B133" t="str">
            <v>LVS606045-100M-N</v>
          </cell>
          <cell r="C133" t="str">
            <v>44000107100712119</v>
          </cell>
          <cell r="D133" t="str">
            <v>WW</v>
          </cell>
          <cell r="E133" t="str">
            <v>LVX</v>
          </cell>
          <cell r="F133">
            <v>0.02734</v>
          </cell>
          <cell r="G133">
            <v>0.02693</v>
          </cell>
        </row>
        <row r="134">
          <cell r="A134" t="str">
            <v>3604755LCL</v>
          </cell>
          <cell r="B134" t="str">
            <v>MRSC201B10-4R7M-N</v>
          </cell>
          <cell r="C134" t="str">
            <v>47000103476710009</v>
          </cell>
          <cell r="D134" t="str">
            <v>WW</v>
          </cell>
          <cell r="E134" t="str">
            <v>MRSC</v>
          </cell>
          <cell r="F134">
            <v>0.02955</v>
          </cell>
          <cell r="G134">
            <v>0.02911</v>
          </cell>
        </row>
        <row r="135">
          <cell r="A135" t="str">
            <v>3604755PCL</v>
          </cell>
          <cell r="B135" t="str">
            <v>MRSC252A12-4R7M-N</v>
          </cell>
          <cell r="C135" t="str">
            <v>47000102476710009</v>
          </cell>
          <cell r="D135" t="str">
            <v>WW</v>
          </cell>
          <cell r="E135" t="str">
            <v>MRSC</v>
          </cell>
          <cell r="F135">
            <v>0.0289</v>
          </cell>
          <cell r="G135">
            <v>0.02847</v>
          </cell>
        </row>
        <row r="136">
          <cell r="A136" t="str">
            <v>36047518</v>
          </cell>
          <cell r="B136" t="str">
            <v>NLC322522T-4R7J-N</v>
          </cell>
          <cell r="C136" t="str">
            <v>40802102476310009</v>
          </cell>
          <cell r="D136" t="str">
            <v>WW</v>
          </cell>
          <cell r="E136" t="str">
            <v>NLC</v>
          </cell>
          <cell r="F136">
            <v>0.02372</v>
          </cell>
          <cell r="G136">
            <v>0.02348</v>
          </cell>
        </row>
        <row r="137">
          <cell r="A137" t="str">
            <v>36022606</v>
          </cell>
          <cell r="B137" t="str">
            <v>SCD0503T-220M-N</v>
          </cell>
          <cell r="C137" t="str">
            <v>40900104220710019</v>
          </cell>
          <cell r="D137" t="str">
            <v>WW</v>
          </cell>
          <cell r="E137" t="str">
            <v>PI</v>
          </cell>
          <cell r="F137">
            <v>0.03246</v>
          </cell>
          <cell r="G137">
            <v>0.03181</v>
          </cell>
        </row>
        <row r="138">
          <cell r="A138" t="str">
            <v>36010648CL</v>
          </cell>
          <cell r="B138" t="str">
            <v>SCD0504T-100M-N</v>
          </cell>
          <cell r="C138" t="str">
            <v>40900105100710019</v>
          </cell>
          <cell r="D138" t="str">
            <v>WW</v>
          </cell>
          <cell r="E138" t="str">
            <v>PI</v>
          </cell>
          <cell r="F138">
            <v>0.03294</v>
          </cell>
          <cell r="G138">
            <v>0.03228</v>
          </cell>
        </row>
        <row r="139">
          <cell r="A139" t="str">
            <v>36033512</v>
          </cell>
          <cell r="B139" t="str">
            <v>SCDS2D18HP-3R3M-N</v>
          </cell>
          <cell r="C139" t="str">
            <v>41100124336710019</v>
          </cell>
          <cell r="D139" t="str">
            <v>WW</v>
          </cell>
          <cell r="E139" t="str">
            <v>PI</v>
          </cell>
          <cell r="F139">
            <v>0.06944</v>
          </cell>
          <cell r="G139">
            <v>0.06909</v>
          </cell>
        </row>
        <row r="140">
          <cell r="A140" t="str">
            <v>36047539CL</v>
          </cell>
          <cell r="B140" t="str">
            <v>SCDS2D18HP-4R7M-N</v>
          </cell>
          <cell r="C140" t="str">
            <v>41100124476710009</v>
          </cell>
          <cell r="D140" t="str">
            <v>WW</v>
          </cell>
          <cell r="E140" t="str">
            <v>PI</v>
          </cell>
          <cell r="F140">
            <v>0.06874</v>
          </cell>
          <cell r="G140">
            <v>0.0684</v>
          </cell>
        </row>
        <row r="141">
          <cell r="A141" t="str">
            <v>36022621CL</v>
          </cell>
          <cell r="B141" t="str">
            <v>SCDS2D18LD-220T-N</v>
          </cell>
          <cell r="C141" t="str">
            <v>41100123220810019</v>
          </cell>
          <cell r="D141" t="str">
            <v>WW</v>
          </cell>
          <cell r="E141" t="str">
            <v>PI</v>
          </cell>
          <cell r="F141">
            <v>0.07106</v>
          </cell>
          <cell r="G141">
            <v>0.07035</v>
          </cell>
        </row>
        <row r="142">
          <cell r="A142" t="str">
            <v>36022708CL</v>
          </cell>
          <cell r="B142" t="str">
            <v>SSL0402T-221M-N</v>
          </cell>
          <cell r="C142" t="str">
            <v>41800104221710009</v>
          </cell>
          <cell r="D142" t="str">
            <v>WW</v>
          </cell>
          <cell r="E142" t="str">
            <v>PI</v>
          </cell>
          <cell r="F142">
            <v>1.1</v>
          </cell>
          <cell r="G142">
            <v>1.0725</v>
          </cell>
        </row>
        <row r="143">
          <cell r="A143" t="str">
            <v>363003BWBH</v>
          </cell>
          <cell r="B143" t="str">
            <v>24SH10410 HF</v>
          </cell>
          <cell r="C143">
            <v>1022400315</v>
          </cell>
          <cell r="D143" t="str">
            <v>Wired Comm（BH)</v>
          </cell>
          <cell r="E143" t="e">
            <v>#N/A</v>
          </cell>
          <cell r="F143">
            <v>0.26539</v>
          </cell>
          <cell r="G143">
            <v>0.252</v>
          </cell>
        </row>
        <row r="144">
          <cell r="A144" t="str">
            <v>363003C0BH</v>
          </cell>
          <cell r="B144" t="str">
            <v>GS50AB00K</v>
          </cell>
          <cell r="C144">
            <v>1025000052</v>
          </cell>
          <cell r="D144" t="str">
            <v>Wired Comm（BH)</v>
          </cell>
          <cell r="E144" t="e">
            <v>#N/A</v>
          </cell>
          <cell r="F144">
            <v>0.582</v>
          </cell>
          <cell r="G144">
            <v>0.576</v>
          </cell>
        </row>
        <row r="145">
          <cell r="A145" t="str">
            <v>36300390BH</v>
          </cell>
          <cell r="B145" t="str">
            <v>GS6014M LF</v>
          </cell>
          <cell r="C145" t="str">
            <v>1024800079</v>
          </cell>
          <cell r="D145" t="str">
            <v>Wired Comm（BH)</v>
          </cell>
          <cell r="E145" t="e">
            <v>#N/A</v>
          </cell>
          <cell r="F145">
            <v>0.25581</v>
          </cell>
          <cell r="G145">
            <v>0.243</v>
          </cell>
        </row>
        <row r="146">
          <cell r="A146" t="str">
            <v>3630034ABH</v>
          </cell>
          <cell r="B146" t="str">
            <v>GST5009 LF</v>
          </cell>
          <cell r="C146" t="str">
            <v>1022400345</v>
          </cell>
          <cell r="D146" t="str">
            <v>Wired Comm（BH)</v>
          </cell>
          <cell r="E146" t="e">
            <v>#N/A</v>
          </cell>
          <cell r="F146">
            <v>0.11407</v>
          </cell>
          <cell r="G146">
            <v>0.113</v>
          </cell>
        </row>
        <row r="147">
          <cell r="A147" t="str">
            <v>363003AKBH</v>
          </cell>
          <cell r="B147" t="str">
            <v>GST5009B LF</v>
          </cell>
          <cell r="C147" t="str">
            <v>1022400354</v>
          </cell>
          <cell r="D147" t="str">
            <v>Wired Comm（BH)</v>
          </cell>
          <cell r="E147" t="e">
            <v>#N/A</v>
          </cell>
        </row>
        <row r="147">
          <cell r="G147">
            <v>0.137</v>
          </cell>
        </row>
        <row r="148">
          <cell r="A148" t="str">
            <v>3630033NBH</v>
          </cell>
          <cell r="B148" t="str">
            <v>LG1P109N LF</v>
          </cell>
          <cell r="C148" t="str">
            <v>1031800004</v>
          </cell>
          <cell r="D148" t="str">
            <v>Wired Comm（BH)</v>
          </cell>
          <cell r="E148" t="e">
            <v>#N/A</v>
          </cell>
          <cell r="F148">
            <v>0.13231</v>
          </cell>
          <cell r="G148">
            <v>0.132</v>
          </cell>
        </row>
        <row r="149">
          <cell r="A149" t="str">
            <v>3630037FBH</v>
          </cell>
          <cell r="B149" t="str">
            <v>QVP2014,2.5G</v>
          </cell>
          <cell r="C149" t="str">
            <v>1022400419</v>
          </cell>
          <cell r="D149" t="str">
            <v>Wired Comm（BH)</v>
          </cell>
          <cell r="E149" t="e">
            <v>#N/A</v>
          </cell>
          <cell r="F149">
            <v>0.24503</v>
          </cell>
          <cell r="G149">
            <v>0.245</v>
          </cell>
        </row>
        <row r="150">
          <cell r="A150" t="str">
            <v>36300367BH</v>
          </cell>
          <cell r="B150" t="str">
            <v>VP6014RM HF</v>
          </cell>
          <cell r="C150">
            <v>1022400289</v>
          </cell>
          <cell r="D150" t="str">
            <v>Wired Comm（BH)</v>
          </cell>
          <cell r="E150" t="e">
            <v>#N/A</v>
          </cell>
          <cell r="F150">
            <v>0.12965</v>
          </cell>
          <cell r="G150">
            <v>0.128</v>
          </cell>
        </row>
        <row r="151">
          <cell r="A151" t="str">
            <v>36010321CL</v>
          </cell>
        </row>
        <row r="151">
          <cell r="G151">
            <v>0.00084</v>
          </cell>
        </row>
        <row r="152">
          <cell r="A152" t="str">
            <v>3601052LCL</v>
          </cell>
        </row>
        <row r="152">
          <cell r="G152">
            <v>0.01734</v>
          </cell>
        </row>
        <row r="153">
          <cell r="A153" t="str">
            <v>3601561SCL</v>
          </cell>
        </row>
        <row r="153">
          <cell r="G153">
            <v>0.041</v>
          </cell>
        </row>
        <row r="154">
          <cell r="A154" t="str">
            <v>3602231BCL</v>
          </cell>
        </row>
        <row r="154">
          <cell r="G154">
            <v>0.00084</v>
          </cell>
        </row>
        <row r="155">
          <cell r="A155" t="str">
            <v>3602252NCL</v>
          </cell>
        </row>
        <row r="155">
          <cell r="G155">
            <v>0.0197</v>
          </cell>
        </row>
        <row r="156">
          <cell r="A156" t="str">
            <v>3603352WCL</v>
          </cell>
        </row>
        <row r="156">
          <cell r="G156">
            <v>0.023</v>
          </cell>
        </row>
        <row r="157">
          <cell r="A157" t="str">
            <v>3620006QCL</v>
          </cell>
        </row>
        <row r="157">
          <cell r="G157">
            <v>0.00246</v>
          </cell>
        </row>
        <row r="158">
          <cell r="A158" t="str">
            <v>3620007XCL</v>
          </cell>
        </row>
        <row r="158">
          <cell r="G158">
            <v>0.00096</v>
          </cell>
        </row>
        <row r="159">
          <cell r="A159" t="str">
            <v>362000AGCL</v>
          </cell>
        </row>
        <row r="159">
          <cell r="G159">
            <v>0.0052</v>
          </cell>
        </row>
        <row r="160">
          <cell r="A160" t="str">
            <v>36200108CL</v>
          </cell>
        </row>
        <row r="160">
          <cell r="G160">
            <v>0.0045</v>
          </cell>
        </row>
        <row r="161">
          <cell r="A161" t="str">
            <v>36200210</v>
          </cell>
        </row>
        <row r="161">
          <cell r="G161">
            <v>0.00125</v>
          </cell>
        </row>
        <row r="162">
          <cell r="A162" t="str">
            <v>36200214CL</v>
          </cell>
        </row>
        <row r="162">
          <cell r="G162">
            <v>0.00098</v>
          </cell>
        </row>
        <row r="163">
          <cell r="A163" t="str">
            <v>36200219CL</v>
          </cell>
        </row>
        <row r="163">
          <cell r="G163">
            <v>0.00125</v>
          </cell>
        </row>
        <row r="164">
          <cell r="A164" t="str">
            <v>3620021BCL</v>
          </cell>
        </row>
        <row r="164">
          <cell r="G164">
            <v>0.00125</v>
          </cell>
        </row>
        <row r="165">
          <cell r="A165" t="str">
            <v>362002K0CL</v>
          </cell>
        </row>
        <row r="165">
          <cell r="G165">
            <v>0.00125</v>
          </cell>
        </row>
        <row r="166">
          <cell r="A166" t="str">
            <v>362002R0CL</v>
          </cell>
        </row>
        <row r="166">
          <cell r="G166">
            <v>0.00125</v>
          </cell>
        </row>
        <row r="167">
          <cell r="A167" t="str">
            <v>362003H0CL</v>
          </cell>
        </row>
        <row r="167">
          <cell r="G167">
            <v>0.00096</v>
          </cell>
        </row>
        <row r="168">
          <cell r="A168" t="str">
            <v>36200600CL</v>
          </cell>
        </row>
        <row r="168">
          <cell r="G168">
            <v>0.00246</v>
          </cell>
        </row>
        <row r="169">
          <cell r="A169" t="str">
            <v>3620006SCL</v>
          </cell>
        </row>
        <row r="169">
          <cell r="G169">
            <v>0.00125</v>
          </cell>
        </row>
        <row r="170">
          <cell r="A170" t="str">
            <v>3620007ACL</v>
          </cell>
        </row>
        <row r="170">
          <cell r="G170">
            <v>0.00096</v>
          </cell>
        </row>
        <row r="171">
          <cell r="A171" t="str">
            <v>36200222CL</v>
          </cell>
        </row>
        <row r="171">
          <cell r="G171">
            <v>0.00125</v>
          </cell>
        </row>
        <row r="172">
          <cell r="A172" t="str">
            <v>36200260CL</v>
          </cell>
        </row>
        <row r="172">
          <cell r="G172">
            <v>0.0024</v>
          </cell>
        </row>
        <row r="173">
          <cell r="A173" t="str">
            <v>3602252KCL</v>
          </cell>
        </row>
        <row r="173">
          <cell r="G173">
            <v>0.01378</v>
          </cell>
        </row>
        <row r="174">
          <cell r="A174" t="str">
            <v>3602231MCL</v>
          </cell>
        </row>
        <row r="174">
          <cell r="G174">
            <v>0.013</v>
          </cell>
        </row>
        <row r="175">
          <cell r="A175" t="str">
            <v>362005P0CL</v>
          </cell>
        </row>
        <row r="175">
          <cell r="G175">
            <v>0.00124</v>
          </cell>
        </row>
        <row r="176">
          <cell r="A176" t="str">
            <v>362005X0CL</v>
          </cell>
        </row>
        <row r="176">
          <cell r="G176">
            <v>0.00096</v>
          </cell>
        </row>
        <row r="177">
          <cell r="A177" t="str">
            <v>36010527CL</v>
          </cell>
        </row>
        <row r="177">
          <cell r="G177">
            <v>0.01863</v>
          </cell>
        </row>
        <row r="178">
          <cell r="A178" t="str">
            <v>36015302CL</v>
          </cell>
        </row>
        <row r="178">
          <cell r="G178">
            <v>0.01321</v>
          </cell>
        </row>
        <row r="179">
          <cell r="A179" t="str">
            <v>36043206CL</v>
          </cell>
        </row>
        <row r="179">
          <cell r="G179">
            <v>0.00084</v>
          </cell>
        </row>
        <row r="180">
          <cell r="A180" t="str">
            <v>3607520ECL</v>
          </cell>
        </row>
        <row r="180">
          <cell r="G180">
            <v>0.0138</v>
          </cell>
        </row>
        <row r="181">
          <cell r="A181" t="str">
            <v>36087200CL</v>
          </cell>
        </row>
        <row r="181">
          <cell r="G181">
            <v>0.0132</v>
          </cell>
        </row>
        <row r="182">
          <cell r="A182" t="str">
            <v>36200167CL</v>
          </cell>
        </row>
        <row r="182">
          <cell r="G182">
            <v>0.00125</v>
          </cell>
        </row>
        <row r="183">
          <cell r="A183" t="str">
            <v>362005J0CL</v>
          </cell>
        </row>
        <row r="183">
          <cell r="G183">
            <v>0.0019</v>
          </cell>
        </row>
        <row r="184">
          <cell r="A184" t="str">
            <v>3620060HCL</v>
          </cell>
        </row>
        <row r="184">
          <cell r="G184">
            <v>0.00125</v>
          </cell>
        </row>
        <row r="185">
          <cell r="A185" t="str">
            <v>3620006PCL</v>
          </cell>
        </row>
        <row r="185">
          <cell r="G185">
            <v>0.00145</v>
          </cell>
        </row>
        <row r="186">
          <cell r="A186" t="str">
            <v>36047554CL</v>
          </cell>
        </row>
        <row r="186">
          <cell r="G186">
            <v>0.0193</v>
          </cell>
        </row>
        <row r="187">
          <cell r="A187" t="str">
            <v>36200270CL</v>
          </cell>
        </row>
        <row r="187">
          <cell r="G187">
            <v>0.00125</v>
          </cell>
        </row>
        <row r="188">
          <cell r="A188" t="str">
            <v>3670003ACL</v>
          </cell>
        </row>
        <row r="188">
          <cell r="G188">
            <v>0.00965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36"/>
  <sheetViews>
    <sheetView tabSelected="1" workbookViewId="0">
      <selection activeCell="A1" sqref="A1:O1"/>
    </sheetView>
  </sheetViews>
  <sheetFormatPr defaultColWidth="9" defaultRowHeight="22.5"/>
  <cols>
    <col min="1" max="1" width="9" style="91"/>
    <col min="2" max="2" width="12.5666666666667" style="91" customWidth="1"/>
    <col min="3" max="3" width="11.5666666666667" style="91" customWidth="1"/>
    <col min="4" max="4" width="20.425" style="91" customWidth="1"/>
    <col min="5" max="5" width="12" style="91" customWidth="1"/>
    <col min="6" max="6" width="9" style="91"/>
    <col min="7" max="7" width="12" style="91" customWidth="1"/>
    <col min="8" max="8" width="9" style="91"/>
    <col min="9" max="9" width="13.7083333333333" style="91" customWidth="1"/>
    <col min="10" max="12" width="9" style="91"/>
    <col min="13" max="13" width="12.2833333333333" style="91" customWidth="1"/>
    <col min="14" max="14" width="25" style="91" customWidth="1"/>
    <col min="15" max="15" width="11.2833333333333" style="91" customWidth="1"/>
    <col min="16" max="16384" width="9" style="91"/>
  </cols>
  <sheetData>
    <row r="1" ht="23.25" spans="1:1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152"/>
    </row>
    <row r="2" ht="13.5" spans="1:15">
      <c r="A2" s="25" t="s">
        <v>1</v>
      </c>
      <c r="B2" s="94"/>
      <c r="C2" s="95"/>
      <c r="D2" s="96"/>
      <c r="E2" s="25" t="s">
        <v>2</v>
      </c>
      <c r="F2" s="97"/>
      <c r="G2" s="97"/>
      <c r="H2" s="95"/>
      <c r="I2" s="95"/>
      <c r="J2" s="153"/>
      <c r="K2" s="153"/>
      <c r="L2" s="153"/>
      <c r="M2" s="153"/>
      <c r="N2" s="153"/>
      <c r="O2" s="154"/>
    </row>
    <row r="3" ht="13.5" spans="1:15">
      <c r="A3" s="98" t="s">
        <v>3</v>
      </c>
      <c r="B3" s="99"/>
      <c r="C3" s="100"/>
      <c r="D3" s="101"/>
      <c r="E3" s="13" t="s">
        <v>4</v>
      </c>
      <c r="F3" s="102"/>
      <c r="G3" s="103"/>
      <c r="H3" s="104"/>
      <c r="I3" s="100"/>
      <c r="J3" s="155"/>
      <c r="K3" s="155"/>
      <c r="L3" s="155"/>
      <c r="M3" s="155"/>
      <c r="N3" s="155"/>
      <c r="O3" s="154"/>
    </row>
    <row r="4" ht="13.5" spans="1:15">
      <c r="A4" s="105" t="s">
        <v>5</v>
      </c>
      <c r="B4" s="106"/>
      <c r="C4" s="106"/>
      <c r="D4" s="107"/>
      <c r="E4" s="17">
        <v>45523</v>
      </c>
      <c r="F4" s="108"/>
      <c r="G4" s="108"/>
      <c r="H4" s="109"/>
      <c r="I4" s="100"/>
      <c r="J4" s="155"/>
      <c r="K4" s="155"/>
      <c r="L4" s="155"/>
      <c r="M4" s="155"/>
      <c r="N4" s="155"/>
      <c r="O4" s="154"/>
    </row>
    <row r="5" ht="13.5" spans="1:15">
      <c r="A5" s="105"/>
      <c r="B5" s="106"/>
      <c r="C5" s="106"/>
      <c r="D5" s="107"/>
      <c r="E5" s="110"/>
      <c r="F5" s="100"/>
      <c r="G5" s="100"/>
      <c r="H5" s="100"/>
      <c r="I5" s="100"/>
      <c r="J5" s="155"/>
      <c r="K5" s="155"/>
      <c r="L5" s="155"/>
      <c r="M5" s="155"/>
      <c r="N5" s="155"/>
      <c r="O5" s="154"/>
    </row>
    <row r="6" ht="13.5" spans="1:15">
      <c r="A6" s="19"/>
      <c r="B6" s="111"/>
      <c r="C6" s="20"/>
      <c r="D6" s="112"/>
      <c r="E6" s="113"/>
      <c r="F6" s="20"/>
      <c r="G6" s="20"/>
      <c r="H6" s="20"/>
      <c r="I6" s="20"/>
      <c r="J6" s="156"/>
      <c r="K6" s="156"/>
      <c r="L6" s="156"/>
      <c r="M6" s="156"/>
      <c r="N6" s="156"/>
      <c r="O6" s="157"/>
    </row>
    <row r="7" ht="13.5" spans="1:15">
      <c r="A7" s="25" t="s">
        <v>6</v>
      </c>
      <c r="B7" s="94"/>
      <c r="C7" s="97"/>
      <c r="D7" s="114"/>
      <c r="E7" s="115" t="s">
        <v>7</v>
      </c>
      <c r="F7" s="95"/>
      <c r="G7" s="95"/>
      <c r="H7" s="95"/>
      <c r="I7" s="95"/>
      <c r="J7" s="158"/>
      <c r="K7" s="159"/>
      <c r="L7" s="159"/>
      <c r="M7" s="159"/>
      <c r="N7" s="159"/>
      <c r="O7" s="160"/>
    </row>
    <row r="8" ht="13.5" spans="1:15">
      <c r="A8" s="29" t="s">
        <v>8</v>
      </c>
      <c r="B8" s="99"/>
      <c r="C8" s="116"/>
      <c r="D8" s="117"/>
      <c r="E8" s="110"/>
      <c r="F8" s="100"/>
      <c r="G8" s="100"/>
      <c r="H8" s="100"/>
      <c r="I8" s="100"/>
      <c r="J8" s="159"/>
      <c r="K8" s="159"/>
      <c r="L8" s="159"/>
      <c r="M8" s="159"/>
      <c r="N8" s="159"/>
      <c r="O8" s="160"/>
    </row>
    <row r="9" ht="13.5" spans="1:15">
      <c r="A9" s="118" t="s">
        <v>9</v>
      </c>
      <c r="B9" s="119"/>
      <c r="C9" s="119"/>
      <c r="D9" s="120"/>
      <c r="E9" s="121"/>
      <c r="F9" s="122"/>
      <c r="G9" s="122"/>
      <c r="H9" s="122"/>
      <c r="I9" s="122"/>
      <c r="J9" s="161"/>
      <c r="K9" s="161"/>
      <c r="L9" s="161"/>
      <c r="M9" s="161"/>
      <c r="N9" s="161"/>
      <c r="O9" s="162"/>
    </row>
    <row r="10" ht="13.5" spans="1:15">
      <c r="A10" s="118"/>
      <c r="B10" s="119"/>
      <c r="C10" s="119"/>
      <c r="D10" s="120"/>
      <c r="E10" s="110"/>
      <c r="F10" s="100"/>
      <c r="G10" s="100"/>
      <c r="H10" s="100"/>
      <c r="I10" s="100"/>
      <c r="J10" s="161"/>
      <c r="K10" s="161"/>
      <c r="L10" s="161"/>
      <c r="M10" s="161"/>
      <c r="N10" s="161"/>
      <c r="O10" s="162"/>
    </row>
    <row r="11" ht="13.5" spans="1:15">
      <c r="A11" s="25" t="s">
        <v>10</v>
      </c>
      <c r="B11" s="95"/>
      <c r="C11" s="95"/>
      <c r="D11" s="123"/>
      <c r="E11" s="25" t="s">
        <v>11</v>
      </c>
      <c r="F11" s="97"/>
      <c r="G11" s="97"/>
      <c r="H11" s="97"/>
      <c r="I11" s="97"/>
      <c r="J11" s="95"/>
      <c r="K11" s="95"/>
      <c r="L11" s="95"/>
      <c r="M11" s="95"/>
      <c r="N11" s="95"/>
      <c r="O11" s="123"/>
    </row>
    <row r="12" ht="13.5" spans="1:15">
      <c r="A12" s="29" t="s">
        <v>12</v>
      </c>
      <c r="B12" s="124"/>
      <c r="C12" s="124"/>
      <c r="D12" s="101"/>
      <c r="E12" s="13" t="s">
        <v>13</v>
      </c>
      <c r="F12" s="125"/>
      <c r="G12" s="125"/>
      <c r="H12" s="125"/>
      <c r="I12" s="125"/>
      <c r="J12" s="163"/>
      <c r="K12" s="163"/>
      <c r="L12" s="163"/>
      <c r="M12" s="163"/>
      <c r="N12" s="163"/>
      <c r="O12" s="154"/>
    </row>
    <row r="13" ht="13.5" spans="1:15">
      <c r="A13" s="23"/>
      <c r="B13" s="24"/>
      <c r="C13" s="24"/>
      <c r="D13" s="112"/>
      <c r="E13" s="113"/>
      <c r="F13" s="20"/>
      <c r="G13" s="20"/>
      <c r="H13" s="20"/>
      <c r="I13" s="164"/>
      <c r="J13" s="163"/>
      <c r="K13" s="163"/>
      <c r="L13" s="163"/>
      <c r="M13" s="163"/>
      <c r="N13" s="163"/>
      <c r="O13" s="157"/>
    </row>
    <row r="14" ht="13.5" spans="1:15">
      <c r="A14" s="115" t="s">
        <v>14</v>
      </c>
      <c r="B14" s="95"/>
      <c r="C14" s="115" t="s">
        <v>15</v>
      </c>
      <c r="D14" s="123"/>
      <c r="E14" s="126" t="s">
        <v>16</v>
      </c>
      <c r="F14" s="11"/>
      <c r="G14" s="11"/>
      <c r="H14" s="11"/>
      <c r="I14" s="33"/>
      <c r="J14" s="153"/>
      <c r="K14" s="153"/>
      <c r="L14" s="153"/>
      <c r="M14" s="153"/>
      <c r="N14" s="153"/>
      <c r="O14" s="154"/>
    </row>
    <row r="15" ht="13.5" spans="1:15">
      <c r="A15" s="127"/>
      <c r="B15" s="128"/>
      <c r="C15" s="127"/>
      <c r="D15" s="128"/>
      <c r="E15" s="129"/>
      <c r="F15" s="100"/>
      <c r="G15" s="100"/>
      <c r="H15" s="100"/>
      <c r="I15" s="33"/>
      <c r="J15" s="163"/>
      <c r="K15" s="163"/>
      <c r="L15" s="163"/>
      <c r="M15" s="163"/>
      <c r="N15" s="163"/>
      <c r="O15" s="154"/>
    </row>
    <row r="16" ht="13.5" spans="1:15">
      <c r="A16" s="130"/>
      <c r="B16" s="131"/>
      <c r="C16" s="132"/>
      <c r="D16" s="133"/>
      <c r="E16" s="129"/>
      <c r="F16" s="134"/>
      <c r="G16" s="100"/>
      <c r="H16" s="100"/>
      <c r="I16" s="33"/>
      <c r="J16" s="163"/>
      <c r="K16" s="163"/>
      <c r="L16" s="163"/>
      <c r="M16" s="163"/>
      <c r="N16" s="163"/>
      <c r="O16" s="154"/>
    </row>
    <row r="17" ht="13.5" spans="1:15">
      <c r="A17" s="115" t="s">
        <v>17</v>
      </c>
      <c r="B17" s="123"/>
      <c r="C17" s="135" t="s">
        <v>18</v>
      </c>
      <c r="D17" s="55"/>
      <c r="E17" s="129"/>
      <c r="F17" s="134"/>
      <c r="G17" s="33"/>
      <c r="H17" s="33"/>
      <c r="I17" s="33"/>
      <c r="J17" s="163"/>
      <c r="K17" s="163"/>
      <c r="L17" s="163"/>
      <c r="M17" s="163"/>
      <c r="N17" s="163"/>
      <c r="O17" s="154"/>
    </row>
    <row r="18" ht="13.5" spans="1:15">
      <c r="A18" s="136"/>
      <c r="B18" s="137"/>
      <c r="C18" s="138"/>
      <c r="D18" s="139"/>
      <c r="E18" s="140" t="s">
        <v>19</v>
      </c>
      <c r="F18" s="141" t="s">
        <v>20</v>
      </c>
      <c r="G18" s="20"/>
      <c r="H18" s="20"/>
      <c r="I18" s="20"/>
      <c r="J18" s="165"/>
      <c r="K18" s="163"/>
      <c r="L18" s="163"/>
      <c r="M18" s="163"/>
      <c r="N18" s="163"/>
      <c r="O18" s="154"/>
    </row>
    <row r="19" ht="24" spans="1:15">
      <c r="A19" s="142" t="s">
        <v>21</v>
      </c>
      <c r="B19" s="143" t="s">
        <v>22</v>
      </c>
      <c r="C19" s="143" t="s">
        <v>23</v>
      </c>
      <c r="D19" s="144" t="s">
        <v>24</v>
      </c>
      <c r="E19" s="143" t="s">
        <v>25</v>
      </c>
      <c r="F19" s="143" t="s">
        <v>26</v>
      </c>
      <c r="G19" s="143" t="s">
        <v>27</v>
      </c>
      <c r="H19" s="143" t="s">
        <v>28</v>
      </c>
      <c r="I19" s="143" t="s">
        <v>29</v>
      </c>
      <c r="J19" s="166" t="s">
        <v>30</v>
      </c>
      <c r="K19" s="166" t="s">
        <v>31</v>
      </c>
      <c r="L19" s="167" t="s">
        <v>32</v>
      </c>
      <c r="M19" s="167" t="s">
        <v>33</v>
      </c>
      <c r="N19" s="167" t="s">
        <v>34</v>
      </c>
      <c r="O19" s="168" t="s">
        <v>35</v>
      </c>
    </row>
    <row r="20" ht="13.5" spans="1:15">
      <c r="A20" s="145">
        <v>1</v>
      </c>
      <c r="B20" s="62" t="s">
        <v>36</v>
      </c>
      <c r="C20" s="62" t="s">
        <v>37</v>
      </c>
      <c r="D20" s="62" t="s">
        <v>38</v>
      </c>
      <c r="E20" s="62">
        <v>10000</v>
      </c>
      <c r="F20" s="146" t="s">
        <v>39</v>
      </c>
      <c r="G20" s="147">
        <f>VLOOKUP(B20,[1]工作表1!$A:$G,7,0)</f>
        <v>0.00096</v>
      </c>
      <c r="H20" s="147" t="s">
        <v>40</v>
      </c>
      <c r="I20" s="66">
        <f t="shared" ref="I20:I26" si="0">ROUND(E20*G20,2)</f>
        <v>9.6</v>
      </c>
      <c r="J20" s="62" t="s">
        <v>41</v>
      </c>
      <c r="K20" s="62" t="s">
        <v>42</v>
      </c>
      <c r="L20" s="62" t="s">
        <v>43</v>
      </c>
      <c r="M20" s="62" t="s">
        <v>44</v>
      </c>
      <c r="N20" s="62" t="s">
        <v>38</v>
      </c>
      <c r="O20" s="169">
        <v>0.01</v>
      </c>
    </row>
    <row r="21" ht="13.5" spans="1:15">
      <c r="A21" s="145">
        <v>2</v>
      </c>
      <c r="B21" s="62" t="s">
        <v>45</v>
      </c>
      <c r="C21" s="62" t="s">
        <v>46</v>
      </c>
      <c r="D21" s="62" t="s">
        <v>38</v>
      </c>
      <c r="E21" s="62">
        <v>60000</v>
      </c>
      <c r="F21" s="146" t="s">
        <v>39</v>
      </c>
      <c r="G21" s="147">
        <f>VLOOKUP(B21,[1]工作表1!$A:$G,7,0)</f>
        <v>0.00134</v>
      </c>
      <c r="H21" s="147" t="s">
        <v>40</v>
      </c>
      <c r="I21" s="66">
        <f t="shared" si="0"/>
        <v>80.4</v>
      </c>
      <c r="J21" s="62" t="s">
        <v>41</v>
      </c>
      <c r="K21" s="62" t="s">
        <v>42</v>
      </c>
      <c r="L21" s="62" t="s">
        <v>43</v>
      </c>
      <c r="M21" s="62" t="s">
        <v>44</v>
      </c>
      <c r="N21" s="62" t="s">
        <v>47</v>
      </c>
      <c r="O21" s="169">
        <v>0.02</v>
      </c>
    </row>
    <row r="22" ht="13.5" spans="1:15">
      <c r="A22" s="145">
        <v>3</v>
      </c>
      <c r="B22" s="62" t="s">
        <v>45</v>
      </c>
      <c r="C22" s="62" t="s">
        <v>48</v>
      </c>
      <c r="D22" s="62" t="s">
        <v>38</v>
      </c>
      <c r="E22" s="62">
        <v>30000</v>
      </c>
      <c r="F22" s="146" t="s">
        <v>39</v>
      </c>
      <c r="G22" s="147">
        <f>VLOOKUP(B22,[1]工作表1!$A:$G,7,0)</f>
        <v>0.00134</v>
      </c>
      <c r="H22" s="147" t="s">
        <v>40</v>
      </c>
      <c r="I22" s="66">
        <f t="shared" si="0"/>
        <v>40.2</v>
      </c>
      <c r="J22" s="62" t="s">
        <v>41</v>
      </c>
      <c r="K22" s="62" t="s">
        <v>42</v>
      </c>
      <c r="L22" s="62" t="s">
        <v>43</v>
      </c>
      <c r="M22" s="62" t="s">
        <v>44</v>
      </c>
      <c r="N22" s="62" t="s">
        <v>47</v>
      </c>
      <c r="O22" s="169">
        <v>0.01</v>
      </c>
    </row>
    <row r="23" ht="13.5" spans="1:15">
      <c r="A23" s="145">
        <v>4</v>
      </c>
      <c r="B23" s="62" t="s">
        <v>49</v>
      </c>
      <c r="C23" s="62" t="s">
        <v>50</v>
      </c>
      <c r="D23" s="62" t="s">
        <v>38</v>
      </c>
      <c r="E23" s="62">
        <v>8000</v>
      </c>
      <c r="F23" s="146" t="s">
        <v>39</v>
      </c>
      <c r="G23" s="147">
        <f>VLOOKUP(B23,[1]工作表1!$A:$G,7,0)</f>
        <v>0.00965</v>
      </c>
      <c r="H23" s="147" t="s">
        <v>40</v>
      </c>
      <c r="I23" s="66">
        <f t="shared" si="0"/>
        <v>77.2</v>
      </c>
      <c r="J23" s="62" t="s">
        <v>41</v>
      </c>
      <c r="K23" s="62" t="s">
        <v>42</v>
      </c>
      <c r="L23" s="62" t="s">
        <v>43</v>
      </c>
      <c r="M23" s="62" t="s">
        <v>44</v>
      </c>
      <c r="N23" s="62" t="s">
        <v>51</v>
      </c>
      <c r="O23" s="169">
        <v>0.1</v>
      </c>
    </row>
    <row r="24" ht="13.5" spans="1:15">
      <c r="A24" s="145">
        <v>5</v>
      </c>
      <c r="B24" s="62" t="s">
        <v>49</v>
      </c>
      <c r="C24" s="62" t="s">
        <v>52</v>
      </c>
      <c r="D24" s="62" t="s">
        <v>38</v>
      </c>
      <c r="E24" s="62">
        <v>18000</v>
      </c>
      <c r="F24" s="146" t="s">
        <v>39</v>
      </c>
      <c r="G24" s="147">
        <f>VLOOKUP(B24,[1]工作表1!$A:$G,7,0)</f>
        <v>0.00965</v>
      </c>
      <c r="H24" s="147" t="s">
        <v>40</v>
      </c>
      <c r="I24" s="66">
        <f t="shared" si="0"/>
        <v>173.7</v>
      </c>
      <c r="J24" s="62" t="s">
        <v>41</v>
      </c>
      <c r="K24" s="62" t="s">
        <v>42</v>
      </c>
      <c r="L24" s="62" t="s">
        <v>43</v>
      </c>
      <c r="M24" s="62" t="s">
        <v>44</v>
      </c>
      <c r="N24" s="62" t="s">
        <v>51</v>
      </c>
      <c r="O24" s="169">
        <v>0.23</v>
      </c>
    </row>
    <row r="25" ht="13.5" spans="1:15">
      <c r="A25" s="145">
        <v>6</v>
      </c>
      <c r="B25" s="62" t="s">
        <v>53</v>
      </c>
      <c r="C25" s="62" t="s">
        <v>52</v>
      </c>
      <c r="D25" s="62" t="s">
        <v>38</v>
      </c>
      <c r="E25" s="62">
        <v>2000</v>
      </c>
      <c r="F25" s="146" t="s">
        <v>39</v>
      </c>
      <c r="G25" s="147">
        <f>VLOOKUP(B25,[1]工作表1!$A:$G,7,0)</f>
        <v>0.01274</v>
      </c>
      <c r="H25" s="147" t="s">
        <v>40</v>
      </c>
      <c r="I25" s="66">
        <f t="shared" si="0"/>
        <v>25.48</v>
      </c>
      <c r="J25" s="62" t="s">
        <v>41</v>
      </c>
      <c r="K25" s="62" t="s">
        <v>42</v>
      </c>
      <c r="L25" s="62" t="s">
        <v>43</v>
      </c>
      <c r="M25" s="62" t="s">
        <v>44</v>
      </c>
      <c r="N25" s="62" t="s">
        <v>54</v>
      </c>
      <c r="O25" s="169">
        <v>0.03</v>
      </c>
    </row>
    <row r="26" ht="13.5" spans="1:15">
      <c r="A26" s="145">
        <v>7</v>
      </c>
      <c r="B26" s="62" t="s">
        <v>55</v>
      </c>
      <c r="C26" s="62" t="s">
        <v>56</v>
      </c>
      <c r="D26" s="62" t="s">
        <v>38</v>
      </c>
      <c r="E26" s="62">
        <v>15000</v>
      </c>
      <c r="F26" s="146" t="s">
        <v>39</v>
      </c>
      <c r="G26" s="147">
        <f>VLOOKUP(B26,[1]工作表1!$A:$G,7,0)</f>
        <v>0.00136</v>
      </c>
      <c r="H26" s="147" t="s">
        <v>40</v>
      </c>
      <c r="I26" s="66">
        <f t="shared" si="0"/>
        <v>20.4</v>
      </c>
      <c r="J26" s="62" t="s">
        <v>41</v>
      </c>
      <c r="K26" s="62" t="s">
        <v>42</v>
      </c>
      <c r="L26" s="62" t="s">
        <v>43</v>
      </c>
      <c r="M26" s="62" t="s">
        <v>44</v>
      </c>
      <c r="N26" s="62" t="s">
        <v>57</v>
      </c>
      <c r="O26" s="169">
        <v>0.01</v>
      </c>
    </row>
    <row r="27" ht="23.25" spans="1:15">
      <c r="A27" s="145"/>
      <c r="B27" s="62"/>
      <c r="C27" s="62"/>
      <c r="D27" s="62"/>
      <c r="E27" s="62"/>
      <c r="F27" s="146"/>
      <c r="G27" s="147"/>
      <c r="H27" s="147"/>
      <c r="I27" s="66"/>
      <c r="J27" s="62"/>
      <c r="K27" s="62"/>
      <c r="L27" s="62"/>
      <c r="M27" s="62"/>
      <c r="N27" s="62"/>
      <c r="O27" s="170"/>
    </row>
    <row r="28" ht="23.25" spans="1:15">
      <c r="A28" s="145"/>
      <c r="B28" s="62"/>
      <c r="C28" s="62"/>
      <c r="D28" s="62"/>
      <c r="E28" s="62"/>
      <c r="F28" s="146"/>
      <c r="G28" s="147"/>
      <c r="H28" s="147"/>
      <c r="I28" s="66"/>
      <c r="J28" s="62"/>
      <c r="K28" s="62"/>
      <c r="L28" s="62"/>
      <c r="M28" s="62"/>
      <c r="N28" s="62"/>
      <c r="O28" s="170"/>
    </row>
    <row r="29" ht="23.25" spans="1:15">
      <c r="A29" s="145"/>
      <c r="B29" s="62"/>
      <c r="C29" s="62"/>
      <c r="D29" s="62"/>
      <c r="E29" s="62"/>
      <c r="F29" s="146"/>
      <c r="G29" s="147"/>
      <c r="H29" s="147"/>
      <c r="I29" s="66"/>
      <c r="J29" s="62"/>
      <c r="K29" s="62"/>
      <c r="L29" s="62"/>
      <c r="M29" s="62"/>
      <c r="N29" s="62"/>
      <c r="O29" s="170"/>
    </row>
    <row r="30" ht="23.25" spans="1:15">
      <c r="A30" s="145"/>
      <c r="B30" s="62"/>
      <c r="C30" s="62"/>
      <c r="D30" s="62"/>
      <c r="E30" s="62"/>
      <c r="F30" s="146"/>
      <c r="G30" s="147"/>
      <c r="H30" s="147"/>
      <c r="I30" s="66"/>
      <c r="J30" s="62"/>
      <c r="K30" s="62"/>
      <c r="L30" s="62"/>
      <c r="M30" s="62"/>
      <c r="N30" s="62"/>
      <c r="O30" s="170"/>
    </row>
    <row r="31" ht="23.25" spans="1:15">
      <c r="A31" s="145"/>
      <c r="B31" s="62"/>
      <c r="C31" s="62"/>
      <c r="D31" s="62"/>
      <c r="E31" s="62"/>
      <c r="F31" s="146"/>
      <c r="G31" s="147"/>
      <c r="H31" s="147"/>
      <c r="I31" s="66"/>
      <c r="J31" s="62"/>
      <c r="K31" s="62"/>
      <c r="L31" s="62"/>
      <c r="M31" s="62"/>
      <c r="N31" s="62"/>
      <c r="O31" s="170"/>
    </row>
    <row r="32" ht="23.25" spans="1:15">
      <c r="A32" s="145"/>
      <c r="B32" s="62"/>
      <c r="C32" s="62"/>
      <c r="D32" s="62"/>
      <c r="E32" s="62"/>
      <c r="F32" s="146"/>
      <c r="G32" s="147"/>
      <c r="H32" s="147"/>
      <c r="I32" s="66"/>
      <c r="J32" s="62"/>
      <c r="K32" s="62"/>
      <c r="L32" s="62"/>
      <c r="M32" s="62"/>
      <c r="N32" s="62"/>
      <c r="O32" s="170"/>
    </row>
    <row r="33" ht="23.25" spans="1:15">
      <c r="A33" s="145"/>
      <c r="B33" s="62"/>
      <c r="C33" s="62"/>
      <c r="D33" s="62"/>
      <c r="E33" s="62"/>
      <c r="F33" s="146"/>
      <c r="G33" s="147"/>
      <c r="H33" s="147"/>
      <c r="I33" s="66"/>
      <c r="J33" s="62"/>
      <c r="K33" s="62"/>
      <c r="L33" s="62"/>
      <c r="M33" s="62"/>
      <c r="N33" s="62"/>
      <c r="O33" s="170"/>
    </row>
    <row r="34" ht="23.25" spans="1:15">
      <c r="A34" s="145"/>
      <c r="B34" s="62"/>
      <c r="C34" s="62"/>
      <c r="D34" s="62"/>
      <c r="E34" s="62"/>
      <c r="F34" s="146"/>
      <c r="G34" s="147"/>
      <c r="H34" s="147"/>
      <c r="I34" s="66"/>
      <c r="J34" s="62"/>
      <c r="K34" s="62"/>
      <c r="L34" s="62"/>
      <c r="M34" s="62"/>
      <c r="N34" s="62"/>
      <c r="O34" s="170"/>
    </row>
    <row r="35" spans="1:1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</row>
    <row r="36" ht="13.5" spans="1:15">
      <c r="A36" s="113"/>
      <c r="B36" s="20"/>
      <c r="C36" s="111" t="s">
        <v>58</v>
      </c>
      <c r="D36" s="111"/>
      <c r="E36" s="149">
        <f>SUM(E20:E35)</f>
        <v>143000</v>
      </c>
      <c r="F36" s="150"/>
      <c r="G36" s="151"/>
      <c r="H36" s="151"/>
      <c r="I36" s="171">
        <f>SUM(I20:I35)</f>
        <v>426.98</v>
      </c>
      <c r="J36" s="172"/>
      <c r="K36" s="172"/>
      <c r="L36" s="172"/>
      <c r="M36" s="172"/>
      <c r="N36" s="172"/>
      <c r="O36" s="171">
        <f>SUM(O20:O35)</f>
        <v>0.41</v>
      </c>
    </row>
  </sheetData>
  <mergeCells count="8">
    <mergeCell ref="A1:O1"/>
    <mergeCell ref="E9:I9"/>
    <mergeCell ref="A15:B15"/>
    <mergeCell ref="C15:D15"/>
    <mergeCell ref="C18:D18"/>
    <mergeCell ref="C36:D36"/>
    <mergeCell ref="A4:D5"/>
    <mergeCell ref="A9:D10"/>
  </mergeCells>
  <pageMargins left="0.75" right="0.75" top="1" bottom="1" header="0.5" footer="0.5"/>
  <pageSetup paperSize="9" scale="5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A14" sqref="A14"/>
    </sheetView>
  </sheetViews>
  <sheetFormatPr defaultColWidth="9" defaultRowHeight="13.5"/>
  <cols>
    <col min="1" max="1" width="18.1416666666667" customWidth="1"/>
    <col min="2" max="2" width="13.7083333333333" customWidth="1"/>
    <col min="3" max="3" width="12.5666666666667" customWidth="1"/>
    <col min="4" max="4" width="20.425" customWidth="1"/>
    <col min="5" max="5" width="8.14166666666667" customWidth="1"/>
    <col min="6" max="6" width="14.425" customWidth="1"/>
    <col min="7" max="7" width="5.56666666666667" customWidth="1"/>
    <col min="8" max="8" width="8.28333333333333" customWidth="1"/>
    <col min="9" max="9" width="10.2833333333333" customWidth="1"/>
    <col min="10" max="10" width="18.2833333333333" customWidth="1"/>
  </cols>
  <sheetData>
    <row r="1" spans="1:10">
      <c r="A1" s="1" t="s">
        <v>59</v>
      </c>
      <c r="B1" s="2"/>
      <c r="C1" s="2"/>
      <c r="D1" s="2"/>
      <c r="E1" s="2"/>
      <c r="F1" s="2"/>
      <c r="G1" s="2"/>
      <c r="H1" s="2"/>
      <c r="I1" s="2"/>
      <c r="J1" s="83"/>
    </row>
    <row r="2" spans="1:10">
      <c r="A2" s="3"/>
      <c r="B2" s="4"/>
      <c r="C2" s="4"/>
      <c r="D2" s="4"/>
      <c r="E2" s="4"/>
      <c r="F2" s="4"/>
      <c r="G2" s="4"/>
      <c r="H2" s="4"/>
      <c r="I2" s="4"/>
      <c r="J2" s="84"/>
    </row>
    <row r="3" spans="1:10">
      <c r="A3" s="5" t="s">
        <v>1</v>
      </c>
      <c r="B3" s="6"/>
      <c r="C3" s="7"/>
      <c r="D3" s="7"/>
      <c r="E3" s="8"/>
      <c r="F3" s="6" t="s">
        <v>60</v>
      </c>
      <c r="G3" s="7"/>
      <c r="H3" s="7"/>
      <c r="I3" s="7"/>
      <c r="J3" s="85"/>
    </row>
    <row r="4" spans="1:10">
      <c r="A4" s="9" t="s">
        <v>3</v>
      </c>
      <c r="B4" s="10"/>
      <c r="C4" s="11"/>
      <c r="D4" s="11"/>
      <c r="E4" s="12"/>
      <c r="F4" s="13" t="str">
        <f>INVOICE!E3</f>
        <v>SZ-250819</v>
      </c>
      <c r="G4" s="11"/>
      <c r="H4" s="11"/>
      <c r="I4" s="11"/>
      <c r="J4" s="85"/>
    </row>
    <row r="5" spans="1:10">
      <c r="A5" s="14" t="s">
        <v>5</v>
      </c>
      <c r="B5" s="15"/>
      <c r="C5" s="15"/>
      <c r="D5" s="15"/>
      <c r="E5" s="16"/>
      <c r="F5" s="17">
        <f>INVOICE!E4</f>
        <v>45523</v>
      </c>
      <c r="G5" s="11"/>
      <c r="H5" s="11"/>
      <c r="I5" s="11"/>
      <c r="J5" s="85"/>
    </row>
    <row r="6" spans="1:10">
      <c r="A6" s="14"/>
      <c r="B6" s="15"/>
      <c r="C6" s="15"/>
      <c r="D6" s="15"/>
      <c r="E6" s="16"/>
      <c r="F6" s="18"/>
      <c r="G6" s="11"/>
      <c r="H6" s="11"/>
      <c r="I6" s="11"/>
      <c r="J6" s="85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39"/>
    </row>
    <row r="8" spans="1:10">
      <c r="A8" s="25" t="s">
        <v>6</v>
      </c>
      <c r="B8" s="6"/>
      <c r="C8" s="26"/>
      <c r="D8" s="26"/>
      <c r="E8" s="27"/>
      <c r="F8" s="28" t="s">
        <v>61</v>
      </c>
      <c r="G8" s="11"/>
      <c r="H8" s="11"/>
      <c r="I8" s="11"/>
      <c r="J8" s="85"/>
    </row>
    <row r="9" spans="1:10">
      <c r="A9" s="29" t="s">
        <v>8</v>
      </c>
      <c r="B9" s="10"/>
      <c r="C9" s="30"/>
      <c r="D9" s="30"/>
      <c r="E9" s="31"/>
      <c r="F9" s="32"/>
      <c r="G9" s="33"/>
      <c r="H9" s="33"/>
      <c r="I9" s="33"/>
      <c r="J9" s="85"/>
    </row>
    <row r="10" spans="1:10">
      <c r="A10" s="34" t="s">
        <v>9</v>
      </c>
      <c r="B10" s="35"/>
      <c r="C10" s="35"/>
      <c r="D10" s="35"/>
      <c r="E10" s="36"/>
      <c r="F10" s="32"/>
      <c r="G10" s="11"/>
      <c r="H10" s="11"/>
      <c r="I10" s="33"/>
      <c r="J10" s="85"/>
    </row>
    <row r="11" spans="1:10">
      <c r="A11" s="34"/>
      <c r="B11" s="35"/>
      <c r="C11" s="35"/>
      <c r="D11" s="35"/>
      <c r="E11" s="36"/>
      <c r="F11" s="32"/>
      <c r="G11" s="11"/>
      <c r="H11" s="11"/>
      <c r="I11" s="33"/>
      <c r="J11" s="85"/>
    </row>
    <row r="12" spans="1:10">
      <c r="A12" s="37"/>
      <c r="B12" s="38"/>
      <c r="C12" s="24"/>
      <c r="D12" s="24"/>
      <c r="E12" s="39"/>
      <c r="F12" s="11"/>
      <c r="G12" s="40"/>
      <c r="H12" s="40"/>
      <c r="I12" s="11"/>
      <c r="J12" s="85"/>
    </row>
    <row r="13" ht="16.5" spans="1:10">
      <c r="A13" s="25" t="s">
        <v>10</v>
      </c>
      <c r="B13" s="32"/>
      <c r="C13" s="11"/>
      <c r="D13" s="11"/>
      <c r="E13" s="12"/>
      <c r="F13" s="41"/>
      <c r="G13" s="42"/>
      <c r="H13" s="11"/>
      <c r="I13" s="11"/>
      <c r="J13" s="85"/>
    </row>
    <row r="14" ht="16.5" spans="1:10">
      <c r="A14" s="29" t="s">
        <v>12</v>
      </c>
      <c r="B14" s="43"/>
      <c r="C14" s="43"/>
      <c r="D14" s="43"/>
      <c r="E14" s="12"/>
      <c r="F14" s="41"/>
      <c r="G14" s="42"/>
      <c r="H14" s="11"/>
      <c r="I14" s="11"/>
      <c r="J14" s="85"/>
    </row>
    <row r="15" spans="1:10">
      <c r="A15" s="44"/>
      <c r="B15" s="43"/>
      <c r="C15" s="11"/>
      <c r="D15" s="11"/>
      <c r="E15" s="45"/>
      <c r="F15" s="11"/>
      <c r="G15" s="11"/>
      <c r="H15" s="11"/>
      <c r="I15" s="11"/>
      <c r="J15" s="85"/>
    </row>
    <row r="16" spans="1:10">
      <c r="A16" s="23"/>
      <c r="B16" s="24"/>
      <c r="C16" s="24"/>
      <c r="D16" s="24"/>
      <c r="E16" s="39"/>
      <c r="F16" s="46"/>
      <c r="G16" s="46"/>
      <c r="H16" s="47"/>
      <c r="I16" s="86"/>
      <c r="J16" s="85"/>
    </row>
    <row r="17" spans="1:10">
      <c r="A17" s="48" t="s">
        <v>62</v>
      </c>
      <c r="B17" s="28"/>
      <c r="C17" s="8"/>
      <c r="D17" s="28" t="s">
        <v>63</v>
      </c>
      <c r="E17" s="49"/>
      <c r="F17" s="46"/>
      <c r="G17" s="46"/>
      <c r="H17" s="50"/>
      <c r="I17" s="11"/>
      <c r="J17" s="85"/>
    </row>
    <row r="18" spans="1:10">
      <c r="A18" s="51"/>
      <c r="B18" s="52"/>
      <c r="C18" s="53"/>
      <c r="D18" s="51"/>
      <c r="E18" s="53"/>
      <c r="F18" s="46"/>
      <c r="G18" s="46"/>
      <c r="H18" s="50"/>
      <c r="I18" s="11"/>
      <c r="J18" s="85"/>
    </row>
    <row r="19" spans="1:10">
      <c r="A19" s="48" t="s">
        <v>17</v>
      </c>
      <c r="B19" s="32"/>
      <c r="C19" s="54"/>
      <c r="D19" s="28" t="s">
        <v>18</v>
      </c>
      <c r="E19" s="55"/>
      <c r="F19" s="11"/>
      <c r="G19" s="11"/>
      <c r="H19" s="11"/>
      <c r="I19" s="11"/>
      <c r="J19" s="85"/>
    </row>
    <row r="20" spans="1:10">
      <c r="A20" s="51"/>
      <c r="B20" s="52"/>
      <c r="C20" s="53"/>
      <c r="D20" s="56"/>
      <c r="E20" s="57"/>
      <c r="F20" s="24"/>
      <c r="G20" s="24"/>
      <c r="H20" s="24"/>
      <c r="I20" s="24"/>
      <c r="J20" s="85"/>
    </row>
    <row r="21" spans="1:10">
      <c r="A21" s="58" t="s">
        <v>64</v>
      </c>
      <c r="B21" s="59" t="s">
        <v>23</v>
      </c>
      <c r="C21" s="59" t="s">
        <v>22</v>
      </c>
      <c r="D21" s="59" t="s">
        <v>24</v>
      </c>
      <c r="E21" s="59"/>
      <c r="F21" s="60" t="s">
        <v>25</v>
      </c>
      <c r="G21" s="60" t="s">
        <v>26</v>
      </c>
      <c r="H21" s="61" t="s">
        <v>65</v>
      </c>
      <c r="I21" s="61" t="s">
        <v>66</v>
      </c>
      <c r="J21" s="87" t="s">
        <v>67</v>
      </c>
    </row>
    <row r="22" spans="1:10">
      <c r="A22" s="58"/>
      <c r="B22" s="59"/>
      <c r="C22" s="59"/>
      <c r="D22" s="59"/>
      <c r="E22" s="59"/>
      <c r="F22" s="60"/>
      <c r="G22" s="60"/>
      <c r="H22" s="61" t="s">
        <v>68</v>
      </c>
      <c r="I22" s="61" t="s">
        <v>68</v>
      </c>
      <c r="J22" s="88"/>
    </row>
    <row r="23" ht="25.5" customHeight="1" spans="1:10">
      <c r="A23" s="62" t="s">
        <v>69</v>
      </c>
      <c r="B23" s="62" t="s">
        <v>52</v>
      </c>
      <c r="C23" s="62" t="s">
        <v>49</v>
      </c>
      <c r="D23" s="63" t="s">
        <v>51</v>
      </c>
      <c r="E23" s="63"/>
      <c r="F23" s="64">
        <v>18000</v>
      </c>
      <c r="G23" s="65" t="s">
        <v>39</v>
      </c>
      <c r="H23" s="66">
        <v>0.234</v>
      </c>
      <c r="I23" s="66">
        <v>1.25</v>
      </c>
      <c r="J23" s="89" t="s">
        <v>70</v>
      </c>
    </row>
    <row r="24" ht="25.5" customHeight="1" spans="1:10">
      <c r="A24" s="62" t="s">
        <v>71</v>
      </c>
      <c r="B24" s="62" t="s">
        <v>48</v>
      </c>
      <c r="C24" s="62" t="s">
        <v>45</v>
      </c>
      <c r="D24" s="63" t="s">
        <v>47</v>
      </c>
      <c r="E24" s="63"/>
      <c r="F24" s="64">
        <v>30000</v>
      </c>
      <c r="G24" s="65" t="s">
        <v>39</v>
      </c>
      <c r="H24" s="66">
        <v>0.0092</v>
      </c>
      <c r="I24" s="66">
        <v>0.87</v>
      </c>
      <c r="J24" s="89" t="s">
        <v>70</v>
      </c>
    </row>
    <row r="25" ht="25.5" customHeight="1" spans="1:10">
      <c r="A25" s="62" t="s">
        <v>72</v>
      </c>
      <c r="B25" s="62" t="s">
        <v>46</v>
      </c>
      <c r="C25" s="62" t="s">
        <v>45</v>
      </c>
      <c r="D25" s="63" t="s">
        <v>47</v>
      </c>
      <c r="E25" s="63"/>
      <c r="F25" s="64">
        <v>60000</v>
      </c>
      <c r="G25" s="65" t="s">
        <v>39</v>
      </c>
      <c r="H25" s="66">
        <v>0.0184</v>
      </c>
      <c r="I25" s="66">
        <v>1.11</v>
      </c>
      <c r="J25" s="89" t="s">
        <v>70</v>
      </c>
    </row>
    <row r="26" ht="25.5" customHeight="1" spans="1:10">
      <c r="A26" s="62" t="s">
        <v>73</v>
      </c>
      <c r="B26" s="62" t="s">
        <v>56</v>
      </c>
      <c r="C26" s="62" t="s">
        <v>55</v>
      </c>
      <c r="D26" s="63" t="s">
        <v>57</v>
      </c>
      <c r="E26" s="63"/>
      <c r="F26" s="64">
        <v>15000</v>
      </c>
      <c r="G26" s="65" t="s">
        <v>39</v>
      </c>
      <c r="H26" s="66">
        <v>0.0046</v>
      </c>
      <c r="I26" s="66">
        <v>0.73</v>
      </c>
      <c r="J26" s="89" t="s">
        <v>70</v>
      </c>
    </row>
    <row r="27" ht="25.5" customHeight="1" spans="1:10">
      <c r="A27" s="62" t="s">
        <v>74</v>
      </c>
      <c r="B27" s="62" t="s">
        <v>37</v>
      </c>
      <c r="C27" s="62" t="s">
        <v>36</v>
      </c>
      <c r="D27" s="63" t="s">
        <v>38</v>
      </c>
      <c r="E27" s="63"/>
      <c r="F27" s="64">
        <v>10000</v>
      </c>
      <c r="G27" s="65" t="s">
        <v>39</v>
      </c>
      <c r="H27" s="66">
        <v>0.014</v>
      </c>
      <c r="I27" s="66">
        <v>0.73</v>
      </c>
      <c r="J27" s="89" t="s">
        <v>70</v>
      </c>
    </row>
    <row r="28" ht="25.5" customHeight="1" spans="1:10">
      <c r="A28" s="62" t="s">
        <v>75</v>
      </c>
      <c r="B28" s="62" t="s">
        <v>50</v>
      </c>
      <c r="C28" s="62" t="s">
        <v>49</v>
      </c>
      <c r="D28" s="63" t="s">
        <v>51</v>
      </c>
      <c r="E28" s="63"/>
      <c r="F28" s="64">
        <v>8000</v>
      </c>
      <c r="G28" s="65" t="s">
        <v>39</v>
      </c>
      <c r="H28" s="66">
        <v>0.104</v>
      </c>
      <c r="I28" s="66">
        <v>0.9</v>
      </c>
      <c r="J28" s="89" t="s">
        <v>70</v>
      </c>
    </row>
    <row r="29" ht="25.5" customHeight="1" spans="1:10">
      <c r="A29" s="62" t="s">
        <v>76</v>
      </c>
      <c r="B29" s="62" t="s">
        <v>52</v>
      </c>
      <c r="C29" s="62" t="s">
        <v>53</v>
      </c>
      <c r="D29" s="63" t="s">
        <v>54</v>
      </c>
      <c r="E29" s="63"/>
      <c r="F29" s="64">
        <v>2000</v>
      </c>
      <c r="G29" s="65" t="s">
        <v>39</v>
      </c>
      <c r="H29" s="66">
        <v>0.026</v>
      </c>
      <c r="I29" s="66">
        <v>0.71</v>
      </c>
      <c r="J29" s="89" t="s">
        <v>70</v>
      </c>
    </row>
    <row r="30" spans="1:10">
      <c r="A30" s="62"/>
      <c r="B30" s="62"/>
      <c r="C30" s="62"/>
      <c r="D30" s="63"/>
      <c r="E30" s="63"/>
      <c r="F30" s="64"/>
      <c r="G30" s="65"/>
      <c r="H30" s="66"/>
      <c r="I30" s="66"/>
      <c r="J30" s="89"/>
    </row>
    <row r="31" spans="1:10">
      <c r="A31" s="62"/>
      <c r="B31" s="62"/>
      <c r="C31" s="62"/>
      <c r="D31" s="63"/>
      <c r="E31" s="63"/>
      <c r="F31" s="64"/>
      <c r="G31" s="65"/>
      <c r="H31" s="66"/>
      <c r="I31" s="66"/>
      <c r="J31" s="89"/>
    </row>
    <row r="32" spans="1:10">
      <c r="A32" s="62"/>
      <c r="B32" s="62"/>
      <c r="C32" s="62"/>
      <c r="D32" s="63"/>
      <c r="E32" s="63"/>
      <c r="F32" s="64"/>
      <c r="G32" s="65"/>
      <c r="H32" s="66"/>
      <c r="I32" s="66"/>
      <c r="J32" s="89"/>
    </row>
    <row r="33" spans="1:10">
      <c r="A33" s="62"/>
      <c r="B33" s="62"/>
      <c r="C33" s="62"/>
      <c r="D33" s="63"/>
      <c r="E33" s="63"/>
      <c r="F33" s="64"/>
      <c r="G33" s="65"/>
      <c r="H33" s="66"/>
      <c r="I33" s="66"/>
      <c r="J33" s="89"/>
    </row>
    <row r="34" spans="1:10">
      <c r="A34" s="62"/>
      <c r="B34" s="62"/>
      <c r="C34" s="62"/>
      <c r="D34" s="63"/>
      <c r="E34" s="63"/>
      <c r="F34" s="64"/>
      <c r="G34" s="65"/>
      <c r="H34" s="66"/>
      <c r="I34" s="66"/>
      <c r="J34" s="89"/>
    </row>
    <row r="35" spans="1:10">
      <c r="A35" s="62"/>
      <c r="B35" s="62"/>
      <c r="C35" s="62"/>
      <c r="D35" s="63"/>
      <c r="E35" s="63"/>
      <c r="F35" s="64"/>
      <c r="G35" s="65"/>
      <c r="H35" s="66"/>
      <c r="I35" s="66"/>
      <c r="J35" s="89"/>
    </row>
    <row r="36" spans="1:10">
      <c r="A36" s="67"/>
      <c r="B36" s="67"/>
      <c r="C36" s="68"/>
      <c r="D36" s="63"/>
      <c r="E36" s="63"/>
      <c r="F36" s="69"/>
      <c r="G36" s="68"/>
      <c r="H36" s="70"/>
      <c r="I36" s="90">
        <v>13.7</v>
      </c>
      <c r="J36" s="90" t="s">
        <v>77</v>
      </c>
    </row>
    <row r="37" spans="1:10">
      <c r="A37" s="71">
        <v>7</v>
      </c>
      <c r="B37" s="72"/>
      <c r="C37" s="73"/>
      <c r="D37" s="74"/>
      <c r="E37" s="75" t="s">
        <v>78</v>
      </c>
      <c r="F37" s="76">
        <f>SUM(F23:F36)</f>
        <v>143000</v>
      </c>
      <c r="G37" s="77"/>
      <c r="H37" s="78">
        <f>SUM(H23:H36)</f>
        <v>0.4102</v>
      </c>
      <c r="I37" s="78">
        <f>SUM(I23:I36)</f>
        <v>20</v>
      </c>
      <c r="J37" s="78" t="s">
        <v>79</v>
      </c>
    </row>
    <row r="38" spans="1:10">
      <c r="A38" s="79"/>
      <c r="B38" s="79"/>
      <c r="C38" s="79"/>
      <c r="D38" s="79"/>
      <c r="E38" s="80" t="s">
        <v>80</v>
      </c>
      <c r="F38" s="81">
        <v>1</v>
      </c>
      <c r="G38" s="79"/>
      <c r="H38" s="79"/>
      <c r="I38" s="79"/>
      <c r="J38" s="79"/>
    </row>
    <row r="39" spans="1:10">
      <c r="A39" s="79"/>
      <c r="B39" s="79"/>
      <c r="C39" s="79"/>
      <c r="D39" s="79"/>
      <c r="E39" s="80" t="s">
        <v>81</v>
      </c>
      <c r="F39" s="82" t="s">
        <v>82</v>
      </c>
      <c r="G39" s="79"/>
      <c r="H39" s="79"/>
      <c r="I39" s="79"/>
      <c r="J39" s="79"/>
    </row>
    <row r="40" spans="1:10">
      <c r="A40" s="79"/>
      <c r="B40" s="79"/>
      <c r="C40" s="79"/>
      <c r="D40" s="79"/>
      <c r="E40" s="80" t="s">
        <v>83</v>
      </c>
      <c r="F40" s="82" t="s">
        <v>84</v>
      </c>
      <c r="G40" s="79"/>
      <c r="H40" s="79"/>
      <c r="I40" s="79"/>
      <c r="J40" s="79"/>
    </row>
    <row r="41" spans="1:10">
      <c r="A41" s="79"/>
      <c r="B41" s="79"/>
      <c r="C41" s="79"/>
      <c r="D41" s="79"/>
      <c r="E41" s="79"/>
      <c r="F41" s="79"/>
      <c r="G41" s="79"/>
      <c r="H41" s="79"/>
      <c r="I41" s="79"/>
      <c r="J41" s="79"/>
    </row>
  </sheetData>
  <mergeCells count="31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A21:A22"/>
    <mergeCell ref="B21:B22"/>
    <mergeCell ref="C21:C22"/>
    <mergeCell ref="F21:F22"/>
    <mergeCell ref="G21:G22"/>
    <mergeCell ref="J21:J22"/>
    <mergeCell ref="A5:E6"/>
    <mergeCell ref="A10:E11"/>
    <mergeCell ref="D21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cp:lastPrinted>2025-08-18T03:39:00Z</cp:lastPrinted>
  <dcterms:modified xsi:type="dcterms:W3CDTF">2025-08-20T14:15:40Z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