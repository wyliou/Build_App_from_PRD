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INVOICE" sheetId="1" r:id="rId1"/>
    <sheet name="PACKING" sheetId="2" r:id="rId2"/>
  </sheets>
  <calcPr calcId="144525"/>
</workbook>
</file>

<file path=xl/comments1.xml><?xml version="1.0" encoding="utf-8"?>
<comments xmlns="http://schemas.openxmlformats.org/spreadsheetml/2006/main">
  <authors>
    <author>D000208</author>
  </authors>
  <commentList>
    <comment ref="E30" authorId="0">
      <text>
        <r>
          <rPr>
            <sz val="10"/>
            <rFont val="宋体"/>
            <charset val="134"/>
          </rPr>
          <t xml:space="preserve">若是托盘，则需要注明托盘材质
</t>
        </r>
      </text>
    </comment>
  </commentList>
</comments>
</file>

<file path=xl/sharedStrings.xml><?xml version="1.0" encoding="utf-8"?>
<sst xmlns="http://schemas.openxmlformats.org/spreadsheetml/2006/main" count="103" uniqueCount="71">
  <si>
    <t>COMMERCIAL INVOICE</t>
  </si>
  <si>
    <t>Shipper/Exporter</t>
  </si>
  <si>
    <t>No. &amp; Date of Invoice</t>
  </si>
  <si>
    <t>Hong Kong Frecom Limited</t>
  </si>
  <si>
    <t>ZL2025120801</t>
  </si>
  <si>
    <t>FLAT/RM C 8 BLK A,8F UNIVERSAL IND CTR 19-25 SHAN MEI STREET FO TAN SHATIN N.T.</t>
  </si>
  <si>
    <t>Bill To:</t>
  </si>
  <si>
    <t xml:space="preserve"> Payment Term</t>
  </si>
  <si>
    <r>
      <rPr>
        <sz val="10"/>
        <rFont val="宋体"/>
        <charset val="134"/>
      </rPr>
      <t>中磊电子</t>
    </r>
    <r>
      <rPr>
        <sz val="10"/>
        <rFont val="Arial"/>
        <charset val="134"/>
      </rPr>
      <t>(</t>
    </r>
    <r>
      <rPr>
        <sz val="10"/>
        <rFont val="宋体"/>
        <charset val="134"/>
      </rPr>
      <t>苏州</t>
    </r>
    <r>
      <rPr>
        <sz val="10"/>
        <rFont val="Arial"/>
        <charset val="134"/>
      </rPr>
      <t>)</t>
    </r>
    <r>
      <rPr>
        <sz val="10"/>
        <rFont val="宋体"/>
        <charset val="134"/>
      </rPr>
      <t>有限公司</t>
    </r>
  </si>
  <si>
    <r>
      <rPr>
        <sz val="10"/>
        <rFont val="宋体"/>
        <charset val="134"/>
      </rPr>
      <t>苏州工业园区唐庄路</t>
    </r>
    <r>
      <rPr>
        <sz val="10"/>
        <rFont val="Arial"/>
        <charset val="134"/>
      </rPr>
      <t>8</t>
    </r>
    <r>
      <rPr>
        <sz val="10"/>
        <rFont val="宋体"/>
        <charset val="134"/>
      </rPr>
      <t>号</t>
    </r>
  </si>
  <si>
    <t>Ship To:</t>
  </si>
  <si>
    <t xml:space="preserve"> Trade Term</t>
  </si>
  <si>
    <t>中磊电子(苏州)有限公司</t>
  </si>
  <si>
    <t>DAP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</si>
  <si>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</si>
  <si>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</si>
  <si>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</si>
  <si>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</si>
  <si>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</si>
  <si>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</si>
  <si>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中国香港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</si>
  <si>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</si>
  <si>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</si>
  <si>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</si>
  <si>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</si>
  <si>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</si>
  <si>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</si>
  <si>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</si>
  <si>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</si>
  <si>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</si>
  <si>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</si>
  <si>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</si>
  <si>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</si>
  <si>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</si>
  <si>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</si>
  <si>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</si>
  <si>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</si>
  <si>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>91120212DFR</t>
  </si>
  <si>
    <r>
      <rPr>
        <sz val="10"/>
        <rFont val="宋体"/>
        <charset val="134"/>
      </rPr>
      <t>电源适配器</t>
    </r>
    <r>
      <rPr>
        <sz val="10"/>
        <rFont val="Arial"/>
        <charset val="134"/>
      </rPr>
      <t xml:space="preserve">
PoE  Power Adaptor
MODEl:FC024A11-120020E
INPUT:200-240V~50/60Hz 0.6A
OUTPUT:12V/2A
01461510000H</t>
    </r>
  </si>
  <si>
    <t>PCS</t>
  </si>
  <si>
    <t>USD</t>
  </si>
  <si>
    <t>China</t>
  </si>
  <si>
    <t>无牌</t>
  </si>
  <si>
    <t>FC024A11-120020E</t>
  </si>
  <si>
    <t>2</t>
  </si>
  <si>
    <t xml:space="preserve">                  TOTAL</t>
  </si>
  <si>
    <t>报关行</t>
  </si>
  <si>
    <t>江苏众诚报关代理有限公司</t>
  </si>
  <si>
    <t>申报地海关</t>
  </si>
  <si>
    <t>关联备案号</t>
  </si>
  <si>
    <t>新帐册号T2358W000197</t>
  </si>
  <si>
    <t>运输方式</t>
  </si>
  <si>
    <t>保税港区</t>
  </si>
  <si>
    <t>PACKING LIST</t>
  </si>
  <si>
    <t>No &amp; Date of Invoice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</si>
  <si>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</si>
  <si>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</si>
  <si>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</si>
  <si>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</si>
  <si>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</si>
  <si>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</si>
  <si>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</si>
  <si>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</si>
  <si>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55*42*20</t>
  </si>
  <si>
    <t>TOTAL</t>
  </si>
  <si>
    <t>7.668m³</t>
  </si>
  <si>
    <t>件数</t>
  </si>
  <si>
    <t>包装种类</t>
  </si>
  <si>
    <t>托盘</t>
  </si>
  <si>
    <t>托盘材质</t>
  </si>
  <si>
    <t>再生木托</t>
  </si>
</sst>
</file>

<file path=xl/styles.xml><?xml version="1.0" encoding="utf-8"?>
<styleSheet xmlns="http://schemas.openxmlformats.org/spreadsheetml/2006/main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yyyy/m/d;@"/>
    <numFmt numFmtId="177" formatCode="_ * #,##0_ ;_ * \-#,##0_ ;_ * &quot;-&quot;_ ;_ @_ "/>
    <numFmt numFmtId="178" formatCode="_ * #,##0.00_ ;_ * \-#,##0.00_ ;_ * &quot;-&quot;??_ ;_ @_ "/>
    <numFmt numFmtId="179" formatCode="0.00_ "/>
    <numFmt numFmtId="180" formatCode="0_ "/>
    <numFmt numFmtId="181" formatCode="0.000_ "/>
    <numFmt numFmtId="182" formatCode="0.00_);[Red]\(0.00\)"/>
    <numFmt numFmtId="183" formatCode="#,##0.00_ "/>
    <numFmt numFmtId="184" formatCode="0.0000_);[Red]\(0.0000\)"/>
  </numFmts>
  <fonts count="38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10"/>
      <color rgb="FFFF0000"/>
      <name val="Arial"/>
      <charset val="134"/>
    </font>
    <font>
      <sz val="10"/>
      <name val="新細明體"/>
      <charset val="136"/>
    </font>
    <font>
      <b/>
      <sz val="10"/>
      <name val="宋体"/>
      <charset val="136"/>
    </font>
    <font>
      <b/>
      <sz val="10"/>
      <name val="新細明體"/>
      <charset val="136"/>
    </font>
    <font>
      <sz val="18"/>
      <color theme="1"/>
      <name val="宋体"/>
      <charset val="134"/>
      <scheme val="minor"/>
    </font>
    <font>
      <b/>
      <sz val="18"/>
      <name val="Arial"/>
      <charset val="134"/>
    </font>
    <font>
      <sz val="12"/>
      <color theme="1"/>
      <name val="宋体"/>
      <charset val="134"/>
      <scheme val="minor"/>
    </font>
    <font>
      <sz val="10"/>
      <color indexed="12"/>
      <name val="新細明體"/>
      <charset val="136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新細明體"/>
      <charset val="136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" fillId="0" borderId="0"/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8" fillId="13" borderId="18" applyNumberFormat="0" applyAlignment="0" applyProtection="0">
      <alignment vertical="center"/>
    </xf>
    <xf numFmtId="0" fontId="29" fillId="13" borderId="14" applyNumberFormat="0" applyAlignment="0" applyProtection="0">
      <alignment vertical="center"/>
    </xf>
    <xf numFmtId="0" fontId="30" fillId="14" borderId="19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0" borderId="0"/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6" fillId="0" borderId="0"/>
  </cellStyleXfs>
  <cellXfs count="186">
    <xf numFmtId="0" fontId="0" fillId="0" borderId="0" xfId="0">
      <alignment vertical="center"/>
    </xf>
    <xf numFmtId="0" fontId="1" fillId="0" borderId="1" xfId="32" applyFont="1" applyBorder="1" applyAlignment="1">
      <alignment horizontal="center" vertical="center"/>
    </xf>
    <xf numFmtId="0" fontId="1" fillId="0" borderId="2" xfId="32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1" fillId="2" borderId="1" xfId="32" applyFont="1" applyFill="1" applyBorder="1"/>
    <xf numFmtId="0" fontId="1" fillId="2" borderId="2" xfId="32" applyFont="1" applyFill="1" applyBorder="1"/>
    <xf numFmtId="0" fontId="3" fillId="0" borderId="2" xfId="32" applyFont="1" applyBorder="1"/>
    <xf numFmtId="0" fontId="4" fillId="0" borderId="4" xfId="32" applyFont="1" applyBorder="1"/>
    <xf numFmtId="0" fontId="5" fillId="0" borderId="3" xfId="0" applyFont="1" applyFill="1" applyBorder="1" applyAlignment="1"/>
    <xf numFmtId="0" fontId="3" fillId="2" borderId="0" xfId="32" applyFont="1" applyFill="1" applyBorder="1" applyAlignment="1">
      <alignment horizontal="left"/>
    </xf>
    <xf numFmtId="0" fontId="3" fillId="0" borderId="0" xfId="32" applyFont="1" applyBorder="1"/>
    <xf numFmtId="0" fontId="3" fillId="0" borderId="5" xfId="32" applyFont="1" applyBorder="1"/>
    <xf numFmtId="0" fontId="3" fillId="0" borderId="3" xfId="0" applyFont="1" applyFill="1" applyBorder="1" applyAlignment="1"/>
    <xf numFmtId="0" fontId="3" fillId="0" borderId="3" xfId="51" applyFont="1" applyBorder="1" applyAlignment="1">
      <alignment horizontal="left" vertical="top" wrapText="1"/>
    </xf>
    <xf numFmtId="0" fontId="3" fillId="0" borderId="0" xfId="51" applyFont="1" applyBorder="1" applyAlignment="1">
      <alignment horizontal="left" vertical="top" wrapText="1"/>
    </xf>
    <xf numFmtId="0" fontId="3" fillId="0" borderId="5" xfId="51" applyFont="1" applyBorder="1" applyAlignment="1">
      <alignment horizontal="left" vertical="top" wrapText="1"/>
    </xf>
    <xf numFmtId="176" fontId="3" fillId="0" borderId="3" xfId="0" applyNumberFormat="1" applyFont="1" applyFill="1" applyBorder="1" applyAlignment="1"/>
    <xf numFmtId="0" fontId="3" fillId="0" borderId="3" xfId="32" applyFont="1" applyBorder="1"/>
    <xf numFmtId="0" fontId="3" fillId="0" borderId="6" xfId="51" applyFont="1" applyBorder="1" applyAlignment="1">
      <alignment horizontal="left"/>
    </xf>
    <xf numFmtId="0" fontId="3" fillId="0" borderId="7" xfId="51" applyFont="1" applyBorder="1"/>
    <xf numFmtId="0" fontId="3" fillId="0" borderId="7" xfId="53" applyFont="1" applyBorder="1"/>
    <xf numFmtId="0" fontId="3" fillId="0" borderId="8" xfId="53" applyFont="1" applyBorder="1"/>
    <xf numFmtId="0" fontId="3" fillId="0" borderId="6" xfId="32" applyFont="1" applyBorder="1"/>
    <xf numFmtId="0" fontId="3" fillId="0" borderId="7" xfId="32" applyFont="1" applyBorder="1"/>
    <xf numFmtId="0" fontId="1" fillId="2" borderId="1" xfId="51" applyFont="1" applyFill="1" applyBorder="1"/>
    <xf numFmtId="0" fontId="3" fillId="2" borderId="2" xfId="32" applyFont="1" applyFill="1" applyBorder="1"/>
    <xf numFmtId="0" fontId="3" fillId="2" borderId="4" xfId="32" applyFont="1" applyFill="1" applyBorder="1"/>
    <xf numFmtId="0" fontId="1" fillId="0" borderId="2" xfId="32" applyFont="1" applyBorder="1"/>
    <xf numFmtId="0" fontId="3" fillId="0" borderId="0" xfId="32" applyFont="1"/>
    <xf numFmtId="0" fontId="5" fillId="0" borderId="3" xfId="32" applyFont="1" applyFill="1" applyBorder="1" applyAlignment="1">
      <alignment horizontal="left"/>
    </xf>
    <xf numFmtId="0" fontId="3" fillId="0" borderId="0" xfId="32" applyFont="1" applyFill="1" applyBorder="1" applyAlignment="1">
      <alignment horizontal="left"/>
    </xf>
    <xf numFmtId="0" fontId="3" fillId="0" borderId="0" xfId="32" applyFont="1" applyFill="1" applyBorder="1"/>
    <xf numFmtId="0" fontId="3" fillId="0" borderId="5" xfId="32" applyFont="1" applyFill="1" applyBorder="1"/>
    <xf numFmtId="0" fontId="1" fillId="0" borderId="0" xfId="32" applyFont="1"/>
    <xf numFmtId="0" fontId="3" fillId="0" borderId="0" xfId="51" applyFont="1"/>
    <xf numFmtId="0" fontId="5" fillId="0" borderId="3" xfId="32" applyFont="1" applyFill="1" applyBorder="1" applyAlignment="1">
      <alignment vertical="top" wrapText="1"/>
    </xf>
    <xf numFmtId="0" fontId="3" fillId="0" borderId="0" xfId="32" applyFont="1" applyFill="1" applyBorder="1" applyAlignment="1">
      <alignment vertical="top" wrapText="1"/>
    </xf>
    <xf numFmtId="0" fontId="3" fillId="0" borderId="5" xfId="32" applyFont="1" applyFill="1" applyBorder="1" applyAlignment="1">
      <alignment vertical="top" wrapText="1"/>
    </xf>
    <xf numFmtId="0" fontId="3" fillId="0" borderId="3" xfId="32" applyFont="1" applyFill="1" applyBorder="1" applyAlignment="1">
      <alignment vertical="top" wrapText="1"/>
    </xf>
    <xf numFmtId="0" fontId="3" fillId="0" borderId="6" xfId="0" applyFont="1" applyFill="1" applyBorder="1" applyAlignment="1"/>
    <xf numFmtId="0" fontId="3" fillId="0" borderId="7" xfId="0" applyFont="1" applyFill="1" applyBorder="1" applyAlignment="1"/>
    <xf numFmtId="0" fontId="3" fillId="0" borderId="7" xfId="32" applyFont="1" applyFill="1" applyBorder="1"/>
    <xf numFmtId="0" fontId="3" fillId="0" borderId="8" xfId="32" applyFont="1" applyFill="1" applyBorder="1"/>
    <xf numFmtId="0" fontId="6" fillId="0" borderId="0" xfId="32" applyFont="1"/>
    <xf numFmtId="0" fontId="1" fillId="0" borderId="1" xfId="51" applyFont="1" applyFill="1" applyBorder="1"/>
    <xf numFmtId="0" fontId="1" fillId="0" borderId="0" xfId="32" applyFont="1" applyFill="1"/>
    <xf numFmtId="0" fontId="3" fillId="0" borderId="0" xfId="32" applyFont="1" applyFill="1"/>
    <xf numFmtId="0" fontId="7" fillId="0" borderId="0" xfId="32" applyFont="1" applyBorder="1"/>
    <xf numFmtId="0" fontId="3" fillId="0" borderId="0" xfId="0" applyFont="1" applyFill="1" applyBorder="1" applyAlignment="1"/>
    <xf numFmtId="0" fontId="3" fillId="0" borderId="3" xfId="32" applyFont="1" applyFill="1" applyBorder="1" applyAlignment="1">
      <alignment horizontal="left"/>
    </xf>
    <xf numFmtId="0" fontId="3" fillId="0" borderId="0" xfId="32" applyFont="1" applyFill="1" applyAlignment="1">
      <alignment horizontal="left"/>
    </xf>
    <xf numFmtId="0" fontId="5" fillId="0" borderId="3" xfId="32" applyFont="1" applyBorder="1" applyAlignment="1">
      <alignment horizontal="left"/>
    </xf>
    <xf numFmtId="0" fontId="3" fillId="0" borderId="0" xfId="32" applyFont="1" applyAlignment="1">
      <alignment horizontal="left"/>
    </xf>
    <xf numFmtId="0" fontId="3" fillId="0" borderId="5" xfId="32" applyFont="1" applyBorder="1" applyAlignment="1">
      <alignment horizontal="left"/>
    </xf>
    <xf numFmtId="0" fontId="3" fillId="0" borderId="8" xfId="32" applyFont="1" applyBorder="1"/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32" applyFont="1" applyBorder="1"/>
    <xf numFmtId="0" fontId="4" fillId="0" borderId="4" xfId="51" applyFont="1" applyBorder="1" applyAlignment="1"/>
    <xf numFmtId="179" fontId="3" fillId="0" borderId="0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1" fillId="0" borderId="0" xfId="32" applyFont="1" applyBorder="1"/>
    <xf numFmtId="0" fontId="4" fillId="0" borderId="5" xfId="32" applyFont="1" applyBorder="1"/>
    <xf numFmtId="0" fontId="8" fillId="0" borderId="5" xfId="32" applyFont="1" applyBorder="1" applyAlignment="1">
      <alignment horizontal="right"/>
    </xf>
    <xf numFmtId="176" fontId="3" fillId="0" borderId="6" xfId="0" applyNumberFormat="1" applyFont="1" applyFill="1" applyBorder="1" applyAlignment="1">
      <alignment horizontal="left"/>
    </xf>
    <xf numFmtId="176" fontId="3" fillId="0" borderId="8" xfId="0" applyNumberFormat="1" applyFont="1" applyFill="1" applyBorder="1" applyAlignment="1">
      <alignment horizontal="left"/>
    </xf>
    <xf numFmtId="0" fontId="1" fillId="2" borderId="3" xfId="51" applyFont="1" applyFill="1" applyBorder="1" applyAlignment="1">
      <alignment horizontal="center" vertical="center"/>
    </xf>
    <xf numFmtId="0" fontId="1" fillId="2" borderId="0" xfId="51" applyFont="1" applyFill="1" applyBorder="1" applyAlignment="1">
      <alignment horizontal="center" vertical="center"/>
    </xf>
    <xf numFmtId="0" fontId="1" fillId="2" borderId="0" xfId="32" applyFont="1" applyFill="1" applyBorder="1" applyAlignment="1">
      <alignment horizontal="center" vertical="center"/>
    </xf>
    <xf numFmtId="0" fontId="1" fillId="2" borderId="0" xfId="32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 wrapText="1" shrinkToFit="1"/>
    </xf>
    <xf numFmtId="0" fontId="5" fillId="0" borderId="0" xfId="0" applyFont="1" applyFill="1" applyAlignment="1">
      <alignment horizontal="center" vertical="center" wrapText="1" shrinkToFit="1"/>
    </xf>
    <xf numFmtId="180" fontId="3" fillId="0" borderId="0" xfId="0" applyNumberFormat="1" applyFont="1" applyFill="1" applyBorder="1" applyAlignment="1">
      <alignment horizontal="center" vertical="center" shrinkToFit="1"/>
    </xf>
    <xf numFmtId="181" fontId="3" fillId="0" borderId="0" xfId="0" applyNumberFormat="1" applyFont="1" applyFill="1" applyBorder="1" applyAlignment="1">
      <alignment horizontal="center" vertical="center" wrapText="1" shrinkToFit="1"/>
    </xf>
    <xf numFmtId="182" fontId="3" fillId="0" borderId="0" xfId="0" applyNumberFormat="1" applyFont="1" applyFill="1" applyBorder="1" applyAlignment="1">
      <alignment horizontal="center" vertical="center" wrapText="1" shrinkToFit="1"/>
    </xf>
    <xf numFmtId="0" fontId="3" fillId="0" borderId="9" xfId="52" applyFont="1" applyFill="1" applyBorder="1" applyAlignment="1">
      <alignment horizontal="center" vertical="center" wrapText="1" shrinkToFit="1"/>
    </xf>
    <xf numFmtId="0" fontId="3" fillId="0" borderId="10" xfId="52" applyFont="1" applyFill="1" applyBorder="1" applyAlignment="1">
      <alignment horizontal="center" vertical="center" wrapText="1" shrinkToFit="1"/>
    </xf>
    <xf numFmtId="0" fontId="3" fillId="0" borderId="10" xfId="32" applyFont="1" applyBorder="1" applyAlignment="1">
      <alignment horizontal="center" vertical="center" wrapText="1" shrinkToFit="1"/>
    </xf>
    <xf numFmtId="181" fontId="4" fillId="0" borderId="10" xfId="32" applyNumberFormat="1" applyFont="1" applyBorder="1" applyAlignment="1">
      <alignment horizontal="center" vertical="center" wrapText="1" shrinkToFit="1"/>
    </xf>
    <xf numFmtId="182" fontId="3" fillId="0" borderId="10" xfId="32" applyNumberFormat="1" applyFont="1" applyBorder="1" applyAlignment="1">
      <alignment horizontal="center" vertical="center" wrapText="1" shrinkToFit="1"/>
    </xf>
    <xf numFmtId="180" fontId="1" fillId="3" borderId="3" xfId="32" applyNumberFormat="1" applyFont="1" applyFill="1" applyBorder="1" applyAlignment="1">
      <alignment horizontal="center"/>
    </xf>
    <xf numFmtId="0" fontId="1" fillId="0" borderId="0" xfId="32" applyFont="1" applyFill="1" applyBorder="1" applyAlignment="1">
      <alignment horizontal="left"/>
    </xf>
    <xf numFmtId="0" fontId="1" fillId="0" borderId="0" xfId="32" applyFont="1" applyFill="1" applyBorder="1" applyAlignment="1">
      <alignment horizontal="center"/>
    </xf>
    <xf numFmtId="181" fontId="1" fillId="0" borderId="0" xfId="32" applyNumberFormat="1" applyFont="1" applyFill="1" applyBorder="1" applyAlignment="1">
      <alignment horizontal="center"/>
    </xf>
    <xf numFmtId="182" fontId="1" fillId="0" borderId="0" xfId="32" applyNumberFormat="1" applyFont="1" applyFill="1" applyBorder="1" applyAlignment="1">
      <alignment horizontal="center"/>
    </xf>
    <xf numFmtId="0" fontId="0" fillId="0" borderId="3" xfId="0" applyBorder="1">
      <alignment vertical="center"/>
    </xf>
    <xf numFmtId="0" fontId="5" fillId="0" borderId="0" xfId="32" applyFont="1" applyFill="1" applyAlignment="1">
      <alignment horizontal="center" vertical="center"/>
    </xf>
    <xf numFmtId="0" fontId="0" fillId="0" borderId="0" xfId="0" applyFill="1">
      <alignment vertical="center"/>
    </xf>
    <xf numFmtId="0" fontId="5" fillId="0" borderId="0" xfId="32" applyFont="1" applyFill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" fillId="0" borderId="4" xfId="32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9" fillId="0" borderId="5" xfId="0" applyFont="1" applyFill="1" applyBorder="1" applyAlignment="1"/>
    <xf numFmtId="0" fontId="3" fillId="0" borderId="0" xfId="32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182" fontId="1" fillId="0" borderId="10" xfId="32" applyNumberFormat="1" applyFont="1" applyBorder="1" applyAlignment="1">
      <alignment horizontal="center" vertical="center" wrapText="1" shrinkToFit="1"/>
    </xf>
    <xf numFmtId="182" fontId="1" fillId="0" borderId="11" xfId="32" applyNumberFormat="1" applyFont="1" applyBorder="1" applyAlignment="1">
      <alignment horizontal="center" vertical="center" wrapText="1" shrinkToFit="1"/>
    </xf>
    <xf numFmtId="182" fontId="1" fillId="0" borderId="5" xfId="32" applyNumberFormat="1" applyFont="1" applyFill="1" applyBorder="1" applyAlignment="1">
      <alignment horizontal="center"/>
    </xf>
    <xf numFmtId="0" fontId="0" fillId="0" borderId="5" xfId="0" applyFill="1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12" fillId="0" borderId="0" xfId="0" applyFont="1">
      <alignment vertical="center"/>
    </xf>
    <xf numFmtId="0" fontId="13" fillId="0" borderId="1" xfId="51" applyFont="1" applyBorder="1" applyAlignment="1">
      <alignment horizontal="center"/>
    </xf>
    <xf numFmtId="0" fontId="13" fillId="0" borderId="2" xfId="51" applyFont="1" applyBorder="1" applyAlignment="1">
      <alignment horizontal="center"/>
    </xf>
    <xf numFmtId="0" fontId="1" fillId="2" borderId="2" xfId="51" applyFont="1" applyFill="1" applyBorder="1"/>
    <xf numFmtId="0" fontId="3" fillId="0" borderId="2" xfId="51" applyFont="1" applyBorder="1"/>
    <xf numFmtId="0" fontId="3" fillId="2" borderId="2" xfId="51" applyFont="1" applyFill="1" applyBorder="1"/>
    <xf numFmtId="0" fontId="3" fillId="0" borderId="0" xfId="51" applyFont="1" applyFill="1" applyBorder="1"/>
    <xf numFmtId="0" fontId="3" fillId="0" borderId="5" xfId="51" applyFont="1" applyFill="1" applyBorder="1"/>
    <xf numFmtId="49" fontId="3" fillId="0" borderId="0" xfId="51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176" fontId="3" fillId="0" borderId="0" xfId="0" applyNumberFormat="1" applyFont="1" applyFill="1" applyBorder="1" applyAlignment="1"/>
    <xf numFmtId="176" fontId="3" fillId="0" borderId="0" xfId="0" applyNumberFormat="1" applyFont="1" applyFill="1" applyBorder="1" applyAlignment="1">
      <alignment horizontal="left"/>
    </xf>
    <xf numFmtId="0" fontId="3" fillId="0" borderId="3" xfId="51" applyFont="1" applyFill="1" applyBorder="1"/>
    <xf numFmtId="0" fontId="3" fillId="0" borderId="6" xfId="51" applyFont="1" applyFill="1" applyBorder="1" applyAlignment="1">
      <alignment horizontal="left"/>
    </xf>
    <xf numFmtId="0" fontId="3" fillId="0" borderId="7" xfId="51" applyFont="1" applyFill="1" applyBorder="1" applyAlignment="1">
      <alignment horizontal="left"/>
    </xf>
    <xf numFmtId="0" fontId="3" fillId="0" borderId="7" xfId="51" applyFont="1" applyFill="1" applyBorder="1"/>
    <xf numFmtId="0" fontId="3" fillId="0" borderId="8" xfId="51" applyFont="1" applyFill="1" applyBorder="1"/>
    <xf numFmtId="0" fontId="3" fillId="0" borderId="6" xfId="51" applyFont="1" applyFill="1" applyBorder="1"/>
    <xf numFmtId="0" fontId="1" fillId="0" borderId="2" xfId="51" applyFont="1" applyFill="1" applyBorder="1"/>
    <xf numFmtId="0" fontId="3" fillId="0" borderId="2" xfId="51" applyFont="1" applyFill="1" applyBorder="1"/>
    <xf numFmtId="0" fontId="3" fillId="0" borderId="4" xfId="51" applyFont="1" applyFill="1" applyBorder="1"/>
    <xf numFmtId="0" fontId="1" fillId="0" borderId="5" xfId="32" applyFont="1" applyFill="1" applyBorder="1" applyAlignment="1">
      <alignment horizontal="left"/>
    </xf>
    <xf numFmtId="0" fontId="5" fillId="0" borderId="3" xfId="0" applyFont="1" applyFill="1" applyBorder="1" applyAlignment="1">
      <alignment vertical="top" wrapText="1"/>
    </xf>
    <xf numFmtId="0" fontId="3" fillId="0" borderId="3" xfId="51" applyFont="1" applyFill="1" applyBorder="1" applyAlignment="1">
      <alignment horizontal="center"/>
    </xf>
    <xf numFmtId="0" fontId="3" fillId="0" borderId="0" xfId="51" applyFont="1" applyFill="1" applyBorder="1" applyAlignment="1">
      <alignment horizontal="center"/>
    </xf>
    <xf numFmtId="0" fontId="5" fillId="0" borderId="6" xfId="32" applyFont="1" applyFill="1" applyBorder="1"/>
    <xf numFmtId="0" fontId="1" fillId="0" borderId="1" xfId="51" applyFont="1" applyBorder="1"/>
    <xf numFmtId="0" fontId="3" fillId="0" borderId="4" xfId="51" applyFont="1" applyBorder="1"/>
    <xf numFmtId="0" fontId="1" fillId="0" borderId="0" xfId="51" applyFont="1" applyBorder="1"/>
    <xf numFmtId="0" fontId="3" fillId="0" borderId="3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5" fillId="0" borderId="0" xfId="51" applyFont="1" applyBorder="1"/>
    <xf numFmtId="0" fontId="3" fillId="0" borderId="0" xfId="51" applyFont="1" applyBorder="1"/>
    <xf numFmtId="0" fontId="5" fillId="0" borderId="6" xfId="0" applyFont="1" applyFill="1" applyBorder="1" applyAlignment="1"/>
    <xf numFmtId="0" fontId="3" fillId="0" borderId="8" xfId="51" applyFont="1" applyBorder="1" applyAlignment="1"/>
    <xf numFmtId="0" fontId="1" fillId="0" borderId="3" xfId="51" applyFont="1" applyBorder="1"/>
    <xf numFmtId="0" fontId="3" fillId="0" borderId="8" xfId="0" applyFont="1" applyFill="1" applyBorder="1" applyAlignment="1">
      <alignment horizontal="center"/>
    </xf>
    <xf numFmtId="0" fontId="5" fillId="0" borderId="6" xfId="51" applyFont="1" applyFill="1" applyBorder="1"/>
    <xf numFmtId="0" fontId="5" fillId="0" borderId="7" xfId="51" applyFont="1" applyFill="1" applyBorder="1"/>
    <xf numFmtId="0" fontId="1" fillId="0" borderId="3" xfId="51" applyFont="1" applyBorder="1" applyAlignment="1">
      <alignment horizontal="center" vertical="center"/>
    </xf>
    <xf numFmtId="0" fontId="1" fillId="0" borderId="0" xfId="51" applyFont="1" applyBorder="1" applyAlignment="1">
      <alignment horizontal="center" vertical="center" wrapText="1"/>
    </xf>
    <xf numFmtId="183" fontId="3" fillId="0" borderId="0" xfId="0" applyNumberFormat="1" applyFont="1" applyFill="1" applyBorder="1" applyAlignment="1">
      <alignment horizontal="center" vertical="center" wrapText="1" shrinkToFit="1"/>
    </xf>
    <xf numFmtId="184" fontId="3" fillId="0" borderId="0" xfId="0" applyNumberFormat="1" applyFont="1" applyFill="1" applyBorder="1" applyAlignment="1">
      <alignment horizontal="center" vertical="center" wrapText="1" shrinkToFit="1"/>
    </xf>
    <xf numFmtId="0" fontId="3" fillId="0" borderId="0" xfId="0" applyNumberFormat="1" applyFont="1" applyFill="1" applyBorder="1" applyAlignment="1">
      <alignment horizontal="center" vertical="center" wrapText="1" shrinkToFit="1"/>
    </xf>
    <xf numFmtId="0" fontId="12" fillId="0" borderId="3" xfId="0" applyFont="1" applyBorder="1">
      <alignment vertical="center"/>
    </xf>
    <xf numFmtId="0" fontId="3" fillId="0" borderId="12" xfId="51" applyFont="1" applyBorder="1"/>
    <xf numFmtId="0" fontId="3" fillId="0" borderId="13" xfId="51" applyFont="1" applyBorder="1"/>
    <xf numFmtId="0" fontId="3" fillId="0" borderId="13" xfId="51" applyFont="1" applyBorder="1" applyAlignment="1">
      <alignment horizontal="left"/>
    </xf>
    <xf numFmtId="181" fontId="1" fillId="0" borderId="13" xfId="51" applyNumberFormat="1" applyFont="1" applyFill="1" applyBorder="1" applyAlignment="1">
      <alignment horizontal="center"/>
    </xf>
    <xf numFmtId="0" fontId="1" fillId="0" borderId="13" xfId="51" applyFont="1" applyFill="1" applyBorder="1"/>
    <xf numFmtId="184" fontId="1" fillId="0" borderId="13" xfId="51" applyNumberFormat="1" applyFont="1" applyFill="1" applyBorder="1" applyAlignment="1">
      <alignment horizontal="center"/>
    </xf>
    <xf numFmtId="0" fontId="14" fillId="0" borderId="0" xfId="0" applyFont="1">
      <alignment vertical="center"/>
    </xf>
    <xf numFmtId="0" fontId="12" fillId="0" borderId="0" xfId="0" applyFont="1" applyFill="1">
      <alignment vertical="center"/>
    </xf>
    <xf numFmtId="0" fontId="13" fillId="0" borderId="4" xfId="51" applyFont="1" applyBorder="1" applyAlignment="1">
      <alignment horizontal="center"/>
    </xf>
    <xf numFmtId="0" fontId="9" fillId="0" borderId="2" xfId="0" applyFont="1" applyFill="1" applyBorder="1" applyAlignment="1"/>
    <xf numFmtId="0" fontId="9" fillId="0" borderId="0" xfId="0" applyFont="1" applyFill="1" applyAlignment="1"/>
    <xf numFmtId="0" fontId="9" fillId="0" borderId="7" xfId="0" applyFont="1" applyFill="1" applyBorder="1" applyAlignment="1">
      <alignment vertical="center"/>
    </xf>
    <xf numFmtId="0" fontId="15" fillId="0" borderId="8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5" xfId="0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5" xfId="0" applyFont="1" applyFill="1" applyBorder="1" applyAlignment="1">
      <alignment vertical="center"/>
    </xf>
    <xf numFmtId="0" fontId="9" fillId="0" borderId="0" xfId="0" applyFont="1" applyFill="1" applyBorder="1" applyAlignment="1"/>
    <xf numFmtId="0" fontId="4" fillId="0" borderId="7" xfId="32" applyFont="1" applyFill="1" applyBorder="1"/>
    <xf numFmtId="0" fontId="9" fillId="0" borderId="7" xfId="0" applyFont="1" applyFill="1" applyBorder="1" applyAlignment="1"/>
    <xf numFmtId="0" fontId="11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wrapText="1" shrinkToFit="1"/>
    </xf>
    <xf numFmtId="0" fontId="12" fillId="0" borderId="7" xfId="0" applyFont="1" applyBorder="1">
      <alignment vertical="center"/>
    </xf>
    <xf numFmtId="0" fontId="12" fillId="0" borderId="8" xfId="0" applyFont="1" applyFill="1" applyBorder="1">
      <alignment vertical="center"/>
    </xf>
    <xf numFmtId="182" fontId="1" fillId="0" borderId="13" xfId="51" applyNumberFormat="1" applyFont="1" applyFill="1" applyBorder="1" applyAlignment="1">
      <alignment horizontal="center"/>
    </xf>
    <xf numFmtId="0" fontId="11" fillId="0" borderId="7" xfId="0" applyFont="1" applyFill="1" applyBorder="1" applyAlignment="1"/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_ET_STYLE_NoName_00_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一般_OMRON海運出口" xfId="32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一般_OMRON" xfId="51"/>
    <cellStyle name="常规_Sheet1_1" xfId="52"/>
    <cellStyle name="常规_啟德一般貿易" xfId="53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27"/>
  <sheetViews>
    <sheetView tabSelected="1" view="pageBreakPreview" zoomScaleNormal="100" topLeftCell="A18" workbookViewId="0">
      <selection activeCell="B27" sqref="B27"/>
    </sheetView>
  </sheetViews>
  <sheetFormatPr defaultColWidth="9" defaultRowHeight="22.5"/>
  <cols>
    <col min="1" max="1" width="10.875" style="109" customWidth="1"/>
    <col min="2" max="2" width="12" style="109" customWidth="1"/>
    <col min="3" max="3" width="11.5" style="109" customWidth="1"/>
    <col min="4" max="4" width="20.5" style="109" customWidth="1"/>
    <col min="5" max="10" width="9" style="109"/>
    <col min="11" max="11" width="5.25" style="109" customWidth="1"/>
    <col min="12" max="16384" width="9" style="109"/>
  </cols>
  <sheetData>
    <row r="1" ht="23.25" spans="1:15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64"/>
    </row>
    <row r="2" ht="13.5" spans="1:15">
      <c r="A2" s="25" t="s">
        <v>1</v>
      </c>
      <c r="B2" s="112"/>
      <c r="C2" s="113"/>
      <c r="D2" s="8"/>
      <c r="E2" s="25" t="s">
        <v>2</v>
      </c>
      <c r="F2" s="114"/>
      <c r="G2" s="114"/>
      <c r="H2" s="113"/>
      <c r="I2" s="113"/>
      <c r="J2" s="165"/>
      <c r="K2" s="165"/>
      <c r="L2" s="165"/>
      <c r="M2" s="165"/>
      <c r="N2" s="165"/>
      <c r="O2" s="98"/>
    </row>
    <row r="3" ht="13.5" spans="1:15">
      <c r="A3" s="9" t="s">
        <v>3</v>
      </c>
      <c r="B3" s="31"/>
      <c r="C3" s="115"/>
      <c r="D3" s="116"/>
      <c r="E3" s="13" t="s">
        <v>4</v>
      </c>
      <c r="F3" s="115"/>
      <c r="G3" s="117"/>
      <c r="H3" s="117"/>
      <c r="I3" s="115"/>
      <c r="J3" s="166"/>
      <c r="K3" s="166"/>
      <c r="L3" s="166"/>
      <c r="M3" s="166"/>
      <c r="N3" s="166"/>
      <c r="O3" s="98"/>
    </row>
    <row r="4" ht="13.5" spans="1:15">
      <c r="A4" s="118" t="s">
        <v>5</v>
      </c>
      <c r="B4" s="119"/>
      <c r="C4" s="119"/>
      <c r="D4" s="120"/>
      <c r="E4" s="17">
        <v>45999</v>
      </c>
      <c r="F4" s="121"/>
      <c r="G4" s="121"/>
      <c r="H4" s="122"/>
      <c r="I4" s="115"/>
      <c r="J4" s="166"/>
      <c r="K4" s="166"/>
      <c r="L4" s="166"/>
      <c r="M4" s="166"/>
      <c r="N4" s="166"/>
      <c r="O4" s="98"/>
    </row>
    <row r="5" ht="13.5" spans="1:15">
      <c r="A5" s="118"/>
      <c r="B5" s="119"/>
      <c r="C5" s="119"/>
      <c r="D5" s="120"/>
      <c r="E5" s="123"/>
      <c r="F5" s="115"/>
      <c r="G5" s="115"/>
      <c r="H5" s="115"/>
      <c r="I5" s="115"/>
      <c r="J5" s="166"/>
      <c r="K5" s="166"/>
      <c r="L5" s="166"/>
      <c r="M5" s="166"/>
      <c r="N5" s="166"/>
      <c r="O5" s="98"/>
    </row>
    <row r="6" ht="13.5" spans="1:15">
      <c r="A6" s="124"/>
      <c r="B6" s="125"/>
      <c r="C6" s="126"/>
      <c r="D6" s="127"/>
      <c r="E6" s="128"/>
      <c r="F6" s="126"/>
      <c r="G6" s="126"/>
      <c r="H6" s="126"/>
      <c r="I6" s="126"/>
      <c r="J6" s="167"/>
      <c r="K6" s="167"/>
      <c r="L6" s="167"/>
      <c r="M6" s="167"/>
      <c r="N6" s="167"/>
      <c r="O6" s="168"/>
    </row>
    <row r="7" ht="13.5" spans="1:15">
      <c r="A7" s="45" t="s">
        <v>6</v>
      </c>
      <c r="B7" s="129"/>
      <c r="C7" s="130"/>
      <c r="D7" s="131"/>
      <c r="E7" s="45" t="s">
        <v>7</v>
      </c>
      <c r="F7" s="130"/>
      <c r="G7" s="130"/>
      <c r="H7" s="130"/>
      <c r="I7" s="130"/>
      <c r="J7" s="169"/>
      <c r="K7" s="170"/>
      <c r="L7" s="170"/>
      <c r="M7" s="170"/>
      <c r="N7" s="170"/>
      <c r="O7" s="171"/>
    </row>
    <row r="8" ht="13.5" spans="1:15">
      <c r="A8" s="30" t="s">
        <v>8</v>
      </c>
      <c r="B8" s="31"/>
      <c r="C8" s="86"/>
      <c r="D8" s="132"/>
      <c r="E8" s="123"/>
      <c r="F8" s="115"/>
      <c r="G8" s="115"/>
      <c r="H8" s="115"/>
      <c r="I8" s="115"/>
      <c r="J8" s="170"/>
      <c r="K8" s="170"/>
      <c r="L8" s="170"/>
      <c r="M8" s="170"/>
      <c r="N8" s="170"/>
      <c r="O8" s="171"/>
    </row>
    <row r="9" ht="13.5" spans="1:15">
      <c r="A9" s="133" t="s">
        <v>9</v>
      </c>
      <c r="B9" s="119"/>
      <c r="C9" s="119"/>
      <c r="D9" s="120"/>
      <c r="E9" s="134"/>
      <c r="F9" s="135"/>
      <c r="G9" s="135"/>
      <c r="H9" s="135"/>
      <c r="I9" s="135"/>
      <c r="J9" s="172"/>
      <c r="K9" s="172"/>
      <c r="L9" s="172"/>
      <c r="M9" s="172"/>
      <c r="N9" s="172"/>
      <c r="O9" s="173"/>
    </row>
    <row r="10" ht="13.5" spans="1:15">
      <c r="A10" s="118"/>
      <c r="B10" s="119"/>
      <c r="C10" s="119"/>
      <c r="D10" s="120"/>
      <c r="E10" s="123"/>
      <c r="F10" s="115"/>
      <c r="G10" s="115"/>
      <c r="H10" s="115"/>
      <c r="I10" s="115"/>
      <c r="J10" s="172"/>
      <c r="K10" s="172"/>
      <c r="L10" s="172"/>
      <c r="M10" s="172"/>
      <c r="N10" s="172"/>
      <c r="O10" s="173"/>
    </row>
    <row r="11" ht="13.5" spans="1:15">
      <c r="A11" s="45" t="s">
        <v>10</v>
      </c>
      <c r="B11" s="130"/>
      <c r="C11" s="130"/>
      <c r="D11" s="131"/>
      <c r="E11" s="45" t="s">
        <v>11</v>
      </c>
      <c r="F11" s="130"/>
      <c r="G11" s="130"/>
      <c r="H11" s="130"/>
      <c r="I11" s="130"/>
      <c r="J11" s="113"/>
      <c r="K11" s="113"/>
      <c r="L11" s="113"/>
      <c r="M11" s="113"/>
      <c r="N11" s="113"/>
      <c r="O11" s="138"/>
    </row>
    <row r="12" ht="13.5" spans="1:15">
      <c r="A12" s="50" t="s">
        <v>12</v>
      </c>
      <c r="B12" s="31"/>
      <c r="C12" s="31"/>
      <c r="D12" s="116"/>
      <c r="E12" s="13" t="s">
        <v>13</v>
      </c>
      <c r="F12" s="49"/>
      <c r="G12" s="49"/>
      <c r="H12" s="49"/>
      <c r="I12" s="49"/>
      <c r="J12" s="174"/>
      <c r="K12" s="174"/>
      <c r="L12" s="174"/>
      <c r="M12" s="174"/>
      <c r="N12" s="174"/>
      <c r="O12" s="98"/>
    </row>
    <row r="13" ht="13.5" spans="1:15">
      <c r="A13" s="136" t="s">
        <v>9</v>
      </c>
      <c r="B13" s="42"/>
      <c r="C13" s="42"/>
      <c r="D13" s="127"/>
      <c r="E13" s="128"/>
      <c r="F13" s="126"/>
      <c r="G13" s="126"/>
      <c r="H13" s="126"/>
      <c r="I13" s="175"/>
      <c r="J13" s="174"/>
      <c r="K13" s="174"/>
      <c r="L13" s="174"/>
      <c r="M13" s="174"/>
      <c r="N13" s="174"/>
      <c r="O13" s="168"/>
    </row>
    <row r="14" ht="13.5" spans="1:15">
      <c r="A14" s="137" t="s">
        <v>14</v>
      </c>
      <c r="B14" s="113"/>
      <c r="C14" s="137" t="s">
        <v>15</v>
      </c>
      <c r="D14" s="138"/>
      <c r="E14" s="139" t="s">
        <v>16</v>
      </c>
      <c r="F14" s="29"/>
      <c r="G14" s="29"/>
      <c r="H14" s="29"/>
      <c r="I14" s="35"/>
      <c r="J14" s="165"/>
      <c r="K14" s="165"/>
      <c r="L14" s="165"/>
      <c r="M14" s="165"/>
      <c r="N14" s="165"/>
      <c r="O14" s="98"/>
    </row>
    <row r="15" ht="13.5" spans="1:15">
      <c r="A15" s="140"/>
      <c r="B15" s="141"/>
      <c r="C15" s="140"/>
      <c r="D15" s="141"/>
      <c r="E15" s="142"/>
      <c r="F15" s="143"/>
      <c r="G15" s="143"/>
      <c r="H15" s="143"/>
      <c r="I15" s="35"/>
      <c r="J15" s="174"/>
      <c r="K15" s="174"/>
      <c r="L15" s="174"/>
      <c r="M15" s="174"/>
      <c r="N15" s="174"/>
      <c r="O15" s="98"/>
    </row>
    <row r="16" ht="13.5" spans="1:15">
      <c r="A16" s="40"/>
      <c r="B16" s="41"/>
      <c r="C16" s="144"/>
      <c r="D16" s="145"/>
      <c r="E16" s="142"/>
      <c r="F16" s="49"/>
      <c r="G16" s="143"/>
      <c r="H16" s="143"/>
      <c r="I16" s="35"/>
      <c r="J16" s="174"/>
      <c r="K16" s="174"/>
      <c r="L16" s="174"/>
      <c r="M16" s="174"/>
      <c r="N16" s="174"/>
      <c r="O16" s="98"/>
    </row>
    <row r="17" ht="13.5" spans="1:15">
      <c r="A17" s="137" t="s">
        <v>17</v>
      </c>
      <c r="B17" s="138"/>
      <c r="C17" s="146" t="s">
        <v>18</v>
      </c>
      <c r="D17" s="66"/>
      <c r="E17" s="142"/>
      <c r="F17" s="49"/>
      <c r="G17" s="35"/>
      <c r="H17" s="35"/>
      <c r="I17" s="35"/>
      <c r="J17" s="174"/>
      <c r="K17" s="174"/>
      <c r="L17" s="174"/>
      <c r="M17" s="174"/>
      <c r="N17" s="174"/>
      <c r="O17" s="98"/>
    </row>
    <row r="18" ht="13.5" spans="1:15">
      <c r="A18" s="61"/>
      <c r="B18" s="147"/>
      <c r="C18" s="67"/>
      <c r="D18" s="68"/>
      <c r="E18" s="148" t="s">
        <v>19</v>
      </c>
      <c r="F18" s="149" t="s">
        <v>20</v>
      </c>
      <c r="G18" s="20"/>
      <c r="H18" s="20"/>
      <c r="I18" s="20"/>
      <c r="J18" s="176"/>
      <c r="K18" s="174"/>
      <c r="L18" s="174"/>
      <c r="M18" s="174"/>
      <c r="N18" s="174"/>
      <c r="O18" s="98"/>
    </row>
    <row r="19" ht="24" spans="1:15">
      <c r="A19" s="150" t="s">
        <v>21</v>
      </c>
      <c r="B19" s="70" t="s">
        <v>22</v>
      </c>
      <c r="C19" s="70" t="s">
        <v>23</v>
      </c>
      <c r="D19" s="151" t="s">
        <v>24</v>
      </c>
      <c r="E19" s="70" t="s">
        <v>25</v>
      </c>
      <c r="F19" s="70" t="s">
        <v>26</v>
      </c>
      <c r="G19" s="70" t="s">
        <v>27</v>
      </c>
      <c r="H19" s="70" t="s">
        <v>28</v>
      </c>
      <c r="I19" s="70" t="s">
        <v>29</v>
      </c>
      <c r="J19" s="177" t="s">
        <v>30</v>
      </c>
      <c r="K19" s="177" t="s">
        <v>31</v>
      </c>
      <c r="L19" s="178" t="s">
        <v>32</v>
      </c>
      <c r="M19" s="178" t="s">
        <v>33</v>
      </c>
      <c r="N19" s="178" t="s">
        <v>34</v>
      </c>
      <c r="O19" s="179" t="s">
        <v>35</v>
      </c>
    </row>
    <row r="20" ht="76" customHeight="1" spans="1:15">
      <c r="A20" s="73" t="s">
        <v>36</v>
      </c>
      <c r="B20" s="74" t="s">
        <v>37</v>
      </c>
      <c r="C20" s="74">
        <v>2251000078</v>
      </c>
      <c r="D20" s="76" t="s">
        <v>38</v>
      </c>
      <c r="E20" s="74">
        <v>9150</v>
      </c>
      <c r="F20" s="152" t="s">
        <v>39</v>
      </c>
      <c r="G20" s="153">
        <v>2.05</v>
      </c>
      <c r="H20" s="154" t="s">
        <v>40</v>
      </c>
      <c r="I20" s="79">
        <f>ROUND(E20*G20,2)</f>
        <v>18757.5</v>
      </c>
      <c r="J20" s="74" t="s">
        <v>41</v>
      </c>
      <c r="K20" s="74"/>
      <c r="L20" s="180" t="s">
        <v>42</v>
      </c>
      <c r="M20" s="180" t="s">
        <v>42</v>
      </c>
      <c r="N20" s="75" t="s">
        <v>43</v>
      </c>
      <c r="O20" s="181">
        <f>0.1*E20</f>
        <v>915</v>
      </c>
    </row>
    <row r="21" ht="76" customHeight="1" spans="1:15">
      <c r="A21" s="73" t="s">
        <v>44</v>
      </c>
      <c r="B21" s="74" t="s">
        <v>37</v>
      </c>
      <c r="C21" s="74">
        <v>2251002975</v>
      </c>
      <c r="D21" s="76"/>
      <c r="E21" s="74">
        <v>5</v>
      </c>
      <c r="F21" s="152" t="s">
        <v>39</v>
      </c>
      <c r="G21" s="153">
        <v>2.05</v>
      </c>
      <c r="H21" s="154" t="s">
        <v>40</v>
      </c>
      <c r="I21" s="79">
        <f>ROUND(E21*G21,2)</f>
        <v>10.25</v>
      </c>
      <c r="J21" s="74" t="s">
        <v>41</v>
      </c>
      <c r="K21" s="74"/>
      <c r="L21" s="180" t="s">
        <v>42</v>
      </c>
      <c r="M21" s="180" t="s">
        <v>42</v>
      </c>
      <c r="N21" s="75"/>
      <c r="O21" s="181">
        <f>0.1*E21</f>
        <v>0.5</v>
      </c>
    </row>
    <row r="22" spans="1:15">
      <c r="A22" s="155"/>
      <c r="J22" s="182"/>
      <c r="K22" s="182"/>
      <c r="L22" s="182"/>
      <c r="M22" s="182"/>
      <c r="N22" s="182"/>
      <c r="O22" s="183"/>
    </row>
    <row r="23" ht="13.5" spans="1:15">
      <c r="A23" s="156"/>
      <c r="B23" s="157"/>
      <c r="C23" s="158" t="s">
        <v>45</v>
      </c>
      <c r="D23" s="158"/>
      <c r="E23" s="159">
        <f>SUM(E20:E22)</f>
        <v>9155</v>
      </c>
      <c r="F23" s="160"/>
      <c r="G23" s="161"/>
      <c r="H23" s="161"/>
      <c r="I23" s="184">
        <f>SUM(I20:I22)</f>
        <v>18767.75</v>
      </c>
      <c r="J23" s="185"/>
      <c r="K23" s="185"/>
      <c r="L23" s="185"/>
      <c r="M23" s="185"/>
      <c r="N23" s="185"/>
      <c r="O23" s="184">
        <f>SUM(O20:O22)</f>
        <v>915.5</v>
      </c>
    </row>
    <row r="24" spans="1:10">
      <c r="A24" s="162" t="s">
        <v>46</v>
      </c>
      <c r="B24" s="162" t="s">
        <v>47</v>
      </c>
      <c r="E24" s="163"/>
      <c r="F24" s="163"/>
      <c r="G24" s="163"/>
      <c r="H24" s="163"/>
      <c r="I24" s="163"/>
      <c r="J24" s="163"/>
    </row>
    <row r="25" ht="14.25" spans="1:2">
      <c r="A25" s="162" t="s">
        <v>48</v>
      </c>
      <c r="B25" s="162">
        <v>2358</v>
      </c>
    </row>
    <row r="26" ht="14.25" spans="1:2">
      <c r="A26" s="162" t="s">
        <v>49</v>
      </c>
      <c r="B26" s="162" t="s">
        <v>50</v>
      </c>
    </row>
    <row r="27" ht="14.25" spans="1:2">
      <c r="A27" s="162" t="s">
        <v>51</v>
      </c>
      <c r="B27" s="162" t="s">
        <v>52</v>
      </c>
    </row>
  </sheetData>
  <mergeCells count="10">
    <mergeCell ref="A1:O1"/>
    <mergeCell ref="E9:I9"/>
    <mergeCell ref="A15:B15"/>
    <mergeCell ref="C15:D15"/>
    <mergeCell ref="C18:D18"/>
    <mergeCell ref="C23:D23"/>
    <mergeCell ref="D20:D21"/>
    <mergeCell ref="N20:N21"/>
    <mergeCell ref="A4:D5"/>
    <mergeCell ref="A9:D10"/>
  </mergeCells>
  <pageMargins left="0.75" right="0.75" top="1" bottom="1" header="0.5" footer="0.5"/>
  <pageSetup paperSize="9" scale="5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1"/>
  <sheetViews>
    <sheetView view="pageBreakPreview" zoomScaleNormal="100" topLeftCell="A13" workbookViewId="0">
      <selection activeCell="P13" sqref="P13"/>
    </sheetView>
  </sheetViews>
  <sheetFormatPr defaultColWidth="9" defaultRowHeight="13.5"/>
  <cols>
    <col min="2" max="2" width="11.25" customWidth="1"/>
    <col min="3" max="3" width="11.625" customWidth="1"/>
    <col min="5" max="5" width="16.25" customWidth="1"/>
    <col min="6" max="6" width="10.1333333333333"/>
  </cols>
  <sheetData>
    <row r="1" spans="1:10">
      <c r="A1" s="1" t="s">
        <v>53</v>
      </c>
      <c r="B1" s="2"/>
      <c r="C1" s="2"/>
      <c r="D1" s="2"/>
      <c r="E1" s="2"/>
      <c r="F1" s="2"/>
      <c r="G1" s="2"/>
      <c r="H1" s="2"/>
      <c r="I1" s="2"/>
      <c r="J1" s="96"/>
    </row>
    <row r="2" spans="1:10">
      <c r="A2" s="3"/>
      <c r="B2" s="4"/>
      <c r="C2" s="4"/>
      <c r="D2" s="4"/>
      <c r="E2" s="4"/>
      <c r="F2" s="4"/>
      <c r="G2" s="4"/>
      <c r="H2" s="4"/>
      <c r="I2" s="4"/>
      <c r="J2" s="97"/>
    </row>
    <row r="3" spans="1:10">
      <c r="A3" s="5" t="s">
        <v>1</v>
      </c>
      <c r="B3" s="6"/>
      <c r="C3" s="7"/>
      <c r="D3" s="7"/>
      <c r="E3" s="8"/>
      <c r="F3" s="6" t="s">
        <v>54</v>
      </c>
      <c r="G3" s="7"/>
      <c r="H3" s="7"/>
      <c r="I3" s="7"/>
      <c r="J3" s="98"/>
    </row>
    <row r="4" spans="1:10">
      <c r="A4" s="9" t="s">
        <v>3</v>
      </c>
      <c r="B4" s="10"/>
      <c r="C4" s="11"/>
      <c r="D4" s="11"/>
      <c r="E4" s="12"/>
      <c r="F4" s="13" t="s">
        <v>4</v>
      </c>
      <c r="G4" s="11"/>
      <c r="H4" s="11"/>
      <c r="I4" s="11"/>
      <c r="J4" s="98"/>
    </row>
    <row r="5" spans="1:10">
      <c r="A5" s="14" t="s">
        <v>5</v>
      </c>
      <c r="B5" s="15"/>
      <c r="C5" s="15"/>
      <c r="D5" s="15"/>
      <c r="E5" s="16"/>
      <c r="F5" s="17">
        <v>45999</v>
      </c>
      <c r="G5" s="11"/>
      <c r="H5" s="11"/>
      <c r="I5" s="11"/>
      <c r="J5" s="98"/>
    </row>
    <row r="6" spans="1:10">
      <c r="A6" s="14"/>
      <c r="B6" s="15"/>
      <c r="C6" s="15"/>
      <c r="D6" s="15"/>
      <c r="E6" s="16"/>
      <c r="F6" s="18"/>
      <c r="G6" s="11"/>
      <c r="H6" s="11"/>
      <c r="I6" s="11"/>
      <c r="J6" s="98"/>
    </row>
    <row r="7" spans="1:10">
      <c r="A7" s="19"/>
      <c r="B7" s="20"/>
      <c r="C7" s="21"/>
      <c r="D7" s="21"/>
      <c r="E7" s="22"/>
      <c r="F7" s="23"/>
      <c r="G7" s="24"/>
      <c r="H7" s="24"/>
      <c r="I7" s="24"/>
      <c r="J7" s="55"/>
    </row>
    <row r="8" spans="1:10">
      <c r="A8" s="25" t="s">
        <v>6</v>
      </c>
      <c r="B8" s="6"/>
      <c r="C8" s="26"/>
      <c r="D8" s="26"/>
      <c r="E8" s="27"/>
      <c r="F8" s="28" t="s">
        <v>55</v>
      </c>
      <c r="G8" s="29"/>
      <c r="H8" s="29"/>
      <c r="I8" s="29"/>
      <c r="J8" s="98"/>
    </row>
    <row r="9" spans="1:10">
      <c r="A9" s="30" t="s">
        <v>8</v>
      </c>
      <c r="B9" s="31"/>
      <c r="C9" s="32"/>
      <c r="D9" s="32"/>
      <c r="E9" s="33"/>
      <c r="F9" s="34"/>
      <c r="G9" s="35"/>
      <c r="H9" s="35"/>
      <c r="I9" s="35"/>
      <c r="J9" s="98"/>
    </row>
    <row r="10" spans="1:10">
      <c r="A10" s="36" t="s">
        <v>9</v>
      </c>
      <c r="B10" s="37"/>
      <c r="C10" s="37"/>
      <c r="D10" s="37"/>
      <c r="E10" s="38"/>
      <c r="F10" s="34"/>
      <c r="G10" s="29"/>
      <c r="H10" s="11"/>
      <c r="I10" s="35"/>
      <c r="J10" s="98"/>
    </row>
    <row r="11" spans="1:10">
      <c r="A11" s="39"/>
      <c r="B11" s="37"/>
      <c r="C11" s="37"/>
      <c r="D11" s="37"/>
      <c r="E11" s="38"/>
      <c r="F11" s="34"/>
      <c r="G11" s="29"/>
      <c r="H11" s="11"/>
      <c r="I11" s="35"/>
      <c r="J11" s="98"/>
    </row>
    <row r="12" spans="1:10">
      <c r="A12" s="40"/>
      <c r="B12" s="41"/>
      <c r="C12" s="42"/>
      <c r="D12" s="42"/>
      <c r="E12" s="43"/>
      <c r="F12" s="11"/>
      <c r="G12" s="44"/>
      <c r="H12" s="44"/>
      <c r="I12" s="29"/>
      <c r="J12" s="98"/>
    </row>
    <row r="13" ht="16.5" spans="1:10">
      <c r="A13" s="45" t="s">
        <v>10</v>
      </c>
      <c r="B13" s="46"/>
      <c r="C13" s="47"/>
      <c r="D13" s="47"/>
      <c r="E13" s="33"/>
      <c r="F13" s="48"/>
      <c r="G13" s="49"/>
      <c r="H13" s="11"/>
      <c r="I13" s="29"/>
      <c r="J13" s="98"/>
    </row>
    <row r="14" ht="16.5" spans="1:10">
      <c r="A14" s="50" t="s">
        <v>12</v>
      </c>
      <c r="B14" s="51"/>
      <c r="C14" s="51"/>
      <c r="D14" s="51"/>
      <c r="E14" s="33"/>
      <c r="F14" s="48"/>
      <c r="G14" s="49"/>
      <c r="H14" s="11"/>
      <c r="I14" s="29"/>
      <c r="J14" s="98"/>
    </row>
    <row r="15" spans="1:10">
      <c r="A15" s="52" t="s">
        <v>9</v>
      </c>
      <c r="B15" s="53"/>
      <c r="C15" s="11"/>
      <c r="D15" s="11"/>
      <c r="E15" s="54"/>
      <c r="F15" s="29"/>
      <c r="G15" s="29"/>
      <c r="H15" s="29"/>
      <c r="I15" s="29"/>
      <c r="J15" s="98"/>
    </row>
    <row r="16" spans="1:10">
      <c r="A16" s="23"/>
      <c r="B16" s="24"/>
      <c r="C16" s="24"/>
      <c r="D16" s="24"/>
      <c r="E16" s="55"/>
      <c r="F16" s="56"/>
      <c r="G16" s="56"/>
      <c r="H16" s="57"/>
      <c r="I16" s="99"/>
      <c r="J16" s="98"/>
    </row>
    <row r="17" spans="1:10">
      <c r="A17" s="58" t="s">
        <v>56</v>
      </c>
      <c r="B17" s="28"/>
      <c r="C17" s="8"/>
      <c r="D17" s="28" t="s">
        <v>57</v>
      </c>
      <c r="E17" s="59"/>
      <c r="F17" s="56"/>
      <c r="G17" s="56"/>
      <c r="H17" s="60"/>
      <c r="I17" s="29"/>
      <c r="J17" s="98"/>
    </row>
    <row r="18" spans="1:10">
      <c r="A18" s="61"/>
      <c r="B18" s="62"/>
      <c r="C18" s="63"/>
      <c r="D18" s="61"/>
      <c r="E18" s="63"/>
      <c r="F18" s="56"/>
      <c r="G18" s="56"/>
      <c r="H18" s="60"/>
      <c r="I18" s="29"/>
      <c r="J18" s="98"/>
    </row>
    <row r="19" spans="1:10">
      <c r="A19" s="58" t="s">
        <v>17</v>
      </c>
      <c r="B19" s="64"/>
      <c r="C19" s="65"/>
      <c r="D19" s="28" t="s">
        <v>18</v>
      </c>
      <c r="E19" s="66"/>
      <c r="F19" s="11"/>
      <c r="G19" s="29"/>
      <c r="H19" s="29"/>
      <c r="I19" s="29"/>
      <c r="J19" s="98"/>
    </row>
    <row r="20" spans="1:10">
      <c r="A20" s="61"/>
      <c r="B20" s="62"/>
      <c r="C20" s="63"/>
      <c r="D20" s="67"/>
      <c r="E20" s="68"/>
      <c r="F20" s="24"/>
      <c r="G20" s="24"/>
      <c r="H20" s="24"/>
      <c r="I20" s="24"/>
      <c r="J20" s="98"/>
    </row>
    <row r="21" spans="1:10">
      <c r="A21" s="69" t="s">
        <v>58</v>
      </c>
      <c r="B21" s="70" t="s">
        <v>23</v>
      </c>
      <c r="C21" s="70" t="s">
        <v>22</v>
      </c>
      <c r="D21" s="70" t="s">
        <v>24</v>
      </c>
      <c r="E21" s="70"/>
      <c r="F21" s="71" t="s">
        <v>25</v>
      </c>
      <c r="G21" s="71" t="s">
        <v>26</v>
      </c>
      <c r="H21" s="72" t="s">
        <v>59</v>
      </c>
      <c r="I21" s="72" t="s">
        <v>60</v>
      </c>
      <c r="J21" s="100" t="s">
        <v>61</v>
      </c>
    </row>
    <row r="22" spans="1:10">
      <c r="A22" s="69"/>
      <c r="B22" s="70"/>
      <c r="C22" s="70"/>
      <c r="D22" s="70"/>
      <c r="E22" s="70"/>
      <c r="F22" s="71"/>
      <c r="G22" s="71"/>
      <c r="H22" s="72" t="s">
        <v>62</v>
      </c>
      <c r="I22" s="72" t="s">
        <v>62</v>
      </c>
      <c r="J22" s="101"/>
    </row>
    <row r="23" ht="39" customHeight="1" spans="1:10">
      <c r="A23" s="73">
        <v>101</v>
      </c>
      <c r="B23" s="74">
        <v>2251000078</v>
      </c>
      <c r="C23" s="75" t="s">
        <v>37</v>
      </c>
      <c r="D23" s="76" t="s">
        <v>38</v>
      </c>
      <c r="E23" s="76"/>
      <c r="F23" s="77">
        <v>9090</v>
      </c>
      <c r="G23" s="78" t="s">
        <v>39</v>
      </c>
      <c r="H23" s="79">
        <f t="shared" ref="H23:H25" si="0">F23*0.1</f>
        <v>909</v>
      </c>
      <c r="I23" s="79">
        <f>10.6/90*F23+12*7</f>
        <v>1154.6</v>
      </c>
      <c r="J23" s="102" t="s">
        <v>63</v>
      </c>
    </row>
    <row r="24" ht="39" customHeight="1" spans="1:10">
      <c r="A24" s="73">
        <v>1</v>
      </c>
      <c r="B24" s="74">
        <v>2251000078</v>
      </c>
      <c r="C24" s="75"/>
      <c r="D24" s="76"/>
      <c r="E24" s="76"/>
      <c r="F24" s="77">
        <v>60</v>
      </c>
      <c r="G24" s="78" t="s">
        <v>39</v>
      </c>
      <c r="H24" s="79">
        <f t="shared" si="0"/>
        <v>6</v>
      </c>
      <c r="I24" s="79">
        <f>10.6/90*F24</f>
        <v>7.06666666666667</v>
      </c>
      <c r="J24" s="102" t="s">
        <v>63</v>
      </c>
    </row>
    <row r="25" ht="39" customHeight="1" spans="1:10">
      <c r="A25" s="73"/>
      <c r="B25" s="74">
        <v>2251002975</v>
      </c>
      <c r="C25" s="75"/>
      <c r="D25" s="76"/>
      <c r="E25" s="76"/>
      <c r="F25" s="77">
        <v>5</v>
      </c>
      <c r="G25" s="78" t="s">
        <v>39</v>
      </c>
      <c r="H25" s="79">
        <f t="shared" si="0"/>
        <v>0.5</v>
      </c>
      <c r="I25" s="79">
        <f>10.6/90*F25</f>
        <v>0.588888888888889</v>
      </c>
      <c r="J25" s="102"/>
    </row>
    <row r="26" ht="14.25" spans="1:10">
      <c r="A26" s="80"/>
      <c r="B26" s="81"/>
      <c r="C26" s="82"/>
      <c r="D26" s="82"/>
      <c r="E26" s="82"/>
      <c r="F26" s="83"/>
      <c r="G26" s="82"/>
      <c r="H26" s="84"/>
      <c r="I26" s="103"/>
      <c r="J26" s="104"/>
    </row>
    <row r="27" spans="1:10">
      <c r="A27" s="85">
        <f>SUM(A23:A25)</f>
        <v>102</v>
      </c>
      <c r="B27" s="11"/>
      <c r="C27" s="64"/>
      <c r="D27" s="86"/>
      <c r="E27" s="87" t="s">
        <v>64</v>
      </c>
      <c r="F27" s="88">
        <f>SUM(F23:F26)</f>
        <v>9155</v>
      </c>
      <c r="G27" s="87"/>
      <c r="H27" s="89">
        <f>SUM(H23:H26)</f>
        <v>915.5</v>
      </c>
      <c r="I27" s="89">
        <f>SUM(I23:I26)</f>
        <v>1162.25555555556</v>
      </c>
      <c r="J27" s="105" t="s">
        <v>65</v>
      </c>
    </row>
    <row r="28" spans="1:10">
      <c r="A28" s="90"/>
      <c r="E28" s="91" t="s">
        <v>66</v>
      </c>
      <c r="F28" s="47">
        <v>7</v>
      </c>
      <c r="G28" s="92"/>
      <c r="H28" s="92"/>
      <c r="I28" s="92"/>
      <c r="J28" s="106"/>
    </row>
    <row r="29" spans="1:10">
      <c r="A29" s="90"/>
      <c r="E29" s="91" t="s">
        <v>67</v>
      </c>
      <c r="F29" s="93" t="s">
        <v>68</v>
      </c>
      <c r="J29" s="107"/>
    </row>
    <row r="30" spans="1:10">
      <c r="A30" s="90"/>
      <c r="E30" s="91" t="s">
        <v>69</v>
      </c>
      <c r="F30" s="93" t="s">
        <v>70</v>
      </c>
      <c r="J30" s="107"/>
    </row>
    <row r="31" spans="1:10">
      <c r="A31" s="94"/>
      <c r="B31" s="95"/>
      <c r="C31" s="95"/>
      <c r="D31" s="95"/>
      <c r="E31" s="95"/>
      <c r="F31" s="95"/>
      <c r="G31" s="95"/>
      <c r="H31" s="95"/>
      <c r="I31" s="95"/>
      <c r="J31" s="108"/>
    </row>
  </sheetData>
  <mergeCells count="21">
    <mergeCell ref="A1:J1"/>
    <mergeCell ref="F16:G16"/>
    <mergeCell ref="F17:G17"/>
    <mergeCell ref="A18:C18"/>
    <mergeCell ref="D18:E18"/>
    <mergeCell ref="F18:G18"/>
    <mergeCell ref="A20:C20"/>
    <mergeCell ref="D20:E20"/>
    <mergeCell ref="A21:A22"/>
    <mergeCell ref="A24:A25"/>
    <mergeCell ref="B21:B22"/>
    <mergeCell ref="C21:C22"/>
    <mergeCell ref="C23:C25"/>
    <mergeCell ref="F21:F22"/>
    <mergeCell ref="G21:G22"/>
    <mergeCell ref="J21:J22"/>
    <mergeCell ref="J24:J25"/>
    <mergeCell ref="A5:E6"/>
    <mergeCell ref="A10:E11"/>
    <mergeCell ref="D21:E22"/>
    <mergeCell ref="D23:E25"/>
  </mergeCells>
  <pageMargins left="0.75" right="0.75" top="1" bottom="1" header="0.5" footer="0.5"/>
  <pageSetup paperSize="9" scale="85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D000208</cp:lastModifiedBy>
  <dcterms:created xsi:type="dcterms:W3CDTF">2025-07-17T08:11:00Z</dcterms:created>
  <dcterms:modified xsi:type="dcterms:W3CDTF">2025-12-09T00:57:46Z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CBE10A88BECC43B7873138A748935324</vt:lpwstr>
  </property>
  <property fmtid="{D5CDD505-2E9C-101B-9397-08002B2CF9AE}" pid="3" name="KSOProductBuildVer">
    <vt:lpwstr>2052-11.8.2.12118</vt:lpwstr>
  </property>
  <property fmtid="{D5CDD505-2E9C-101B-9397-08002B2CF9AE}" pid="4" name="CalculationRule">
    <vt:i4>0</vt:i4>
  </property>
</Properties>
</file>