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88a5672ee2d58e9/Desktop/1215 中磊 202512150003/"/>
    </mc:Choice>
  </mc:AlternateContent>
  <xr:revisionPtr revIDLastSave="85" documentId="13_ncr:1_{C863A3E4-D137-4467-A8FB-8CCD6215A8AC}" xr6:coauthVersionLast="47" xr6:coauthVersionMax="47" xr10:uidLastSave="{96627905-6E56-419D-8F4C-58B5A1CED975}"/>
  <bookViews>
    <workbookView xWindow="-120" yWindow="-120" windowWidth="29040" windowHeight="15720" activeTab="1" xr2:uid="{00000000-000D-0000-FFFF-FFFF00000000}"/>
  </bookViews>
  <sheets>
    <sheet name="INVOICE" sheetId="1" r:id="rId1"/>
    <sheet name="PACK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4" i="2" l="1"/>
  <c r="F34" i="2"/>
  <c r="I23" i="1"/>
  <c r="I22" i="1"/>
  <c r="I21" i="1"/>
  <c r="I20" i="1"/>
  <c r="E25" i="1"/>
  <c r="H34" i="2"/>
  <c r="I25" i="1" l="1"/>
  <c r="O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D000208</author>
  </authors>
  <commentList>
    <comment ref="K19" authorId="0" shapeId="0" xr:uid="{00000000-0006-0000-0000-000001000000}">
      <text>
        <r>
          <rPr>
            <sz val="14"/>
            <rFont val="宋体"/>
            <charset val="134"/>
          </rPr>
          <t>若是集成电路，需提供晶圆制造地,非集成电路,无需晶圆制造地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D000208</author>
  </authors>
  <commentList>
    <comment ref="E37" authorId="0" shapeId="0" xr:uid="{00000000-0006-0000-0100-000001000000}">
      <text>
        <r>
          <rPr>
            <sz val="10"/>
            <rFont val="宋体"/>
            <charset val="134"/>
          </rPr>
          <t xml:space="preserve">若是托盘，则需要注明托盘材质
</t>
        </r>
      </text>
    </comment>
  </commentList>
</comments>
</file>

<file path=xl/sharedStrings.xml><?xml version="1.0" encoding="utf-8"?>
<sst xmlns="http://schemas.openxmlformats.org/spreadsheetml/2006/main" count="152" uniqueCount="80">
  <si>
    <t>COMMERCIAL INVOICE</t>
  </si>
  <si>
    <t>Shipper/Exporter</t>
  </si>
  <si>
    <t>No. &amp; Date of Invoice</t>
  </si>
  <si>
    <t>Bill To:</t>
  </si>
  <si>
    <t xml:space="preserve"> Payment Term</t>
  </si>
  <si>
    <t>Ship To:</t>
  </si>
  <si>
    <t xml:space="preserve"> Trade Term</t>
  </si>
  <si>
    <t>Port of Loading</t>
  </si>
  <si>
    <t>Port of Discharge</t>
  </si>
  <si>
    <t xml:space="preserve"> Remarks:</t>
  </si>
  <si>
    <t>Carrier</t>
  </si>
  <si>
    <t>Sailing on/or About</t>
  </si>
  <si>
    <t>贸易国：</t>
  </si>
  <si>
    <t>ITEM</t>
  </si>
  <si>
    <t>Part No.</t>
  </si>
  <si>
    <t>PO No.</t>
  </si>
  <si>
    <t>Description of Goods</t>
  </si>
  <si>
    <t>Quantity</t>
  </si>
  <si>
    <t>Unit</t>
  </si>
  <si>
    <t>Unit Price</t>
  </si>
  <si>
    <t>Currency</t>
  </si>
  <si>
    <t>Amount</t>
  </si>
  <si>
    <t>COO</t>
  </si>
  <si>
    <t>COD</t>
  </si>
  <si>
    <t>品牌</t>
  </si>
  <si>
    <t>品牌类型</t>
  </si>
  <si>
    <t>型号</t>
  </si>
  <si>
    <t>PCS</t>
  </si>
  <si>
    <t>USD</t>
  </si>
  <si>
    <t xml:space="preserve">                  TOTAL</t>
  </si>
  <si>
    <t>PACKING LIST</t>
  </si>
  <si>
    <t>No &amp; Date of Invoice</t>
  </si>
  <si>
    <t>Remarks:</t>
  </si>
  <si>
    <t>Port of Departure</t>
  </si>
  <si>
    <t>Port of Arrival</t>
  </si>
  <si>
    <t>CTNS</t>
  </si>
  <si>
    <t>Net WT</t>
  </si>
  <si>
    <t>Gross WT</t>
  </si>
  <si>
    <t>MEASUREMENT  L*W*H(CM)</t>
  </si>
  <si>
    <t>KGS</t>
  </si>
  <si>
    <t>TOTAL</t>
  </si>
  <si>
    <t>件数</t>
  </si>
  <si>
    <t>包装种类</t>
  </si>
  <si>
    <t>托盘材质</t>
  </si>
  <si>
    <t>Semitel International Ltd</t>
  </si>
  <si>
    <t>Semitel International Ltd</t>
    <phoneticPr fontId="9" type="noConversion"/>
  </si>
  <si>
    <t>晶訊國際有限公司</t>
  </si>
  <si>
    <t>晶訊國際有限公司</t>
    <phoneticPr fontId="9" type="noConversion"/>
  </si>
  <si>
    <t>Date：</t>
  </si>
  <si>
    <t>Invoice No：</t>
  </si>
  <si>
    <t>Sernet(Suzhou) Technologies Corporation</t>
  </si>
  <si>
    <t>當月120days T/T</t>
  </si>
  <si>
    <t>FOB HK</t>
  </si>
  <si>
    <t>中国台湾</t>
  </si>
  <si>
    <t>盈速达物流
香港元朗上竹園竹攸路104地段 
LOT 1515 &amp; 1516</t>
  </si>
  <si>
    <t>CN</t>
    <phoneticPr fontId="9" type="noConversion"/>
  </si>
  <si>
    <t>Semitel</t>
    <phoneticPr fontId="9" type="noConversion"/>
  </si>
  <si>
    <t>變壓器</t>
    <phoneticPr fontId="9" type="noConversion"/>
  </si>
  <si>
    <t xml:space="preserve">Beneficiary Name: SEMITEL INTERNATIONAL LTD. </t>
  </si>
  <si>
    <t xml:space="preserve"> </t>
    <phoneticPr fontId="14" type="noConversion"/>
  </si>
  <si>
    <t>Beneficiary's Bank Acc. No.: 001088000371</t>
  </si>
  <si>
    <t xml:space="preserve">Bank Name: CATHAY UNITED BANK, TAIPEI, TAIWAN </t>
  </si>
  <si>
    <t>Bank Street Address:1F., NO. 7, SONGREN ROAD, TAIPEI CITY, 11073, TAIWAN, CHINA</t>
    <phoneticPr fontId="16" type="noConversion"/>
  </si>
  <si>
    <t>Bank ID No. (Swift Code): UWCBTWTP</t>
  </si>
  <si>
    <t>Semitel International Ltd.,</t>
    <phoneticPr fontId="16" type="noConversion"/>
  </si>
  <si>
    <r>
      <rPr>
        <sz val="11"/>
        <rFont val="微軟正黑體"/>
        <family val="2"/>
        <charset val="136"/>
      </rPr>
      <t>盈速达物流
香港元朗上竹園竹攸路</t>
    </r>
    <r>
      <rPr>
        <sz val="11"/>
        <rFont val="Arial"/>
        <family val="2"/>
      </rPr>
      <t>104</t>
    </r>
    <r>
      <rPr>
        <sz val="11"/>
        <rFont val="微軟正黑體"/>
        <family val="2"/>
        <charset val="136"/>
      </rPr>
      <t>地段</t>
    </r>
    <r>
      <rPr>
        <sz val="11"/>
        <rFont val="Arial"/>
        <family val="2"/>
      </rPr>
      <t xml:space="preserve"> 
LOT 1515 &amp; 1516</t>
    </r>
    <phoneticPr fontId="9" type="noConversion"/>
  </si>
  <si>
    <t>Net WT(KGS)</t>
    <phoneticPr fontId="9" type="noConversion"/>
  </si>
  <si>
    <t>托盤</t>
  </si>
  <si>
    <t>再生木托</t>
  </si>
  <si>
    <t>境外品牌（其他）</t>
  </si>
  <si>
    <t>0.2m³</t>
    <phoneticPr fontId="9" type="noConversion"/>
  </si>
  <si>
    <r>
      <t>1</t>
    </r>
    <r>
      <rPr>
        <sz val="11"/>
        <rFont val="微軟正黑體"/>
        <family val="2"/>
        <charset val="136"/>
      </rPr>
      <t>件棧板</t>
    </r>
    <phoneticPr fontId="9" type="noConversion"/>
  </si>
  <si>
    <t>棧板</t>
    <phoneticPr fontId="9" type="noConversion"/>
  </si>
  <si>
    <t>3670004WSM</t>
  </si>
  <si>
    <t>HF-T4-717-A</t>
  </si>
  <si>
    <t>37*36*27</t>
    <phoneticPr fontId="9" type="noConversion"/>
  </si>
  <si>
    <t>366004A4SM</t>
  </si>
  <si>
    <t>EP13-552</t>
  </si>
  <si>
    <t>EP13-552</t>
    <phoneticPr fontId="9" type="noConversion"/>
  </si>
  <si>
    <t>37*36*34.5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</si>
</sst>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yyyy/m/d;@"/>
    <numFmt numFmtId="177" formatCode="0.00_ "/>
    <numFmt numFmtId="178" formatCode="0.00_);[Red]\(0.00\)"/>
    <numFmt numFmtId="179" formatCode="0_ "/>
    <numFmt numFmtId="180" formatCode="0.000_ "/>
    <numFmt numFmtId="181" formatCode="#,##0.00_ "/>
    <numFmt numFmtId="182" formatCode="0.0000_);[Red]\(0.0000\)"/>
    <numFmt numFmtId="183" formatCode="0_);[Red]\(0\)"/>
  </numFmts>
  <fonts count="31">
    <font>
      <sz val="11"/>
      <color theme="1"/>
      <name val="新細明體"/>
      <charset val="134"/>
      <scheme val="minor"/>
    </font>
    <font>
      <b/>
      <sz val="10"/>
      <name val="Arial"/>
      <family val="2"/>
    </font>
    <font>
      <sz val="10"/>
      <color theme="1"/>
      <name val="新細明體"/>
      <family val="1"/>
      <charset val="136"/>
      <scheme val="minor"/>
    </font>
    <font>
      <sz val="10"/>
      <name val="宋体"/>
      <charset val="134"/>
    </font>
    <font>
      <sz val="18"/>
      <color theme="1"/>
      <name val="新細明體"/>
      <family val="1"/>
      <charset val="136"/>
      <scheme val="minor"/>
    </font>
    <font>
      <b/>
      <sz val="18"/>
      <name val="Arial"/>
      <family val="2"/>
    </font>
    <font>
      <sz val="12"/>
      <name val="宋体"/>
      <charset val="134"/>
    </font>
    <font>
      <sz val="12"/>
      <name val="新細明體"/>
      <family val="1"/>
      <charset val="136"/>
    </font>
    <font>
      <sz val="14"/>
      <name val="宋体"/>
      <charset val="134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9"/>
      <name val="新細明體"/>
      <family val="2"/>
      <charset val="136"/>
      <scheme val="minor"/>
    </font>
    <font>
      <sz val="12"/>
      <color theme="1"/>
      <name val="Arial"/>
      <family val="2"/>
    </font>
    <font>
      <sz val="9"/>
      <name val="新細明體"/>
      <family val="1"/>
      <charset val="136"/>
    </font>
    <font>
      <b/>
      <sz val="11"/>
      <name val="Arial"/>
      <family val="2"/>
    </font>
    <font>
      <sz val="11"/>
      <name val="Arial"/>
      <family val="2"/>
    </font>
    <font>
      <sz val="11"/>
      <color rgb="FFFF0000"/>
      <name val="宋体"/>
      <charset val="134"/>
    </font>
    <font>
      <sz val="11"/>
      <name val="新細明體"/>
      <family val="1"/>
      <charset val="136"/>
    </font>
    <font>
      <sz val="11"/>
      <name val="宋体"/>
      <charset val="134"/>
    </font>
    <font>
      <sz val="11"/>
      <name val="微軟正黑體"/>
      <family val="2"/>
      <charset val="136"/>
    </font>
    <font>
      <sz val="11"/>
      <color indexed="12"/>
      <name val="新細明體"/>
      <family val="1"/>
      <charset val="136"/>
    </font>
    <font>
      <sz val="11"/>
      <name val="Arial"/>
      <family val="2"/>
      <charset val="136"/>
    </font>
    <font>
      <sz val="11"/>
      <color rgb="FFFF0000"/>
      <name val="Arial"/>
      <family val="2"/>
    </font>
    <font>
      <b/>
      <sz val="11"/>
      <name val="新細明體"/>
      <family val="1"/>
      <charset val="136"/>
    </font>
    <font>
      <b/>
      <sz val="11"/>
      <name val="宋体"/>
      <charset val="134"/>
    </font>
    <font>
      <sz val="11"/>
      <name val="細明體"/>
      <family val="2"/>
      <charset val="136"/>
    </font>
    <font>
      <sz val="11"/>
      <name val="Times New Roman"/>
      <family val="1"/>
    </font>
    <font>
      <sz val="11"/>
      <name val="微软雅黑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6" fillId="0" borderId="0"/>
    <xf numFmtId="0" fontId="6" fillId="0" borderId="0"/>
    <xf numFmtId="0" fontId="6" fillId="0" borderId="0"/>
    <xf numFmtId="0" fontId="7" fillId="0" borderId="0"/>
  </cellStyleXfs>
  <cellXfs count="202">
    <xf numFmtId="0" fontId="0" fillId="0" borderId="0" xfId="0">
      <alignment vertical="center"/>
    </xf>
    <xf numFmtId="0" fontId="2" fillId="0" borderId="3" xfId="0" applyFont="1" applyBorder="1">
      <alignment vertical="center"/>
    </xf>
    <xf numFmtId="0" fontId="2" fillId="0" borderId="0" xfId="0" applyFont="1">
      <alignment vertical="center"/>
    </xf>
    <xf numFmtId="0" fontId="2" fillId="0" borderId="5" xfId="0" applyFont="1" applyBorder="1">
      <alignment vertical="center"/>
    </xf>
    <xf numFmtId="0" fontId="4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Alignment="1">
      <alignment vertical="center" wrapText="1"/>
    </xf>
    <xf numFmtId="0" fontId="15" fillId="0" borderId="0" xfId="0" applyFont="1" applyBorder="1">
      <alignment vertical="center"/>
    </xf>
    <xf numFmtId="0" fontId="20" fillId="0" borderId="7" xfId="0" applyFont="1" applyFill="1" applyBorder="1" applyAlignment="1">
      <alignment vertical="center"/>
    </xf>
    <xf numFmtId="0" fontId="23" fillId="0" borderId="8" xfId="0" applyFont="1" applyFill="1" applyBorder="1" applyAlignment="1">
      <alignment vertical="center"/>
    </xf>
    <xf numFmtId="0" fontId="20" fillId="0" borderId="2" xfId="0" applyFont="1" applyFill="1" applyBorder="1" applyAlignment="1">
      <alignment vertical="center"/>
    </xf>
    <xf numFmtId="0" fontId="20" fillId="0" borderId="0" xfId="0" applyFont="1" applyFill="1" applyAlignment="1">
      <alignment vertical="center"/>
    </xf>
    <xf numFmtId="0" fontId="20" fillId="0" borderId="5" xfId="0" applyFont="1" applyFill="1" applyBorder="1" applyAlignment="1">
      <alignment vertical="center"/>
    </xf>
    <xf numFmtId="0" fontId="23" fillId="0" borderId="0" xfId="0" applyFont="1" applyFill="1" applyAlignment="1">
      <alignment vertical="center"/>
    </xf>
    <xf numFmtId="0" fontId="23" fillId="0" borderId="5" xfId="0" applyFont="1" applyFill="1" applyBorder="1" applyAlignment="1">
      <alignment vertical="center"/>
    </xf>
    <xf numFmtId="0" fontId="17" fillId="0" borderId="3" xfId="2" applyFont="1" applyBorder="1" applyAlignment="1">
      <alignment horizontal="center" vertical="center"/>
    </xf>
    <xf numFmtId="0" fontId="17" fillId="2" borderId="0" xfId="2" applyFont="1" applyFill="1" applyBorder="1" applyAlignment="1">
      <alignment horizontal="center" vertical="center"/>
    </xf>
    <xf numFmtId="0" fontId="17" fillId="0" borderId="0" xfId="2" applyFont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0" fontId="27" fillId="0" borderId="4" xfId="0" applyFont="1" applyFill="1" applyBorder="1" applyAlignment="1">
      <alignment horizontal="center" vertical="center" wrapText="1"/>
    </xf>
    <xf numFmtId="0" fontId="18" fillId="0" borderId="14" xfId="0" applyFont="1" applyFill="1" applyBorder="1" applyAlignment="1">
      <alignment horizontal="center" vertical="center" wrapText="1" shrinkToFit="1"/>
    </xf>
    <xf numFmtId="0" fontId="18" fillId="3" borderId="14" xfId="0" applyFont="1" applyFill="1" applyBorder="1" applyAlignment="1">
      <alignment horizontal="center" vertical="center" wrapText="1" shrinkToFit="1"/>
    </xf>
    <xf numFmtId="0" fontId="28" fillId="0" borderId="14" xfId="0" applyFont="1" applyFill="1" applyBorder="1" applyAlignment="1">
      <alignment horizontal="center" vertical="center" wrapText="1" shrinkToFit="1"/>
    </xf>
    <xf numFmtId="181" fontId="18" fillId="3" borderId="14" xfId="0" applyNumberFormat="1" applyFont="1" applyFill="1" applyBorder="1" applyAlignment="1">
      <alignment horizontal="center" vertical="center" wrapText="1" shrinkToFit="1"/>
    </xf>
    <xf numFmtId="182" fontId="18" fillId="3" borderId="14" xfId="0" applyNumberFormat="1" applyFont="1" applyFill="1" applyBorder="1" applyAlignment="1">
      <alignment horizontal="center" vertical="center" wrapText="1" shrinkToFit="1"/>
    </xf>
    <xf numFmtId="0" fontId="18" fillId="3" borderId="14" xfId="0" applyNumberFormat="1" applyFont="1" applyFill="1" applyBorder="1" applyAlignment="1">
      <alignment horizontal="center" vertical="center" wrapText="1" shrinkToFit="1"/>
    </xf>
    <xf numFmtId="178" fontId="18" fillId="3" borderId="14" xfId="0" applyNumberFormat="1" applyFont="1" applyFill="1" applyBorder="1" applyAlignment="1">
      <alignment horizontal="center" vertical="center" wrapText="1" shrinkToFit="1"/>
    </xf>
    <xf numFmtId="0" fontId="10" fillId="0" borderId="3" xfId="0" applyFont="1" applyBorder="1">
      <alignment vertical="center"/>
    </xf>
    <xf numFmtId="0" fontId="10" fillId="0" borderId="7" xfId="0" applyFont="1" applyBorder="1">
      <alignment vertical="center"/>
    </xf>
    <xf numFmtId="0" fontId="10" fillId="0" borderId="8" xfId="0" applyFont="1" applyBorder="1">
      <alignment vertical="center"/>
    </xf>
    <xf numFmtId="0" fontId="18" fillId="0" borderId="12" xfId="2" applyFont="1" applyBorder="1" applyAlignment="1">
      <alignment vertical="center"/>
    </xf>
    <xf numFmtId="0" fontId="18" fillId="0" borderId="13" xfId="2" applyFont="1" applyBorder="1" applyAlignment="1">
      <alignment vertical="center"/>
    </xf>
    <xf numFmtId="0" fontId="17" fillId="0" borderId="13" xfId="2" applyFont="1" applyFill="1" applyBorder="1" applyAlignment="1">
      <alignment vertical="center"/>
    </xf>
    <xf numFmtId="182" fontId="17" fillId="0" borderId="13" xfId="2" applyNumberFormat="1" applyFont="1" applyBorder="1" applyAlignment="1">
      <alignment horizontal="center" vertical="center"/>
    </xf>
    <xf numFmtId="178" fontId="17" fillId="3" borderId="13" xfId="2" applyNumberFormat="1" applyFont="1" applyFill="1" applyBorder="1" applyAlignment="1">
      <alignment horizontal="center" vertical="center"/>
    </xf>
    <xf numFmtId="0" fontId="26" fillId="0" borderId="7" xfId="0" applyFont="1" applyFill="1" applyBorder="1" applyAlignment="1">
      <alignment vertical="center"/>
    </xf>
    <xf numFmtId="0" fontId="17" fillId="3" borderId="13" xfId="2" applyNumberFormat="1" applyFont="1" applyFill="1" applyBorder="1" applyAlignment="1">
      <alignment horizontal="center" vertical="center"/>
    </xf>
    <xf numFmtId="0" fontId="17" fillId="2" borderId="0" xfId="2" applyFont="1" applyFill="1" applyBorder="1" applyAlignment="1">
      <alignment horizontal="center" vertical="center" shrinkToFit="1"/>
    </xf>
    <xf numFmtId="0" fontId="17" fillId="2" borderId="1" xfId="2" applyFont="1" applyFill="1" applyBorder="1" applyAlignment="1">
      <alignment vertical="center"/>
    </xf>
    <xf numFmtId="0" fontId="17" fillId="2" borderId="2" xfId="2" applyFont="1" applyFill="1" applyBorder="1" applyAlignment="1">
      <alignment vertical="center"/>
    </xf>
    <xf numFmtId="0" fontId="18" fillId="0" borderId="2" xfId="2" applyFont="1" applyBorder="1" applyAlignment="1">
      <alignment vertical="center"/>
    </xf>
    <xf numFmtId="0" fontId="19" fillId="0" borderId="4" xfId="1" applyFont="1" applyBorder="1" applyAlignment="1">
      <alignment vertical="center"/>
    </xf>
    <xf numFmtId="0" fontId="18" fillId="2" borderId="2" xfId="2" applyFont="1" applyFill="1" applyBorder="1" applyAlignment="1">
      <alignment vertical="center"/>
    </xf>
    <xf numFmtId="0" fontId="18" fillId="3" borderId="3" xfId="0" applyFont="1" applyFill="1" applyBorder="1" applyAlignment="1">
      <alignment vertical="center"/>
    </xf>
    <xf numFmtId="49" fontId="18" fillId="0" borderId="0" xfId="2" applyNumberFormat="1" applyFont="1" applyBorder="1" applyAlignment="1">
      <alignment horizontal="center" vertical="center"/>
    </xf>
    <xf numFmtId="0" fontId="18" fillId="0" borderId="0" xfId="2" applyFont="1" applyBorder="1" applyAlignment="1">
      <alignment vertical="center"/>
    </xf>
    <xf numFmtId="176" fontId="18" fillId="3" borderId="3" xfId="0" applyNumberFormat="1" applyFont="1" applyFill="1" applyBorder="1" applyAlignment="1">
      <alignment vertical="center"/>
    </xf>
    <xf numFmtId="0" fontId="18" fillId="0" borderId="3" xfId="2" applyFont="1" applyBorder="1" applyAlignment="1">
      <alignment vertical="center"/>
    </xf>
    <xf numFmtId="0" fontId="18" fillId="0" borderId="6" xfId="2" applyFont="1" applyBorder="1" applyAlignment="1">
      <alignment horizontal="left" vertical="center"/>
    </xf>
    <xf numFmtId="0" fontId="18" fillId="0" borderId="7" xfId="2" applyFont="1" applyBorder="1" applyAlignment="1">
      <alignment horizontal="left" vertical="center"/>
    </xf>
    <xf numFmtId="0" fontId="18" fillId="0" borderId="7" xfId="2" applyFont="1" applyBorder="1" applyAlignment="1">
      <alignment vertical="center"/>
    </xf>
    <xf numFmtId="0" fontId="18" fillId="0" borderId="8" xfId="2" applyFont="1" applyBorder="1" applyAlignment="1">
      <alignment vertical="center"/>
    </xf>
    <xf numFmtId="0" fontId="18" fillId="0" borderId="6" xfId="2" applyFont="1" applyBorder="1" applyAlignment="1">
      <alignment vertical="center"/>
    </xf>
    <xf numFmtId="0" fontId="18" fillId="2" borderId="4" xfId="2" applyFont="1" applyFill="1" applyBorder="1" applyAlignment="1">
      <alignment vertical="center"/>
    </xf>
    <xf numFmtId="0" fontId="17" fillId="0" borderId="1" xfId="2" applyFont="1" applyBorder="1" applyAlignment="1">
      <alignment vertical="center"/>
    </xf>
    <xf numFmtId="0" fontId="18" fillId="0" borderId="4" xfId="2" applyFont="1" applyBorder="1" applyAlignment="1">
      <alignment vertical="center"/>
    </xf>
    <xf numFmtId="0" fontId="18" fillId="2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0" fontId="19" fillId="0" borderId="7" xfId="1" applyFont="1" applyBorder="1" applyAlignment="1">
      <alignment vertical="center"/>
    </xf>
    <xf numFmtId="0" fontId="17" fillId="0" borderId="0" xfId="2" applyFont="1" applyBorder="1" applyAlignment="1">
      <alignment vertical="center"/>
    </xf>
    <xf numFmtId="0" fontId="18" fillId="0" borderId="0" xfId="1" applyFont="1" applyAlignment="1">
      <alignment vertical="center"/>
    </xf>
    <xf numFmtId="0" fontId="18" fillId="0" borderId="0" xfId="2" applyFont="1" applyAlignment="1">
      <alignment vertical="center"/>
    </xf>
    <xf numFmtId="0" fontId="21" fillId="0" borderId="0" xfId="2" applyFont="1" applyBorder="1" applyAlignment="1">
      <alignment vertical="center"/>
    </xf>
    <xf numFmtId="0" fontId="18" fillId="0" borderId="6" xfId="0" applyFont="1" applyFill="1" applyBorder="1" applyAlignment="1">
      <alignment vertical="center"/>
    </xf>
    <xf numFmtId="0" fontId="18" fillId="0" borderId="7" xfId="0" applyFont="1" applyFill="1" applyBorder="1" applyAlignment="1">
      <alignment vertical="center"/>
    </xf>
    <xf numFmtId="0" fontId="21" fillId="0" borderId="6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17" fillId="0" borderId="3" xfId="2" applyFont="1" applyBorder="1" applyAlignment="1">
      <alignment vertical="center"/>
    </xf>
    <xf numFmtId="0" fontId="25" fillId="0" borderId="5" xfId="1" applyFont="1" applyBorder="1" applyAlignment="1">
      <alignment horizontal="right" vertical="center"/>
    </xf>
    <xf numFmtId="0" fontId="18" fillId="0" borderId="6" xfId="0" applyFont="1" applyFill="1" applyBorder="1" applyAlignment="1">
      <alignment horizontal="left" vertical="center"/>
    </xf>
    <xf numFmtId="0" fontId="18" fillId="0" borderId="8" xfId="0" applyFont="1" applyFill="1" applyBorder="1" applyAlignment="1">
      <alignment horizontal="center" vertical="center"/>
    </xf>
    <xf numFmtId="0" fontId="21" fillId="3" borderId="6" xfId="2" applyFont="1" applyFill="1" applyBorder="1" applyAlignment="1">
      <alignment vertical="center"/>
    </xf>
    <xf numFmtId="0" fontId="27" fillId="2" borderId="2" xfId="0" applyFont="1" applyFill="1" applyBorder="1" applyAlignment="1">
      <alignment horizontal="center" vertical="center" shrinkToFit="1"/>
    </xf>
    <xf numFmtId="0" fontId="10" fillId="0" borderId="0" xfId="0" applyFont="1" applyAlignment="1">
      <alignment vertical="center"/>
    </xf>
    <xf numFmtId="0" fontId="17" fillId="2" borderId="1" xfId="1" applyFont="1" applyFill="1" applyBorder="1" applyAlignment="1">
      <alignment vertical="center"/>
    </xf>
    <xf numFmtId="0" fontId="17" fillId="2" borderId="2" xfId="1" applyFont="1" applyFill="1" applyBorder="1" applyAlignment="1">
      <alignment vertical="center"/>
    </xf>
    <xf numFmtId="0" fontId="18" fillId="0" borderId="2" xfId="1" applyFont="1" applyBorder="1" applyAlignment="1">
      <alignment vertical="center"/>
    </xf>
    <xf numFmtId="0" fontId="18" fillId="0" borderId="0" xfId="1" applyFont="1" applyBorder="1" applyAlignment="1">
      <alignment vertical="center"/>
    </xf>
    <xf numFmtId="0" fontId="18" fillId="0" borderId="3" xfId="2" applyFont="1" applyBorder="1" applyAlignment="1">
      <alignment vertical="center" wrapText="1"/>
    </xf>
    <xf numFmtId="0" fontId="18" fillId="0" borderId="0" xfId="2" applyFont="1" applyBorder="1" applyAlignment="1">
      <alignment vertical="center" wrapText="1"/>
    </xf>
    <xf numFmtId="0" fontId="18" fillId="0" borderId="5" xfId="2" applyFont="1" applyBorder="1" applyAlignment="1">
      <alignment vertical="center" wrapText="1"/>
    </xf>
    <xf numFmtId="0" fontId="18" fillId="0" borderId="3" xfId="1" applyFont="1" applyBorder="1" applyAlignment="1">
      <alignment vertical="center"/>
    </xf>
    <xf numFmtId="0" fontId="18" fillId="0" borderId="7" xfId="4" applyFont="1" applyBorder="1" applyAlignment="1">
      <alignment vertical="center"/>
    </xf>
    <xf numFmtId="0" fontId="18" fillId="0" borderId="8" xfId="4" applyFont="1" applyBorder="1" applyAlignment="1">
      <alignment vertical="center"/>
    </xf>
    <xf numFmtId="0" fontId="18" fillId="0" borderId="6" xfId="1" applyFont="1" applyBorder="1" applyAlignment="1">
      <alignment vertical="center"/>
    </xf>
    <xf numFmtId="0" fontId="18" fillId="0" borderId="7" xfId="1" applyFont="1" applyBorder="1" applyAlignment="1">
      <alignment vertical="center"/>
    </xf>
    <xf numFmtId="0" fontId="18" fillId="0" borderId="8" xfId="1" applyFont="1" applyBorder="1" applyAlignment="1">
      <alignment vertical="center"/>
    </xf>
    <xf numFmtId="0" fontId="18" fillId="2" borderId="2" xfId="1" applyFont="1" applyFill="1" applyBorder="1" applyAlignment="1">
      <alignment vertical="center"/>
    </xf>
    <xf numFmtId="0" fontId="18" fillId="2" borderId="4" xfId="1" applyFont="1" applyFill="1" applyBorder="1" applyAlignment="1">
      <alignment vertical="center"/>
    </xf>
    <xf numFmtId="0" fontId="17" fillId="0" borderId="2" xfId="1" applyFont="1" applyBorder="1" applyAlignment="1">
      <alignment vertical="center"/>
    </xf>
    <xf numFmtId="0" fontId="17" fillId="0" borderId="0" xfId="1" applyFont="1" applyAlignment="1">
      <alignment vertical="center"/>
    </xf>
    <xf numFmtId="0" fontId="29" fillId="0" borderId="0" xfId="1" applyFont="1" applyAlignment="1">
      <alignment vertical="center"/>
    </xf>
    <xf numFmtId="0" fontId="18" fillId="0" borderId="5" xfId="1" applyFont="1" applyBorder="1" applyAlignment="1">
      <alignment vertical="center"/>
    </xf>
    <xf numFmtId="0" fontId="30" fillId="0" borderId="0" xfId="1" applyFont="1" applyBorder="1" applyAlignment="1">
      <alignment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7" fillId="0" borderId="1" xfId="1" applyFont="1" applyBorder="1" applyAlignment="1">
      <alignment vertical="center"/>
    </xf>
    <xf numFmtId="0" fontId="19" fillId="0" borderId="4" xfId="2" applyFont="1" applyBorder="1" applyAlignment="1">
      <alignment vertical="center"/>
    </xf>
    <xf numFmtId="177" fontId="18" fillId="0" borderId="0" xfId="0" applyNumberFormat="1" applyFont="1" applyFill="1" applyBorder="1" applyAlignment="1">
      <alignment horizontal="center" vertical="center"/>
    </xf>
    <xf numFmtId="0" fontId="17" fillId="0" borderId="0" xfId="1" applyFont="1" applyBorder="1" applyAlignment="1">
      <alignment vertical="center"/>
    </xf>
    <xf numFmtId="0" fontId="19" fillId="0" borderId="5" xfId="1" applyFont="1" applyBorder="1" applyAlignment="1">
      <alignment vertical="center"/>
    </xf>
    <xf numFmtId="0" fontId="17" fillId="2" borderId="0" xfId="1" applyFont="1" applyFill="1" applyBorder="1" applyAlignment="1">
      <alignment horizontal="center"/>
    </xf>
    <xf numFmtId="179" fontId="18" fillId="3" borderId="14" xfId="0" applyNumberFormat="1" applyFont="1" applyFill="1" applyBorder="1" applyAlignment="1">
      <alignment horizontal="center" vertical="center" shrinkToFit="1"/>
    </xf>
    <xf numFmtId="180" fontId="18" fillId="3" borderId="14" xfId="0" applyNumberFormat="1" applyFont="1" applyFill="1" applyBorder="1" applyAlignment="1">
      <alignment horizontal="center" vertical="center" wrapText="1" shrinkToFit="1"/>
    </xf>
    <xf numFmtId="0" fontId="18" fillId="0" borderId="9" xfId="3" applyFont="1" applyFill="1" applyBorder="1" applyAlignment="1">
      <alignment horizontal="center" vertical="center" wrapText="1" shrinkToFit="1"/>
    </xf>
    <xf numFmtId="0" fontId="18" fillId="0" borderId="10" xfId="3" applyFont="1" applyFill="1" applyBorder="1" applyAlignment="1">
      <alignment horizontal="center" vertical="center" wrapText="1" shrinkToFit="1"/>
    </xf>
    <xf numFmtId="0" fontId="18" fillId="0" borderId="10" xfId="1" applyFont="1" applyBorder="1" applyAlignment="1">
      <alignment horizontal="center" vertical="center" wrapText="1" shrinkToFit="1"/>
    </xf>
    <xf numFmtId="180" fontId="19" fillId="0" borderId="10" xfId="1" applyNumberFormat="1" applyFont="1" applyBorder="1" applyAlignment="1">
      <alignment horizontal="center" vertical="center" wrapText="1" shrinkToFit="1"/>
    </xf>
    <xf numFmtId="178" fontId="18" fillId="0" borderId="10" xfId="1" applyNumberFormat="1" applyFont="1" applyBorder="1" applyAlignment="1">
      <alignment horizontal="center" vertical="center" wrapText="1" shrinkToFit="1"/>
    </xf>
    <xf numFmtId="178" fontId="17" fillId="0" borderId="11" xfId="1" applyNumberFormat="1" applyFont="1" applyBorder="1" applyAlignment="1">
      <alignment horizontal="center" vertical="center" wrapText="1" shrinkToFit="1"/>
    </xf>
    <xf numFmtId="179" fontId="17" fillId="3" borderId="3" xfId="1" applyNumberFormat="1" applyFont="1" applyFill="1" applyBorder="1" applyAlignment="1">
      <alignment horizontal="center" vertical="center"/>
    </xf>
    <xf numFmtId="0" fontId="17" fillId="0" borderId="0" xfId="1" applyFont="1" applyFill="1" applyBorder="1" applyAlignment="1">
      <alignment horizontal="left" vertical="center"/>
    </xf>
    <xf numFmtId="0" fontId="17" fillId="0" borderId="0" xfId="1" applyFont="1" applyFill="1" applyBorder="1" applyAlignment="1">
      <alignment horizontal="center" vertical="center"/>
    </xf>
    <xf numFmtId="179" fontId="17" fillId="3" borderId="0" xfId="1" applyNumberFormat="1" applyFont="1" applyFill="1" applyBorder="1" applyAlignment="1">
      <alignment horizontal="center" vertical="center"/>
    </xf>
    <xf numFmtId="0" fontId="17" fillId="3" borderId="0" xfId="1" applyFont="1" applyFill="1" applyBorder="1" applyAlignment="1">
      <alignment horizontal="center" vertical="center"/>
    </xf>
    <xf numFmtId="178" fontId="17" fillId="3" borderId="0" xfId="1" applyNumberFormat="1" applyFont="1" applyFill="1" applyBorder="1" applyAlignment="1">
      <alignment horizontal="center" vertical="center"/>
    </xf>
    <xf numFmtId="178" fontId="17" fillId="3" borderId="5" xfId="1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21" fillId="3" borderId="0" xfId="1" applyFont="1" applyFill="1" applyAlignment="1">
      <alignment horizontal="center" vertical="center"/>
    </xf>
    <xf numFmtId="0" fontId="24" fillId="3" borderId="0" xfId="1" applyFont="1" applyFill="1" applyAlignment="1">
      <alignment vertical="center"/>
    </xf>
    <xf numFmtId="0" fontId="10" fillId="0" borderId="5" xfId="0" applyFont="1" applyBorder="1" applyAlignment="1">
      <alignment vertical="center"/>
    </xf>
    <xf numFmtId="0" fontId="21" fillId="3" borderId="0" xfId="1" applyFont="1" applyFill="1" applyAlignment="1">
      <alignment vertical="center"/>
    </xf>
    <xf numFmtId="0" fontId="10" fillId="0" borderId="6" xfId="0" applyFont="1" applyBorder="1">
      <alignment vertical="center"/>
    </xf>
    <xf numFmtId="0" fontId="18" fillId="3" borderId="14" xfId="0" applyFont="1" applyFill="1" applyBorder="1" applyAlignment="1">
      <alignment horizontal="center" vertical="center" wrapText="1"/>
    </xf>
    <xf numFmtId="178" fontId="18" fillId="3" borderId="14" xfId="0" applyNumberFormat="1" applyFont="1" applyFill="1" applyBorder="1" applyAlignment="1">
      <alignment horizontal="center" vertical="center" wrapText="1" shrinkToFit="1"/>
    </xf>
    <xf numFmtId="0" fontId="18" fillId="3" borderId="14" xfId="0" applyFont="1" applyFill="1" applyBorder="1" applyAlignment="1">
      <alignment horizontal="center" vertical="center" wrapText="1" shrinkToFit="1"/>
    </xf>
    <xf numFmtId="0" fontId="28" fillId="3" borderId="14" xfId="0" applyFont="1" applyFill="1" applyBorder="1" applyAlignment="1">
      <alignment horizontal="center" vertical="center" wrapText="1" shrinkToFit="1"/>
    </xf>
    <xf numFmtId="178" fontId="22" fillId="0" borderId="10" xfId="1" applyNumberFormat="1" applyFont="1" applyBorder="1" applyAlignment="1">
      <alignment horizontal="center" vertical="center" wrapText="1" shrinkToFit="1"/>
    </xf>
    <xf numFmtId="0" fontId="18" fillId="0" borderId="14" xfId="0" applyNumberFormat="1" applyFont="1" applyFill="1" applyBorder="1" applyAlignment="1">
      <alignment horizontal="center" vertical="center" wrapText="1" shrinkToFit="1"/>
    </xf>
    <xf numFmtId="0" fontId="18" fillId="3" borderId="16" xfId="0" applyFont="1" applyFill="1" applyBorder="1" applyAlignment="1">
      <alignment horizontal="center" vertical="center" wrapText="1" shrinkToFit="1"/>
    </xf>
    <xf numFmtId="0" fontId="18" fillId="3" borderId="15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8" fillId="0" borderId="13" xfId="2" applyFont="1" applyBorder="1" applyAlignment="1">
      <alignment horizontal="left" vertical="center"/>
    </xf>
    <xf numFmtId="0" fontId="22" fillId="0" borderId="3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22" fillId="0" borderId="5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vertical="center" wrapText="1"/>
    </xf>
    <xf numFmtId="0" fontId="18" fillId="2" borderId="0" xfId="0" applyFont="1" applyFill="1" applyBorder="1" applyAlignment="1">
      <alignment vertical="center" wrapText="1"/>
    </xf>
    <xf numFmtId="0" fontId="18" fillId="2" borderId="5" xfId="0" applyFont="1" applyFill="1" applyBorder="1" applyAlignment="1">
      <alignment vertical="center" wrapText="1"/>
    </xf>
    <xf numFmtId="0" fontId="21" fillId="3" borderId="3" xfId="0" applyFont="1" applyFill="1" applyBorder="1" applyAlignment="1">
      <alignment horizontal="center" vertical="center"/>
    </xf>
    <xf numFmtId="0" fontId="21" fillId="3" borderId="0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18" fillId="3" borderId="3" xfId="1" applyFont="1" applyFill="1" applyBorder="1" applyAlignment="1">
      <alignment horizontal="center" vertical="center"/>
    </xf>
    <xf numFmtId="0" fontId="18" fillId="3" borderId="0" xfId="1" applyFont="1" applyFill="1" applyBorder="1" applyAlignment="1">
      <alignment horizontal="center" vertical="center"/>
    </xf>
    <xf numFmtId="0" fontId="18" fillId="3" borderId="5" xfId="1" applyFont="1" applyFill="1" applyBorder="1" applyAlignment="1">
      <alignment horizontal="center" vertical="center"/>
    </xf>
    <xf numFmtId="0" fontId="24" fillId="3" borderId="3" xfId="1" applyFont="1" applyFill="1" applyBorder="1" applyAlignment="1">
      <alignment horizontal="center" vertical="center" wrapText="1"/>
    </xf>
    <xf numFmtId="0" fontId="24" fillId="3" borderId="0" xfId="1" applyFont="1" applyFill="1" applyBorder="1" applyAlignment="1">
      <alignment horizontal="center" vertical="center" wrapText="1"/>
    </xf>
    <xf numFmtId="0" fontId="24" fillId="3" borderId="5" xfId="1" applyFont="1" applyFill="1" applyBorder="1" applyAlignment="1">
      <alignment horizontal="center" vertical="center" wrapText="1"/>
    </xf>
    <xf numFmtId="0" fontId="24" fillId="3" borderId="6" xfId="1" applyFont="1" applyFill="1" applyBorder="1" applyAlignment="1">
      <alignment horizontal="center" vertical="center" wrapText="1"/>
    </xf>
    <xf numFmtId="0" fontId="24" fillId="3" borderId="7" xfId="1" applyFont="1" applyFill="1" applyBorder="1" applyAlignment="1">
      <alignment horizontal="center" vertical="center" wrapText="1"/>
    </xf>
    <xf numFmtId="0" fontId="24" fillId="3" borderId="8" xfId="1" applyFont="1" applyFill="1" applyBorder="1" applyAlignment="1">
      <alignment horizontal="center" vertical="center" wrapText="1"/>
    </xf>
    <xf numFmtId="183" fontId="18" fillId="2" borderId="0" xfId="0" applyNumberFormat="1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/>
    </xf>
    <xf numFmtId="0" fontId="5" fillId="0" borderId="2" xfId="2" applyFont="1" applyBorder="1" applyAlignment="1">
      <alignment horizontal="center"/>
    </xf>
    <xf numFmtId="0" fontId="5" fillId="0" borderId="4" xfId="2" applyFont="1" applyBorder="1" applyAlignment="1">
      <alignment horizontal="center"/>
    </xf>
    <xf numFmtId="0" fontId="18" fillId="0" borderId="3" xfId="2" applyFont="1" applyBorder="1" applyAlignment="1">
      <alignment horizontal="center" vertical="center"/>
    </xf>
    <xf numFmtId="0" fontId="18" fillId="0" borderId="0" xfId="2" applyFont="1" applyBorder="1" applyAlignment="1">
      <alignment horizontal="center" vertical="center"/>
    </xf>
    <xf numFmtId="0" fontId="18" fillId="0" borderId="3" xfId="0" applyFont="1" applyFill="1" applyBorder="1" applyAlignment="1">
      <alignment horizontal="left" vertical="center"/>
    </xf>
    <xf numFmtId="0" fontId="18" fillId="0" borderId="5" xfId="0" applyFont="1" applyFill="1" applyBorder="1" applyAlignment="1">
      <alignment horizontal="left" vertical="center"/>
    </xf>
    <xf numFmtId="176" fontId="18" fillId="0" borderId="6" xfId="0" applyNumberFormat="1" applyFont="1" applyFill="1" applyBorder="1" applyAlignment="1">
      <alignment horizontal="left" vertical="center"/>
    </xf>
    <xf numFmtId="176" fontId="18" fillId="0" borderId="8" xfId="0" applyNumberFormat="1" applyFont="1" applyFill="1" applyBorder="1" applyAlignment="1">
      <alignment horizontal="left" vertical="center"/>
    </xf>
    <xf numFmtId="14" fontId="18" fillId="2" borderId="0" xfId="2" applyNumberFormat="1" applyFont="1" applyFill="1" applyBorder="1" applyAlignment="1">
      <alignment horizontal="center" vertical="center"/>
    </xf>
    <xf numFmtId="0" fontId="18" fillId="3" borderId="7" xfId="2" applyFont="1" applyFill="1" applyBorder="1" applyAlignment="1">
      <alignment horizontal="center" vertical="center"/>
    </xf>
    <xf numFmtId="178" fontId="18" fillId="3" borderId="15" xfId="0" applyNumberFormat="1" applyFont="1" applyFill="1" applyBorder="1" applyAlignment="1">
      <alignment horizontal="center" vertical="center" wrapText="1" shrinkToFit="1"/>
    </xf>
    <xf numFmtId="178" fontId="18" fillId="3" borderId="16" xfId="0" applyNumberFormat="1" applyFont="1" applyFill="1" applyBorder="1" applyAlignment="1">
      <alignment horizontal="center" vertical="center" wrapText="1" shrinkToFit="1"/>
    </xf>
    <xf numFmtId="0" fontId="18" fillId="3" borderId="15" xfId="0" applyFont="1" applyFill="1" applyBorder="1" applyAlignment="1">
      <alignment horizontal="center" vertical="center" wrapText="1" shrinkToFit="1"/>
    </xf>
    <xf numFmtId="0" fontId="18" fillId="3" borderId="16" xfId="0" applyFont="1" applyFill="1" applyBorder="1" applyAlignment="1">
      <alignment horizontal="center" vertical="center" wrapText="1" shrinkToFit="1"/>
    </xf>
    <xf numFmtId="0" fontId="18" fillId="2" borderId="12" xfId="0" applyFont="1" applyFill="1" applyBorder="1" applyAlignment="1">
      <alignment horizontal="center" vertical="center" shrinkToFit="1"/>
    </xf>
    <xf numFmtId="0" fontId="18" fillId="2" borderId="17" xfId="0" applyFont="1" applyFill="1" applyBorder="1" applyAlignment="1">
      <alignment horizontal="center" vertical="center" shrinkToFit="1"/>
    </xf>
    <xf numFmtId="0" fontId="18" fillId="3" borderId="15" xfId="0" applyFont="1" applyFill="1" applyBorder="1" applyAlignment="1">
      <alignment horizontal="center" vertical="center" wrapText="1"/>
    </xf>
    <xf numFmtId="0" fontId="18" fillId="3" borderId="16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 shrinkToFit="1"/>
    </xf>
    <xf numFmtId="0" fontId="27" fillId="2" borderId="8" xfId="0" applyFont="1" applyFill="1" applyBorder="1" applyAlignment="1">
      <alignment horizontal="center" vertical="center" wrapText="1" shrinkToFit="1"/>
    </xf>
    <xf numFmtId="0" fontId="17" fillId="2" borderId="2" xfId="2" applyFont="1" applyFill="1" applyBorder="1" applyAlignment="1">
      <alignment horizontal="center" vertical="center"/>
    </xf>
    <xf numFmtId="0" fontId="17" fillId="2" borderId="7" xfId="2" applyFont="1" applyFill="1" applyBorder="1" applyAlignment="1">
      <alignment horizontal="center" vertical="center"/>
    </xf>
    <xf numFmtId="0" fontId="17" fillId="2" borderId="1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7" fillId="2" borderId="2" xfId="1" applyFont="1" applyFill="1" applyBorder="1" applyAlignment="1">
      <alignment horizontal="center" vertical="center"/>
    </xf>
    <xf numFmtId="0" fontId="17" fillId="2" borderId="7" xfId="1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left" vertical="center"/>
    </xf>
    <xf numFmtId="0" fontId="18" fillId="0" borderId="7" xfId="0" applyFont="1" applyFill="1" applyBorder="1" applyAlignment="1">
      <alignment horizontal="left" vertical="center"/>
    </xf>
    <xf numFmtId="0" fontId="18" fillId="0" borderId="8" xfId="0" applyFont="1" applyFill="1" applyBorder="1" applyAlignment="1">
      <alignment horizontal="left" vertical="center"/>
    </xf>
    <xf numFmtId="0" fontId="1" fillId="0" borderId="1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7" fillId="0" borderId="0" xfId="0" applyFont="1" applyFill="1" applyBorder="1" applyAlignment="1">
      <alignment horizontal="left" vertical="center"/>
    </xf>
    <xf numFmtId="0" fontId="18" fillId="0" borderId="3" xfId="2" applyFont="1" applyBorder="1" applyAlignment="1">
      <alignment horizontal="center" vertical="center" wrapText="1"/>
    </xf>
    <xf numFmtId="0" fontId="18" fillId="0" borderId="0" xfId="2" applyFont="1" applyBorder="1" applyAlignment="1">
      <alignment horizontal="center" vertical="center" wrapText="1"/>
    </xf>
    <xf numFmtId="0" fontId="18" fillId="0" borderId="5" xfId="2" applyFont="1" applyBorder="1" applyAlignment="1">
      <alignment horizontal="center" vertical="center" wrapText="1"/>
    </xf>
    <xf numFmtId="0" fontId="18" fillId="3" borderId="3" xfId="1" applyFont="1" applyFill="1" applyBorder="1" applyAlignment="1">
      <alignment horizontal="center" vertical="center" wrapText="1"/>
    </xf>
    <xf numFmtId="0" fontId="18" fillId="3" borderId="0" xfId="1" applyFont="1" applyFill="1" applyBorder="1" applyAlignment="1">
      <alignment horizontal="center" vertical="center" wrapText="1"/>
    </xf>
    <xf numFmtId="0" fontId="18" fillId="3" borderId="5" xfId="1" applyFont="1" applyFill="1" applyBorder="1" applyAlignment="1">
      <alignment horizontal="center" vertical="center" wrapText="1"/>
    </xf>
    <xf numFmtId="0" fontId="18" fillId="3" borderId="6" xfId="1" applyFont="1" applyFill="1" applyBorder="1" applyAlignment="1">
      <alignment horizontal="center" vertical="center" wrapText="1"/>
    </xf>
    <xf numFmtId="0" fontId="18" fillId="3" borderId="7" xfId="1" applyFont="1" applyFill="1" applyBorder="1" applyAlignment="1">
      <alignment horizontal="center" vertical="center" wrapText="1"/>
    </xf>
    <xf numFmtId="0" fontId="18" fillId="3" borderId="8" xfId="1" applyFont="1" applyFill="1" applyBorder="1" applyAlignment="1">
      <alignment horizontal="center" vertical="center" wrapText="1"/>
    </xf>
    <xf numFmtId="179" fontId="18" fillId="0" borderId="0" xfId="1" applyNumberFormat="1" applyFont="1" applyBorder="1" applyAlignment="1">
      <alignment horizontal="center" vertical="center"/>
    </xf>
  </cellXfs>
  <cellStyles count="5">
    <cellStyle name="一般" xfId="0" builtinId="0"/>
    <cellStyle name="一般_OMRON" xfId="2" xr:uid="{00000000-0005-0000-0000-000032000000}"/>
    <cellStyle name="一般_OMRON海運出口" xfId="1" xr:uid="{00000000-0005-0000-0000-00001F000000}"/>
    <cellStyle name="常规_Sheet1_1" xfId="3" xr:uid="{00000000-0005-0000-0000-000033000000}"/>
    <cellStyle name="常规_啟德一般貿易" xfId="4" xr:uid="{00000000-0005-0000-0000-000034000000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527690</xdr:colOff>
      <xdr:row>27</xdr:row>
      <xdr:rowOff>54428</xdr:rowOff>
    </xdr:from>
    <xdr:to>
      <xdr:col>14</xdr:col>
      <xdr:colOff>246929</xdr:colOff>
      <xdr:row>32</xdr:row>
      <xdr:rowOff>211688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6F6C535-4F71-4B85-91CF-2ECDACD13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2904" y="8708571"/>
          <a:ext cx="2724417" cy="17901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82966</xdr:colOff>
      <xdr:row>39</xdr:row>
      <xdr:rowOff>157369</xdr:rowOff>
    </xdr:from>
    <xdr:to>
      <xdr:col>8</xdr:col>
      <xdr:colOff>723900</xdr:colOff>
      <xdr:row>46</xdr:row>
      <xdr:rowOff>111539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5A7F77C4-9BC9-44EE-9E16-6BE0D2359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1284" y="8851096"/>
          <a:ext cx="2081807" cy="14088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35"/>
  <sheetViews>
    <sheetView topLeftCell="A16" zoomScaleNormal="100" workbookViewId="0">
      <selection activeCell="C26" sqref="C26"/>
    </sheetView>
  </sheetViews>
  <sheetFormatPr defaultColWidth="9" defaultRowHeight="25.5"/>
  <cols>
    <col min="1" max="1" width="5.5703125" style="4" customWidth="1"/>
    <col min="2" max="2" width="15.85546875" style="4" customWidth="1"/>
    <col min="3" max="3" width="15.140625" style="4" customWidth="1"/>
    <col min="4" max="4" width="9" style="4"/>
    <col min="5" max="5" width="11.42578125" style="4" customWidth="1"/>
    <col min="6" max="6" width="6" style="4" customWidth="1"/>
    <col min="7" max="7" width="10.140625" style="4" customWidth="1"/>
    <col min="8" max="8" width="8.42578125" style="4" customWidth="1"/>
    <col min="9" max="9" width="11" style="4" bestFit="1" customWidth="1"/>
    <col min="10" max="11" width="5.7109375" style="4" customWidth="1"/>
    <col min="12" max="12" width="9.140625" style="4" customWidth="1"/>
    <col min="13" max="13" width="11.140625" style="4" customWidth="1"/>
    <col min="14" max="14" width="16.85546875" style="4" customWidth="1"/>
    <col min="15" max="15" width="10.42578125" style="4" customWidth="1"/>
    <col min="16" max="16384" width="9" style="4"/>
  </cols>
  <sheetData>
    <row r="1" spans="1:15">
      <c r="A1" s="158" t="s">
        <v>0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60"/>
    </row>
    <row r="2" spans="1:15">
      <c r="A2" s="44" t="s">
        <v>1</v>
      </c>
      <c r="B2" s="45"/>
      <c r="C2" s="46"/>
      <c r="D2" s="47"/>
      <c r="E2" s="44" t="s">
        <v>2</v>
      </c>
      <c r="F2" s="48"/>
      <c r="G2" s="48"/>
      <c r="H2" s="46"/>
      <c r="I2" s="46"/>
      <c r="J2" s="15"/>
      <c r="K2" s="15"/>
      <c r="L2" s="15"/>
      <c r="M2" s="15"/>
      <c r="N2" s="15"/>
      <c r="O2" s="17"/>
    </row>
    <row r="3" spans="1:15">
      <c r="A3" s="145" t="s">
        <v>45</v>
      </c>
      <c r="B3" s="146"/>
      <c r="C3" s="146"/>
      <c r="D3" s="147"/>
      <c r="E3" s="49" t="s">
        <v>48</v>
      </c>
      <c r="F3" s="167">
        <v>46006</v>
      </c>
      <c r="G3" s="167"/>
      <c r="H3" s="50"/>
      <c r="I3" s="51"/>
      <c r="J3" s="16"/>
      <c r="K3" s="16"/>
      <c r="L3" s="16"/>
      <c r="M3" s="16"/>
      <c r="N3" s="16"/>
      <c r="O3" s="17"/>
    </row>
    <row r="4" spans="1:15" ht="25.5" customHeight="1">
      <c r="A4" s="139" t="s">
        <v>47</v>
      </c>
      <c r="B4" s="140"/>
      <c r="C4" s="140"/>
      <c r="D4" s="141"/>
      <c r="E4" s="52" t="s">
        <v>49</v>
      </c>
      <c r="F4" s="157">
        <v>202512150003</v>
      </c>
      <c r="G4" s="157"/>
      <c r="H4" s="157"/>
      <c r="I4" s="51"/>
      <c r="J4" s="16"/>
      <c r="K4" s="16"/>
      <c r="L4" s="16"/>
      <c r="M4" s="16"/>
      <c r="N4" s="16"/>
      <c r="O4" s="17"/>
    </row>
    <row r="5" spans="1:15">
      <c r="A5" s="139"/>
      <c r="B5" s="140"/>
      <c r="C5" s="140"/>
      <c r="D5" s="141"/>
      <c r="E5" s="53"/>
      <c r="F5" s="51"/>
      <c r="G5" s="51"/>
      <c r="H5" s="51"/>
      <c r="I5" s="51"/>
      <c r="J5" s="16"/>
      <c r="K5" s="16"/>
      <c r="L5" s="16"/>
      <c r="M5" s="16"/>
      <c r="N5" s="16"/>
      <c r="O5" s="17"/>
    </row>
    <row r="6" spans="1:15">
      <c r="A6" s="54"/>
      <c r="B6" s="55"/>
      <c r="C6" s="56"/>
      <c r="D6" s="57"/>
      <c r="E6" s="58"/>
      <c r="F6" s="56"/>
      <c r="G6" s="56"/>
      <c r="H6" s="56"/>
      <c r="I6" s="56"/>
      <c r="J6" s="13"/>
      <c r="K6" s="13"/>
      <c r="L6" s="13"/>
      <c r="M6" s="13"/>
      <c r="N6" s="13"/>
      <c r="O6" s="14"/>
    </row>
    <row r="7" spans="1:15">
      <c r="A7" s="44" t="s">
        <v>3</v>
      </c>
      <c r="B7" s="45"/>
      <c r="C7" s="48"/>
      <c r="D7" s="59"/>
      <c r="E7" s="60" t="s">
        <v>4</v>
      </c>
      <c r="F7" s="46"/>
      <c r="G7" s="46"/>
      <c r="H7" s="46"/>
      <c r="I7" s="46"/>
      <c r="J7" s="15"/>
      <c r="K7" s="16"/>
      <c r="L7" s="16"/>
      <c r="M7" s="16"/>
      <c r="N7" s="16"/>
      <c r="O7" s="17"/>
    </row>
    <row r="8" spans="1:15">
      <c r="A8" s="148" t="s">
        <v>50</v>
      </c>
      <c r="B8" s="149"/>
      <c r="C8" s="149"/>
      <c r="D8" s="150"/>
      <c r="E8" s="53" t="s">
        <v>51</v>
      </c>
      <c r="F8" s="51"/>
      <c r="G8" s="51"/>
      <c r="H8" s="51"/>
      <c r="I8" s="51"/>
      <c r="J8" s="16"/>
      <c r="K8" s="16"/>
      <c r="L8" s="16"/>
      <c r="M8" s="16"/>
      <c r="N8" s="16"/>
      <c r="O8" s="17"/>
    </row>
    <row r="9" spans="1:15">
      <c r="A9" s="142"/>
      <c r="B9" s="143"/>
      <c r="C9" s="143"/>
      <c r="D9" s="144"/>
      <c r="E9" s="161"/>
      <c r="F9" s="162"/>
      <c r="G9" s="162"/>
      <c r="H9" s="162"/>
      <c r="I9" s="162"/>
      <c r="J9" s="18"/>
      <c r="K9" s="18"/>
      <c r="L9" s="18"/>
      <c r="M9" s="18"/>
      <c r="N9" s="18"/>
      <c r="O9" s="19"/>
    </row>
    <row r="10" spans="1:15">
      <c r="A10" s="142"/>
      <c r="B10" s="143"/>
      <c r="C10" s="143"/>
      <c r="D10" s="144"/>
      <c r="E10" s="53"/>
      <c r="F10" s="51"/>
      <c r="G10" s="51"/>
      <c r="H10" s="51"/>
      <c r="I10" s="51"/>
      <c r="J10" s="18"/>
      <c r="K10" s="18"/>
      <c r="L10" s="18"/>
      <c r="M10" s="18"/>
      <c r="N10" s="18"/>
      <c r="O10" s="19"/>
    </row>
    <row r="11" spans="1:15">
      <c r="A11" s="44" t="s">
        <v>5</v>
      </c>
      <c r="B11" s="46"/>
      <c r="C11" s="46"/>
      <c r="D11" s="61"/>
      <c r="E11" s="44" t="s">
        <v>6</v>
      </c>
      <c r="F11" s="48"/>
      <c r="G11" s="48"/>
      <c r="H11" s="48"/>
      <c r="I11" s="48"/>
      <c r="J11" s="46"/>
      <c r="K11" s="46"/>
      <c r="L11" s="46"/>
      <c r="M11" s="46"/>
      <c r="N11" s="46"/>
      <c r="O11" s="61"/>
    </row>
    <row r="12" spans="1:15" ht="25.5" customHeight="1">
      <c r="A12" s="151" t="s">
        <v>65</v>
      </c>
      <c r="B12" s="152"/>
      <c r="C12" s="152"/>
      <c r="D12" s="153"/>
      <c r="E12" s="49" t="s">
        <v>52</v>
      </c>
      <c r="F12" s="62"/>
      <c r="G12" s="62"/>
      <c r="H12" s="62"/>
      <c r="I12" s="62"/>
      <c r="J12" s="63"/>
      <c r="K12" s="63"/>
      <c r="L12" s="63"/>
      <c r="M12" s="63"/>
      <c r="N12" s="63"/>
      <c r="O12" s="17"/>
    </row>
    <row r="13" spans="1:15">
      <c r="A13" s="154"/>
      <c r="B13" s="155"/>
      <c r="C13" s="155"/>
      <c r="D13" s="156"/>
      <c r="E13" s="58"/>
      <c r="F13" s="56"/>
      <c r="G13" s="56"/>
      <c r="H13" s="56"/>
      <c r="I13" s="64"/>
      <c r="J13" s="63"/>
      <c r="K13" s="63"/>
      <c r="L13" s="63"/>
      <c r="M13" s="63"/>
      <c r="N13" s="63"/>
      <c r="O13" s="14"/>
    </row>
    <row r="14" spans="1:15">
      <c r="A14" s="60" t="s">
        <v>7</v>
      </c>
      <c r="B14" s="46"/>
      <c r="C14" s="60" t="s">
        <v>8</v>
      </c>
      <c r="D14" s="61"/>
      <c r="E14" s="65" t="s">
        <v>9</v>
      </c>
      <c r="F14" s="66"/>
      <c r="G14" s="66"/>
      <c r="H14" s="66"/>
      <c r="I14" s="67"/>
      <c r="J14" s="15"/>
      <c r="K14" s="15"/>
      <c r="L14" s="15"/>
      <c r="M14" s="15"/>
      <c r="N14" s="15"/>
      <c r="O14" s="17"/>
    </row>
    <row r="15" spans="1:15">
      <c r="A15" s="163"/>
      <c r="B15" s="164"/>
      <c r="C15" s="163"/>
      <c r="D15" s="164"/>
      <c r="E15" s="68"/>
      <c r="F15" s="51"/>
      <c r="G15" s="51"/>
      <c r="H15" s="51"/>
      <c r="I15" s="67"/>
      <c r="J15" s="63"/>
      <c r="K15" s="63"/>
      <c r="L15" s="63"/>
      <c r="M15" s="63"/>
      <c r="N15" s="63"/>
      <c r="O15" s="17"/>
    </row>
    <row r="16" spans="1:15">
      <c r="A16" s="69"/>
      <c r="B16" s="70"/>
      <c r="C16" s="71"/>
      <c r="D16" s="57"/>
      <c r="E16" s="68"/>
      <c r="F16" s="72"/>
      <c r="G16" s="51"/>
      <c r="H16" s="51"/>
      <c r="I16" s="67"/>
      <c r="J16" s="63"/>
      <c r="K16" s="63"/>
      <c r="L16" s="63"/>
      <c r="M16" s="63"/>
      <c r="N16" s="63"/>
      <c r="O16" s="17"/>
    </row>
    <row r="17" spans="1:15">
      <c r="A17" s="60" t="s">
        <v>10</v>
      </c>
      <c r="B17" s="61"/>
      <c r="C17" s="73" t="s">
        <v>11</v>
      </c>
      <c r="D17" s="74"/>
      <c r="E17" s="68"/>
      <c r="F17" s="72"/>
      <c r="G17" s="67"/>
      <c r="H17" s="67"/>
      <c r="I17" s="67"/>
      <c r="J17" s="63"/>
      <c r="K17" s="63"/>
      <c r="L17" s="63"/>
      <c r="M17" s="63"/>
      <c r="N17" s="63"/>
      <c r="O17" s="17"/>
    </row>
    <row r="18" spans="1:15">
      <c r="A18" s="75"/>
      <c r="B18" s="76"/>
      <c r="C18" s="165"/>
      <c r="D18" s="166"/>
      <c r="E18" s="77" t="s">
        <v>12</v>
      </c>
      <c r="F18" s="168" t="s">
        <v>53</v>
      </c>
      <c r="G18" s="168"/>
      <c r="H18" s="56"/>
      <c r="I18" s="56"/>
      <c r="J18" s="13"/>
      <c r="K18" s="63"/>
      <c r="L18" s="63"/>
      <c r="M18" s="63"/>
      <c r="N18" s="63"/>
      <c r="O18" s="17"/>
    </row>
    <row r="19" spans="1:15" ht="45">
      <c r="A19" s="20" t="s">
        <v>13</v>
      </c>
      <c r="B19" s="21" t="s">
        <v>14</v>
      </c>
      <c r="C19" s="21" t="s">
        <v>15</v>
      </c>
      <c r="D19" s="22" t="s">
        <v>16</v>
      </c>
      <c r="E19" s="43" t="s">
        <v>17</v>
      </c>
      <c r="F19" s="43" t="s">
        <v>18</v>
      </c>
      <c r="G19" s="43" t="s">
        <v>19</v>
      </c>
      <c r="H19" s="43" t="s">
        <v>20</v>
      </c>
      <c r="I19" s="43" t="s">
        <v>21</v>
      </c>
      <c r="J19" s="23" t="s">
        <v>22</v>
      </c>
      <c r="K19" s="23" t="s">
        <v>23</v>
      </c>
      <c r="L19" s="24" t="s">
        <v>24</v>
      </c>
      <c r="M19" s="78" t="s">
        <v>25</v>
      </c>
      <c r="N19" s="24" t="s">
        <v>26</v>
      </c>
      <c r="O19" s="25" t="s">
        <v>66</v>
      </c>
    </row>
    <row r="20" spans="1:15" ht="36" customHeight="1">
      <c r="A20" s="134">
        <v>1</v>
      </c>
      <c r="B20" s="131" t="s">
        <v>76</v>
      </c>
      <c r="C20" s="131">
        <v>2250800185</v>
      </c>
      <c r="D20" s="28" t="s">
        <v>57</v>
      </c>
      <c r="E20" s="27">
        <v>3000</v>
      </c>
      <c r="F20" s="29" t="s">
        <v>27</v>
      </c>
      <c r="G20" s="30">
        <v>0.375</v>
      </c>
      <c r="H20" s="31" t="s">
        <v>28</v>
      </c>
      <c r="I20" s="32">
        <f>ROUND(E20*G20,2)</f>
        <v>1125</v>
      </c>
      <c r="J20" s="27" t="s">
        <v>55</v>
      </c>
      <c r="K20" s="27"/>
      <c r="L20" s="27" t="s">
        <v>56</v>
      </c>
      <c r="M20" s="132" t="s">
        <v>69</v>
      </c>
      <c r="N20" s="131" t="s">
        <v>77</v>
      </c>
      <c r="O20" s="27"/>
    </row>
    <row r="21" spans="1:15" ht="36" customHeight="1">
      <c r="A21" s="26">
        <v>2</v>
      </c>
      <c r="B21" s="131" t="s">
        <v>76</v>
      </c>
      <c r="C21" s="131">
        <v>2250902788</v>
      </c>
      <c r="D21" s="28" t="s">
        <v>57</v>
      </c>
      <c r="E21" s="131">
        <v>1800</v>
      </c>
      <c r="F21" s="29" t="s">
        <v>27</v>
      </c>
      <c r="G21" s="30">
        <v>0.375</v>
      </c>
      <c r="H21" s="31" t="s">
        <v>28</v>
      </c>
      <c r="I21" s="130">
        <f>ROUND(E21*G21,2)</f>
        <v>675</v>
      </c>
      <c r="J21" s="131" t="s">
        <v>55</v>
      </c>
      <c r="K21" s="131"/>
      <c r="L21" s="131" t="s">
        <v>56</v>
      </c>
      <c r="M21" s="132" t="s">
        <v>69</v>
      </c>
      <c r="N21" s="131" t="s">
        <v>77</v>
      </c>
      <c r="O21" s="131"/>
    </row>
    <row r="22" spans="1:15" ht="36" customHeight="1">
      <c r="A22" s="134">
        <v>3</v>
      </c>
      <c r="B22" s="131" t="s">
        <v>73</v>
      </c>
      <c r="C22" s="131">
        <v>2250701280</v>
      </c>
      <c r="D22" s="28" t="s">
        <v>57</v>
      </c>
      <c r="E22" s="27">
        <v>5750</v>
      </c>
      <c r="F22" s="29" t="s">
        <v>27</v>
      </c>
      <c r="G22" s="30">
        <v>0.25800000000000001</v>
      </c>
      <c r="H22" s="31" t="s">
        <v>28</v>
      </c>
      <c r="I22" s="32">
        <f>ROUND(E22*G22,2)</f>
        <v>1483.5</v>
      </c>
      <c r="J22" s="27" t="s">
        <v>55</v>
      </c>
      <c r="K22" s="27"/>
      <c r="L22" s="27" t="s">
        <v>56</v>
      </c>
      <c r="M22" s="132" t="s">
        <v>69</v>
      </c>
      <c r="N22" s="131" t="s">
        <v>74</v>
      </c>
      <c r="O22" s="27"/>
    </row>
    <row r="23" spans="1:15" ht="36" customHeight="1">
      <c r="A23" s="26">
        <v>4</v>
      </c>
      <c r="B23" s="131" t="s">
        <v>73</v>
      </c>
      <c r="C23" s="131">
        <v>2250701280</v>
      </c>
      <c r="D23" s="28" t="s">
        <v>57</v>
      </c>
      <c r="E23" s="131">
        <v>15250</v>
      </c>
      <c r="F23" s="29" t="s">
        <v>27</v>
      </c>
      <c r="G23" s="30">
        <v>0.25800000000000001</v>
      </c>
      <c r="H23" s="31" t="s">
        <v>28</v>
      </c>
      <c r="I23" s="130">
        <f>ROUND(E23*G23,2)</f>
        <v>3934.5</v>
      </c>
      <c r="J23" s="131" t="s">
        <v>55</v>
      </c>
      <c r="K23" s="131"/>
      <c r="L23" s="131" t="s">
        <v>56</v>
      </c>
      <c r="M23" s="132" t="s">
        <v>69</v>
      </c>
      <c r="N23" s="131" t="s">
        <v>74</v>
      </c>
      <c r="O23" s="131"/>
    </row>
    <row r="24" spans="1:15">
      <c r="A24" s="33"/>
      <c r="B24" s="5"/>
      <c r="C24" s="5"/>
      <c r="D24" s="5"/>
      <c r="E24" s="5"/>
      <c r="F24" s="5"/>
      <c r="G24" s="5"/>
      <c r="H24" s="5"/>
      <c r="I24" s="5"/>
      <c r="J24" s="34"/>
      <c r="K24" s="34"/>
      <c r="L24" s="34"/>
      <c r="M24" s="34"/>
      <c r="N24" s="34"/>
      <c r="O24" s="35"/>
    </row>
    <row r="25" spans="1:15">
      <c r="A25" s="36"/>
      <c r="B25" s="37"/>
      <c r="C25" s="138" t="s">
        <v>29</v>
      </c>
      <c r="D25" s="138"/>
      <c r="E25" s="42">
        <f>SUM(E20:E24)</f>
        <v>25800</v>
      </c>
      <c r="F25" s="38"/>
      <c r="G25" s="39"/>
      <c r="H25" s="39"/>
      <c r="I25" s="40">
        <f>SUM(I20:I24)</f>
        <v>7218</v>
      </c>
      <c r="J25" s="41"/>
      <c r="K25" s="41"/>
      <c r="L25" s="41"/>
      <c r="M25" s="41"/>
      <c r="N25" s="41"/>
      <c r="O25" s="40">
        <f>SUM(O20:O24)</f>
        <v>0</v>
      </c>
    </row>
    <row r="27" spans="1:15">
      <c r="A27" s="6" t="s">
        <v>58</v>
      </c>
      <c r="B27" s="6"/>
      <c r="C27" s="7"/>
      <c r="D27" s="7"/>
      <c r="E27" s="7"/>
      <c r="F27" s="8"/>
      <c r="G27" s="9" t="s">
        <v>59</v>
      </c>
      <c r="H27" s="10"/>
      <c r="I27" s="10"/>
    </row>
    <row r="28" spans="1:15">
      <c r="A28" s="6" t="s">
        <v>60</v>
      </c>
      <c r="B28" s="11"/>
      <c r="C28" s="8"/>
      <c r="D28" s="8"/>
      <c r="E28" s="7"/>
      <c r="F28" s="8"/>
      <c r="G28" s="10"/>
      <c r="H28" s="10"/>
      <c r="I28" s="10"/>
    </row>
    <row r="29" spans="1:15">
      <c r="A29" s="6" t="s">
        <v>61</v>
      </c>
      <c r="B29" s="11"/>
      <c r="C29" s="8"/>
      <c r="D29" s="8"/>
      <c r="E29" s="7"/>
      <c r="F29" s="8"/>
      <c r="G29" s="10"/>
      <c r="H29" s="10"/>
      <c r="I29" s="10"/>
    </row>
    <row r="30" spans="1:15">
      <c r="A30" s="6" t="s">
        <v>62</v>
      </c>
      <c r="B30" s="6"/>
      <c r="C30" s="8"/>
      <c r="D30" s="8"/>
      <c r="E30" s="7"/>
      <c r="F30" s="8"/>
      <c r="G30" s="10"/>
      <c r="H30" s="10"/>
      <c r="I30" s="10"/>
    </row>
    <row r="31" spans="1:15">
      <c r="A31" s="6" t="s">
        <v>63</v>
      </c>
      <c r="B31" s="11"/>
      <c r="C31" s="8"/>
      <c r="D31" s="8"/>
      <c r="E31" s="7"/>
      <c r="F31" s="8"/>
      <c r="G31" s="10"/>
      <c r="H31" s="10"/>
      <c r="I31" s="10"/>
    </row>
    <row r="32" spans="1:15">
      <c r="A32" s="8"/>
      <c r="B32" s="8"/>
      <c r="C32" s="8"/>
      <c r="D32" s="7"/>
      <c r="E32" s="8"/>
      <c r="F32" s="10"/>
      <c r="G32" s="10"/>
      <c r="H32" s="10"/>
      <c r="I32" s="10"/>
    </row>
    <row r="33" spans="1:14">
      <c r="A33" s="10"/>
      <c r="B33" s="10"/>
      <c r="C33" s="10"/>
      <c r="D33" s="10"/>
      <c r="E33" s="10"/>
      <c r="F33" s="10"/>
      <c r="G33" s="10"/>
      <c r="H33" s="10"/>
      <c r="I33" s="10"/>
    </row>
    <row r="34" spans="1:14">
      <c r="A34" s="10"/>
      <c r="B34" s="10"/>
      <c r="C34" s="10"/>
      <c r="D34" s="10"/>
      <c r="E34" s="10"/>
      <c r="F34" s="10"/>
      <c r="I34" s="12"/>
      <c r="L34" s="137" t="s">
        <v>64</v>
      </c>
      <c r="M34" s="137"/>
      <c r="N34" s="137"/>
    </row>
    <row r="35" spans="1:14">
      <c r="A35" s="10"/>
      <c r="B35" s="10"/>
      <c r="C35" s="10"/>
      <c r="D35" s="10"/>
      <c r="E35" s="10"/>
      <c r="F35" s="10"/>
      <c r="G35" s="10"/>
    </row>
  </sheetData>
  <mergeCells count="15">
    <mergeCell ref="A1:O1"/>
    <mergeCell ref="E9:I9"/>
    <mergeCell ref="A15:B15"/>
    <mergeCell ref="C15:D15"/>
    <mergeCell ref="C18:D18"/>
    <mergeCell ref="F3:G3"/>
    <mergeCell ref="F18:G18"/>
    <mergeCell ref="L34:N34"/>
    <mergeCell ref="C25:D25"/>
    <mergeCell ref="A4:D5"/>
    <mergeCell ref="A9:D10"/>
    <mergeCell ref="A3:D3"/>
    <mergeCell ref="A8:D8"/>
    <mergeCell ref="A12:D13"/>
    <mergeCell ref="F4:H4"/>
  </mergeCells>
  <phoneticPr fontId="9" type="noConversion"/>
  <pageMargins left="0.25" right="0.25" top="0.75" bottom="0.75" header="0.3" footer="0.3"/>
  <pageSetup paperSize="9" scale="71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J48"/>
  <sheetViews>
    <sheetView tabSelected="1" zoomScaleNormal="100" workbookViewId="0">
      <selection activeCell="L35" sqref="L35"/>
    </sheetView>
  </sheetViews>
  <sheetFormatPr defaultColWidth="9" defaultRowHeight="15.75"/>
  <cols>
    <col min="1" max="1" width="6.140625" customWidth="1"/>
    <col min="2" max="2" width="15.42578125" customWidth="1"/>
    <col min="3" max="3" width="15.85546875" customWidth="1"/>
    <col min="5" max="5" width="13.28515625" customWidth="1"/>
    <col min="6" max="6" width="12" bestFit="1" customWidth="1"/>
    <col min="7" max="7" width="8.7109375" customWidth="1"/>
    <col min="8" max="9" width="12.85546875" customWidth="1"/>
    <col min="10" max="10" width="16.5703125" customWidth="1"/>
  </cols>
  <sheetData>
    <row r="1" spans="1:10">
      <c r="A1" s="188" t="s">
        <v>30</v>
      </c>
      <c r="B1" s="189"/>
      <c r="C1" s="189"/>
      <c r="D1" s="189"/>
      <c r="E1" s="189"/>
      <c r="F1" s="189"/>
      <c r="G1" s="189"/>
      <c r="H1" s="189"/>
      <c r="I1" s="189"/>
      <c r="J1" s="190"/>
    </row>
    <row r="2" spans="1:10">
      <c r="A2" s="1"/>
      <c r="B2" s="2"/>
      <c r="C2" s="2"/>
      <c r="D2" s="2"/>
      <c r="E2" s="2"/>
      <c r="F2" s="2"/>
      <c r="G2" s="2"/>
      <c r="H2" s="2"/>
      <c r="I2" s="2"/>
      <c r="J2" s="3"/>
    </row>
    <row r="3" spans="1:10">
      <c r="A3" s="80" t="s">
        <v>1</v>
      </c>
      <c r="B3" s="81"/>
      <c r="C3" s="82"/>
      <c r="D3" s="82"/>
      <c r="E3" s="47"/>
      <c r="F3" s="81" t="s">
        <v>31</v>
      </c>
      <c r="G3" s="82"/>
      <c r="H3" s="82"/>
      <c r="I3" s="82"/>
      <c r="J3" s="17"/>
    </row>
    <row r="4" spans="1:10">
      <c r="A4" s="145" t="s">
        <v>44</v>
      </c>
      <c r="B4" s="146"/>
      <c r="C4" s="146"/>
      <c r="D4" s="146"/>
      <c r="E4" s="147"/>
      <c r="F4" s="49" t="s">
        <v>48</v>
      </c>
      <c r="G4" s="167">
        <v>46006</v>
      </c>
      <c r="H4" s="167"/>
      <c r="I4" s="83"/>
      <c r="J4" s="17"/>
    </row>
    <row r="5" spans="1:10" ht="25.5" customHeight="1">
      <c r="A5" s="192" t="s">
        <v>46</v>
      </c>
      <c r="B5" s="193"/>
      <c r="C5" s="193"/>
      <c r="D5" s="193"/>
      <c r="E5" s="194"/>
      <c r="F5" s="52" t="s">
        <v>49</v>
      </c>
      <c r="G5" s="201">
        <v>202512150003</v>
      </c>
      <c r="H5" s="201"/>
      <c r="I5" s="83"/>
      <c r="J5" s="17"/>
    </row>
    <row r="6" spans="1:10">
      <c r="A6" s="84"/>
      <c r="B6" s="85"/>
      <c r="C6" s="85"/>
      <c r="D6" s="85"/>
      <c r="E6" s="86"/>
      <c r="F6" s="87"/>
      <c r="G6" s="83"/>
      <c r="H6" s="83"/>
      <c r="I6" s="83"/>
      <c r="J6" s="17"/>
    </row>
    <row r="7" spans="1:10">
      <c r="A7" s="54"/>
      <c r="B7" s="56"/>
      <c r="C7" s="88"/>
      <c r="D7" s="88"/>
      <c r="E7" s="89"/>
      <c r="F7" s="90"/>
      <c r="G7" s="91"/>
      <c r="H7" s="91"/>
      <c r="I7" s="91"/>
      <c r="J7" s="92"/>
    </row>
    <row r="8" spans="1:10">
      <c r="A8" s="44" t="s">
        <v>3</v>
      </c>
      <c r="B8" s="81"/>
      <c r="C8" s="93"/>
      <c r="D8" s="93"/>
      <c r="E8" s="94"/>
      <c r="F8" s="95" t="s">
        <v>32</v>
      </c>
      <c r="G8" s="66"/>
      <c r="H8" s="66"/>
      <c r="I8" s="66"/>
      <c r="J8" s="17"/>
    </row>
    <row r="9" spans="1:10">
      <c r="A9" s="148" t="s">
        <v>50</v>
      </c>
      <c r="B9" s="149"/>
      <c r="C9" s="149"/>
      <c r="D9" s="149"/>
      <c r="E9" s="150"/>
      <c r="F9" s="96"/>
      <c r="G9" s="67"/>
      <c r="H9" s="67"/>
      <c r="I9" s="67"/>
      <c r="J9" s="17"/>
    </row>
    <row r="10" spans="1:10">
      <c r="A10" s="148"/>
      <c r="B10" s="149"/>
      <c r="C10" s="149"/>
      <c r="D10" s="149"/>
      <c r="E10" s="150"/>
      <c r="F10" s="96"/>
      <c r="G10" s="66"/>
      <c r="H10" s="83"/>
      <c r="I10" s="67"/>
      <c r="J10" s="17"/>
    </row>
    <row r="11" spans="1:10">
      <c r="A11" s="148"/>
      <c r="B11" s="149"/>
      <c r="C11" s="149"/>
      <c r="D11" s="149"/>
      <c r="E11" s="150"/>
      <c r="F11" s="96"/>
      <c r="G11" s="66"/>
      <c r="H11" s="83"/>
      <c r="I11" s="67"/>
      <c r="J11" s="17"/>
    </row>
    <row r="12" spans="1:10">
      <c r="A12" s="69"/>
      <c r="B12" s="70"/>
      <c r="C12" s="91"/>
      <c r="D12" s="91"/>
      <c r="E12" s="92"/>
      <c r="F12" s="83"/>
      <c r="G12" s="97"/>
      <c r="H12" s="97"/>
      <c r="I12" s="66"/>
      <c r="J12" s="17"/>
    </row>
    <row r="13" spans="1:10" ht="16.5">
      <c r="A13" s="44" t="s">
        <v>5</v>
      </c>
      <c r="B13" s="96"/>
      <c r="C13" s="66"/>
      <c r="D13" s="66"/>
      <c r="E13" s="98"/>
      <c r="F13" s="99"/>
      <c r="G13" s="72"/>
      <c r="H13" s="83"/>
      <c r="I13" s="66"/>
      <c r="J13" s="17"/>
    </row>
    <row r="14" spans="1:10" ht="16.5">
      <c r="A14" s="195" t="s">
        <v>54</v>
      </c>
      <c r="B14" s="196"/>
      <c r="C14" s="196"/>
      <c r="D14" s="196"/>
      <c r="E14" s="197"/>
      <c r="F14" s="99"/>
      <c r="G14" s="72"/>
      <c r="H14" s="83"/>
      <c r="I14" s="66"/>
      <c r="J14" s="17"/>
    </row>
    <row r="15" spans="1:10">
      <c r="A15" s="195"/>
      <c r="B15" s="196"/>
      <c r="C15" s="196"/>
      <c r="D15" s="196"/>
      <c r="E15" s="197"/>
      <c r="F15" s="66"/>
      <c r="G15" s="66"/>
      <c r="H15" s="66"/>
      <c r="I15" s="66"/>
      <c r="J15" s="17"/>
    </row>
    <row r="16" spans="1:10">
      <c r="A16" s="198"/>
      <c r="B16" s="199"/>
      <c r="C16" s="199"/>
      <c r="D16" s="199"/>
      <c r="E16" s="200"/>
      <c r="F16" s="191"/>
      <c r="G16" s="191"/>
      <c r="H16" s="100"/>
      <c r="I16" s="101"/>
      <c r="J16" s="17"/>
    </row>
    <row r="17" spans="1:10">
      <c r="A17" s="102" t="s">
        <v>33</v>
      </c>
      <c r="B17" s="95"/>
      <c r="C17" s="47"/>
      <c r="D17" s="95" t="s">
        <v>34</v>
      </c>
      <c r="E17" s="103"/>
      <c r="F17" s="191"/>
      <c r="G17" s="191"/>
      <c r="H17" s="104"/>
      <c r="I17" s="66"/>
      <c r="J17" s="17"/>
    </row>
    <row r="18" spans="1:10">
      <c r="A18" s="185"/>
      <c r="B18" s="186"/>
      <c r="C18" s="187"/>
      <c r="D18" s="185"/>
      <c r="E18" s="187"/>
      <c r="F18" s="191"/>
      <c r="G18" s="191"/>
      <c r="H18" s="104"/>
      <c r="I18" s="66"/>
      <c r="J18" s="17"/>
    </row>
    <row r="19" spans="1:10">
      <c r="A19" s="102" t="s">
        <v>10</v>
      </c>
      <c r="B19" s="105"/>
      <c r="C19" s="106"/>
      <c r="D19" s="95" t="s">
        <v>11</v>
      </c>
      <c r="E19" s="74"/>
      <c r="F19" s="83"/>
      <c r="G19" s="66"/>
      <c r="H19" s="66"/>
      <c r="I19" s="66"/>
      <c r="J19" s="17"/>
    </row>
    <row r="20" spans="1:10">
      <c r="A20" s="185"/>
      <c r="B20" s="186"/>
      <c r="C20" s="187"/>
      <c r="D20" s="165"/>
      <c r="E20" s="166"/>
      <c r="F20" s="91"/>
      <c r="G20" s="91"/>
      <c r="H20" s="91"/>
      <c r="I20" s="91"/>
      <c r="J20" s="17"/>
    </row>
    <row r="21" spans="1:10">
      <c r="A21" s="181" t="s">
        <v>35</v>
      </c>
      <c r="B21" s="179" t="s">
        <v>15</v>
      </c>
      <c r="C21" s="179" t="s">
        <v>14</v>
      </c>
      <c r="D21" s="179" t="s">
        <v>16</v>
      </c>
      <c r="E21" s="179"/>
      <c r="F21" s="183" t="s">
        <v>17</v>
      </c>
      <c r="G21" s="183" t="s">
        <v>18</v>
      </c>
      <c r="H21" s="107" t="s">
        <v>36</v>
      </c>
      <c r="I21" s="107" t="s">
        <v>37</v>
      </c>
      <c r="J21" s="177" t="s">
        <v>38</v>
      </c>
    </row>
    <row r="22" spans="1:10">
      <c r="A22" s="182"/>
      <c r="B22" s="180"/>
      <c r="C22" s="180"/>
      <c r="D22" s="180"/>
      <c r="E22" s="180"/>
      <c r="F22" s="184"/>
      <c r="G22" s="184"/>
      <c r="H22" s="107" t="s">
        <v>39</v>
      </c>
      <c r="I22" s="107" t="s">
        <v>39</v>
      </c>
      <c r="J22" s="178"/>
    </row>
    <row r="23" spans="1:10" ht="28.5" customHeight="1">
      <c r="A23" s="171">
        <v>1</v>
      </c>
      <c r="B23" s="131">
        <v>2250701280</v>
      </c>
      <c r="C23" s="131" t="s">
        <v>73</v>
      </c>
      <c r="D23" s="173" t="s">
        <v>74</v>
      </c>
      <c r="E23" s="174"/>
      <c r="F23" s="108">
        <v>5750</v>
      </c>
      <c r="G23" s="109" t="s">
        <v>27</v>
      </c>
      <c r="H23" s="169">
        <v>1.7</v>
      </c>
      <c r="I23" s="169">
        <v>5.6</v>
      </c>
      <c r="J23" s="175" t="s">
        <v>75</v>
      </c>
    </row>
    <row r="24" spans="1:10" ht="28.5" customHeight="1">
      <c r="A24" s="172"/>
      <c r="B24" s="131">
        <v>2250701280</v>
      </c>
      <c r="C24" s="131" t="s">
        <v>73</v>
      </c>
      <c r="D24" s="173" t="s">
        <v>74</v>
      </c>
      <c r="E24" s="174"/>
      <c r="F24" s="108">
        <v>550</v>
      </c>
      <c r="G24" s="109" t="s">
        <v>27</v>
      </c>
      <c r="H24" s="170"/>
      <c r="I24" s="170"/>
      <c r="J24" s="176"/>
    </row>
    <row r="25" spans="1:10" ht="28.5" customHeight="1">
      <c r="A25" s="131">
        <v>2</v>
      </c>
      <c r="B25" s="131">
        <v>2250701280</v>
      </c>
      <c r="C25" s="131" t="s">
        <v>73</v>
      </c>
      <c r="D25" s="173" t="s">
        <v>74</v>
      </c>
      <c r="E25" s="174"/>
      <c r="F25" s="108">
        <v>6300</v>
      </c>
      <c r="G25" s="109" t="s">
        <v>27</v>
      </c>
      <c r="H25" s="130">
        <v>1.7</v>
      </c>
      <c r="I25" s="130">
        <v>5.6</v>
      </c>
      <c r="J25" s="129" t="s">
        <v>75</v>
      </c>
    </row>
    <row r="26" spans="1:10" ht="28.5" customHeight="1">
      <c r="A26" s="131">
        <v>3</v>
      </c>
      <c r="B26" s="131">
        <v>2250701280</v>
      </c>
      <c r="C26" s="131" t="s">
        <v>73</v>
      </c>
      <c r="D26" s="173" t="s">
        <v>74</v>
      </c>
      <c r="E26" s="174"/>
      <c r="F26" s="108">
        <v>6300</v>
      </c>
      <c r="G26" s="109" t="s">
        <v>27</v>
      </c>
      <c r="H26" s="130">
        <v>1.7</v>
      </c>
      <c r="I26" s="130">
        <v>5.6</v>
      </c>
      <c r="J26" s="129" t="s">
        <v>75</v>
      </c>
    </row>
    <row r="27" spans="1:10" ht="28.5" customHeight="1">
      <c r="A27" s="135">
        <v>4</v>
      </c>
      <c r="B27" s="131">
        <v>2250701280</v>
      </c>
      <c r="C27" s="131" t="s">
        <v>73</v>
      </c>
      <c r="D27" s="173" t="s">
        <v>74</v>
      </c>
      <c r="E27" s="174"/>
      <c r="F27" s="108">
        <v>2100</v>
      </c>
      <c r="G27" s="109" t="s">
        <v>27</v>
      </c>
      <c r="H27" s="130">
        <v>0.56999999999999995</v>
      </c>
      <c r="I27" s="130">
        <v>1.87</v>
      </c>
      <c r="J27" s="129" t="s">
        <v>75</v>
      </c>
    </row>
    <row r="28" spans="1:10" ht="28.5" customHeight="1">
      <c r="A28" s="131">
        <v>5</v>
      </c>
      <c r="B28" s="131">
        <v>2250800185</v>
      </c>
      <c r="C28" s="131" t="s">
        <v>76</v>
      </c>
      <c r="D28" s="173" t="s">
        <v>78</v>
      </c>
      <c r="E28" s="174"/>
      <c r="F28" s="108">
        <v>1200</v>
      </c>
      <c r="G28" s="109" t="s">
        <v>27</v>
      </c>
      <c r="H28" s="130">
        <v>7.26</v>
      </c>
      <c r="I28" s="130">
        <v>11.46</v>
      </c>
      <c r="J28" s="136" t="s">
        <v>79</v>
      </c>
    </row>
    <row r="29" spans="1:10" ht="28.5" customHeight="1">
      <c r="A29" s="131">
        <v>6</v>
      </c>
      <c r="B29" s="131">
        <v>2250800185</v>
      </c>
      <c r="C29" s="131" t="s">
        <v>76</v>
      </c>
      <c r="D29" s="173" t="s">
        <v>78</v>
      </c>
      <c r="E29" s="174"/>
      <c r="F29" s="108">
        <v>1200</v>
      </c>
      <c r="G29" s="109" t="s">
        <v>27</v>
      </c>
      <c r="H29" s="130">
        <v>7.26</v>
      </c>
      <c r="I29" s="130">
        <v>11.46</v>
      </c>
      <c r="J29" s="136" t="s">
        <v>79</v>
      </c>
    </row>
    <row r="30" spans="1:10" ht="28.5" customHeight="1">
      <c r="A30" s="171">
        <v>7</v>
      </c>
      <c r="B30" s="131">
        <v>2250800185</v>
      </c>
      <c r="C30" s="131" t="s">
        <v>76</v>
      </c>
      <c r="D30" s="173" t="s">
        <v>78</v>
      </c>
      <c r="E30" s="174"/>
      <c r="F30" s="108">
        <v>600</v>
      </c>
      <c r="G30" s="109" t="s">
        <v>27</v>
      </c>
      <c r="H30" s="169">
        <v>7.26</v>
      </c>
      <c r="I30" s="169">
        <v>11.46</v>
      </c>
      <c r="J30" s="175" t="s">
        <v>79</v>
      </c>
    </row>
    <row r="31" spans="1:10" ht="28.5" customHeight="1">
      <c r="A31" s="172"/>
      <c r="B31" s="131">
        <v>2250902788</v>
      </c>
      <c r="C31" s="131" t="s">
        <v>76</v>
      </c>
      <c r="D31" s="173" t="s">
        <v>78</v>
      </c>
      <c r="E31" s="174"/>
      <c r="F31" s="108">
        <v>600</v>
      </c>
      <c r="G31" s="109" t="s">
        <v>27</v>
      </c>
      <c r="H31" s="170"/>
      <c r="I31" s="170"/>
      <c r="J31" s="176"/>
    </row>
    <row r="32" spans="1:10" ht="28.5" customHeight="1">
      <c r="A32" s="131">
        <v>8</v>
      </c>
      <c r="B32" s="131">
        <v>2250902788</v>
      </c>
      <c r="C32" s="131" t="s">
        <v>76</v>
      </c>
      <c r="D32" s="173" t="s">
        <v>78</v>
      </c>
      <c r="E32" s="174"/>
      <c r="F32" s="108">
        <v>1200</v>
      </c>
      <c r="G32" s="109" t="s">
        <v>27</v>
      </c>
      <c r="H32" s="130">
        <v>7.26</v>
      </c>
      <c r="I32" s="130">
        <v>11.46</v>
      </c>
      <c r="J32" s="129" t="s">
        <v>79</v>
      </c>
    </row>
    <row r="33" spans="1:10" ht="16.5" thickBot="1">
      <c r="A33" s="110"/>
      <c r="B33" s="111"/>
      <c r="C33" s="112"/>
      <c r="D33" s="112"/>
      <c r="E33" s="112"/>
      <c r="F33" s="113"/>
      <c r="G33" s="112"/>
      <c r="H33" s="133" t="s">
        <v>72</v>
      </c>
      <c r="I33" s="114">
        <v>9</v>
      </c>
      <c r="J33" s="115"/>
    </row>
    <row r="34" spans="1:10">
      <c r="A34" s="116">
        <v>8</v>
      </c>
      <c r="B34" s="83"/>
      <c r="C34" s="105"/>
      <c r="D34" s="117"/>
      <c r="E34" s="118" t="s">
        <v>40</v>
      </c>
      <c r="F34" s="119">
        <f>SUM(F23:F32)</f>
        <v>25800</v>
      </c>
      <c r="G34" s="120"/>
      <c r="H34" s="121">
        <f>SUM(H27:H33)</f>
        <v>29.61</v>
      </c>
      <c r="I34" s="121">
        <f>SUM(I23:I33)</f>
        <v>73.510000000000005</v>
      </c>
      <c r="J34" s="122" t="s">
        <v>70</v>
      </c>
    </row>
    <row r="35" spans="1:10">
      <c r="A35" s="123"/>
      <c r="B35" s="79"/>
      <c r="C35" s="79"/>
      <c r="D35" s="79"/>
      <c r="E35" s="124" t="s">
        <v>41</v>
      </c>
      <c r="F35" s="125" t="s">
        <v>71</v>
      </c>
      <c r="G35" s="79"/>
      <c r="H35" s="79"/>
      <c r="I35" s="79"/>
      <c r="J35" s="126"/>
    </row>
    <row r="36" spans="1:10">
      <c r="A36" s="123"/>
      <c r="B36" s="79"/>
      <c r="C36" s="79"/>
      <c r="D36" s="79"/>
      <c r="E36" s="124" t="s">
        <v>42</v>
      </c>
      <c r="F36" s="127" t="s">
        <v>67</v>
      </c>
      <c r="G36" s="79"/>
      <c r="H36" s="79"/>
      <c r="I36" s="79"/>
      <c r="J36" s="126"/>
    </row>
    <row r="37" spans="1:10">
      <c r="A37" s="123"/>
      <c r="B37" s="79"/>
      <c r="C37" s="79"/>
      <c r="D37" s="79"/>
      <c r="E37" s="124" t="s">
        <v>43</v>
      </c>
      <c r="F37" s="127" t="s">
        <v>68</v>
      </c>
      <c r="G37" s="79"/>
      <c r="H37" s="79"/>
      <c r="I37" s="79"/>
      <c r="J37" s="126"/>
    </row>
    <row r="38" spans="1:10">
      <c r="A38" s="128"/>
      <c r="B38" s="34"/>
      <c r="C38" s="34"/>
      <c r="D38" s="34"/>
      <c r="E38" s="34"/>
      <c r="F38" s="34"/>
      <c r="G38" s="34"/>
      <c r="H38" s="34"/>
      <c r="I38" s="34"/>
      <c r="J38" s="35"/>
    </row>
    <row r="39" spans="1:10">
      <c r="G39" s="5"/>
    </row>
    <row r="48" spans="1:10">
      <c r="G48" s="137" t="s">
        <v>64</v>
      </c>
      <c r="H48" s="137"/>
      <c r="I48" s="137"/>
    </row>
  </sheetData>
  <mergeCells count="40">
    <mergeCell ref="A1:J1"/>
    <mergeCell ref="F16:G16"/>
    <mergeCell ref="F17:G17"/>
    <mergeCell ref="A18:C18"/>
    <mergeCell ref="D18:E18"/>
    <mergeCell ref="F18:G18"/>
    <mergeCell ref="A4:E4"/>
    <mergeCell ref="A5:E5"/>
    <mergeCell ref="A9:E11"/>
    <mergeCell ref="A14:E16"/>
    <mergeCell ref="G5:H5"/>
    <mergeCell ref="G4:H4"/>
    <mergeCell ref="A20:C20"/>
    <mergeCell ref="D20:E20"/>
    <mergeCell ref="D27:E27"/>
    <mergeCell ref="F21:F22"/>
    <mergeCell ref="D23:E23"/>
    <mergeCell ref="D24:E24"/>
    <mergeCell ref="D25:E25"/>
    <mergeCell ref="D26:E26"/>
    <mergeCell ref="A21:A22"/>
    <mergeCell ref="B21:B22"/>
    <mergeCell ref="C21:C22"/>
    <mergeCell ref="G21:G22"/>
    <mergeCell ref="D29:E29"/>
    <mergeCell ref="J30:J31"/>
    <mergeCell ref="D28:E28"/>
    <mergeCell ref="G48:I48"/>
    <mergeCell ref="J21:J22"/>
    <mergeCell ref="D21:E22"/>
    <mergeCell ref="J23:J24"/>
    <mergeCell ref="D30:E30"/>
    <mergeCell ref="I23:I24"/>
    <mergeCell ref="H23:H24"/>
    <mergeCell ref="A23:A24"/>
    <mergeCell ref="D31:E31"/>
    <mergeCell ref="D32:E32"/>
    <mergeCell ref="H30:H31"/>
    <mergeCell ref="I30:I31"/>
    <mergeCell ref="A30:A31"/>
  </mergeCells>
  <phoneticPr fontId="9" type="noConversion"/>
  <pageMargins left="0.25" right="0.25" top="0.75" bottom="0.75" header="0.3" footer="0.3"/>
  <pageSetup paperSize="9" scale="88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INVOICE</vt:lpstr>
      <vt:lpstr>PACKING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D000208</dc:creator>
  <cp:lastModifiedBy>daphne.tang@semitelint.com</cp:lastModifiedBy>
  <cp:lastPrinted>2025-12-11T07:40:28Z</cp:lastPrinted>
  <dcterms:created xsi:type="dcterms:W3CDTF">2025-07-17T08:11:00Z</dcterms:created>
  <dcterms:modified xsi:type="dcterms:W3CDTF">2025-12-11T07:40:44Z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405EDDA453444C6DA6D29C0547ACF2F9</vt:lpwstr>
  </property>
  <property fmtid="{D5CDD505-2E9C-101B-9397-08002B2CF9AE}" pid="3" name="KSOProductBuildVer">
    <vt:lpwstr>2052-11.8.2.12118</vt:lpwstr>
  </property>
</Properties>
</file>