
<file path=[Content_Types].xml><?xml version="1.0" encoding="utf-8"?>
<Types xmlns="http://schemas.openxmlformats.org/package/2006/content-types">
  <Default Extension="wmf" ContentType="image/x-wmf"/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410" activeTab="1"/>
  </bookViews>
  <sheets>
    <sheet name="Sheet1" sheetId="1" r:id="rId1"/>
    <sheet name="INVOICE" sheetId="4" r:id="rId2"/>
    <sheet name="PACKING" sheetId="5" r:id="rId3"/>
    <sheet name="Sheet2" sheetId="6" r:id="rId4"/>
    <sheet name="Sheet3" sheetId="7" r:id="rId5"/>
  </sheets>
  <externalReferences>
    <externalReference r:id="rId6"/>
  </externalReferences>
  <definedNames>
    <definedName name="_xlnm._FilterDatabase" localSheetId="0" hidden="1">Sheet1!$A$7:$K$28</definedName>
  </definedNames>
  <calcPr calcId="144525"/>
</workbook>
</file>

<file path=xl/comments1.xml><?xml version="1.0" encoding="utf-8"?>
<comments xmlns="http://schemas.openxmlformats.org/spreadsheetml/2006/main">
  <authors>
    <author>D000208</author>
  </authors>
  <commentList>
    <comment ref="K19" authorId="0">
      <text>
        <r>
          <rPr>
            <sz val="14"/>
            <rFont val="宋体"/>
            <charset val="134"/>
          </rPr>
          <t>若是集成电路，需提供晶圆制造地,非集成电路,无需晶圆制造地</t>
        </r>
      </text>
    </comment>
  </commentList>
</comments>
</file>

<file path=xl/comments2.xml><?xml version="1.0" encoding="utf-8"?>
<comments xmlns="http://schemas.openxmlformats.org/spreadsheetml/2006/main">
  <authors>
    <author>D000208</author>
  </authors>
  <commentList>
    <comment ref="E49" authorId="0">
      <text>
        <r>
          <rPr>
            <sz val="10"/>
            <rFont val="宋体"/>
            <charset val="134"/>
          </rPr>
          <t xml:space="preserve">若是托盘，则需要注明托盘材质
</t>
        </r>
      </text>
    </comment>
  </commentList>
</comments>
</file>

<file path=xl/sharedStrings.xml><?xml version="1.0" encoding="utf-8"?>
<sst xmlns="http://schemas.openxmlformats.org/spreadsheetml/2006/main" count="593" uniqueCount="141">
  <si>
    <t>产品购销合同</t>
  </si>
  <si>
    <r>
      <rPr>
        <sz val="11"/>
        <rFont val="宋体"/>
        <charset val="134"/>
      </rPr>
      <t>供    方：</t>
    </r>
    <r>
      <rPr>
        <sz val="11"/>
        <color rgb="FF0070C0"/>
        <rFont val="宋体"/>
        <charset val="134"/>
      </rPr>
      <t>加高電子股份有限公司</t>
    </r>
  </si>
  <si>
    <t>进料对口</t>
  </si>
  <si>
    <t>需    方：中磊電子(蘇州)有限公司</t>
  </si>
  <si>
    <r>
      <rPr>
        <sz val="11"/>
        <rFont val="宋体"/>
        <charset val="134"/>
      </rPr>
      <t xml:space="preserve">合同号 : </t>
    </r>
    <r>
      <rPr>
        <sz val="11"/>
        <color rgb="FF0070C0"/>
        <rFont val="宋体"/>
        <charset val="134"/>
      </rPr>
      <t>同INVOICE NO.</t>
    </r>
  </si>
  <si>
    <t>一、产品名称、型号、数量及金额</t>
  </si>
  <si>
    <t>PO号</t>
  </si>
  <si>
    <t>品名及料号</t>
  </si>
  <si>
    <t>型號</t>
  </si>
  <si>
    <t>供應商料號</t>
  </si>
  <si>
    <t>单位</t>
  </si>
  <si>
    <t>数量</t>
  </si>
  <si>
    <t>单价</t>
  </si>
  <si>
    <t>金额</t>
  </si>
  <si>
    <t>币制</t>
  </si>
  <si>
    <t>淨重</t>
  </si>
  <si>
    <t>原產國</t>
  </si>
  <si>
    <t>2250600556-2.1</t>
  </si>
  <si>
    <t>3711260HHM</t>
  </si>
  <si>
    <t>HSX321S</t>
  </si>
  <si>
    <t>X3S012000BC1HA-HU</t>
  </si>
  <si>
    <t>PCS</t>
  </si>
  <si>
    <t>USD</t>
  </si>
  <si>
    <t>CHINA</t>
  </si>
  <si>
    <t>2250300844-10.1</t>
  </si>
  <si>
    <t>3712061GHM</t>
  </si>
  <si>
    <t>X3S025000BC1HA-HZ</t>
  </si>
  <si>
    <t>2250302067-3.1</t>
  </si>
  <si>
    <t>2250501304-3.5</t>
  </si>
  <si>
    <t>3713260UHM</t>
  </si>
  <si>
    <t>X3S032000BC1HC-HZ</t>
  </si>
  <si>
    <t>2250102340-3.1</t>
  </si>
  <si>
    <t>37138008HM</t>
  </si>
  <si>
    <t>HSX221SA</t>
  </si>
  <si>
    <t>X2B038400BA1HA-HZ</t>
  </si>
  <si>
    <t>THAILAND</t>
  </si>
  <si>
    <t>2250102513-1.1</t>
  </si>
  <si>
    <t>2250102986-3.1</t>
  </si>
  <si>
    <t>2250300844-11.1</t>
  </si>
  <si>
    <t>3714062EHM</t>
  </si>
  <si>
    <t>X3S040000BF1HF-HZ</t>
  </si>
  <si>
    <t>2250302067-4.1</t>
  </si>
  <si>
    <t>2250302882-5.1</t>
  </si>
  <si>
    <t>3715060GHM</t>
  </si>
  <si>
    <t>X3S050000CJ1HA-HPZ</t>
  </si>
  <si>
    <t>2250400450-8.1</t>
  </si>
  <si>
    <t>2250702505-4.1</t>
  </si>
  <si>
    <t>3720001PDS</t>
  </si>
  <si>
    <t>DSB1612SDN</t>
  </si>
  <si>
    <t>7EG03200A01</t>
  </si>
  <si>
    <t>JAPAN</t>
  </si>
  <si>
    <r>
      <rPr>
        <sz val="12"/>
        <rFont val="宋体"/>
        <charset val="134"/>
      </rPr>
      <t>二、交(提)货地点、方式：</t>
    </r>
    <r>
      <rPr>
        <sz val="12"/>
        <color rgb="FF0070C0"/>
        <rFont val="宋体"/>
        <charset val="134"/>
      </rPr>
      <t>中磊電子(蘇州)有限公司</t>
    </r>
  </si>
  <si>
    <r>
      <rPr>
        <sz val="12"/>
        <rFont val="宋体"/>
        <charset val="134"/>
      </rPr>
      <t>三、运输方式及到达站港口和费用负担： DAP</t>
    </r>
    <r>
      <rPr>
        <sz val="12"/>
        <color rgb="FF0070C0"/>
        <rFont val="宋体"/>
        <charset val="134"/>
      </rPr>
      <t xml:space="preserve"> </t>
    </r>
    <r>
      <rPr>
        <sz val="12"/>
        <rFont val="宋体"/>
        <charset val="134"/>
      </rPr>
      <t xml:space="preserve">                                 </t>
    </r>
  </si>
  <si>
    <r>
      <rPr>
        <sz val="12"/>
        <rFont val="宋体"/>
        <charset val="134"/>
      </rPr>
      <t>四、包装标准、包装物的供应与回收和费用负担：</t>
    </r>
    <r>
      <rPr>
        <sz val="12"/>
        <color rgb="FF0070C0"/>
        <rFont val="宋体"/>
        <charset val="134"/>
      </rPr>
      <t>供方</t>
    </r>
  </si>
  <si>
    <r>
      <rPr>
        <sz val="12"/>
        <rFont val="宋体"/>
        <charset val="134"/>
      </rPr>
      <t>五、验收标准、方法及提出议期限：</t>
    </r>
    <r>
      <rPr>
        <sz val="12"/>
        <color rgb="FF0070C0"/>
        <rFont val="宋体"/>
        <charset val="134"/>
      </rPr>
      <t>1个月</t>
    </r>
  </si>
  <si>
    <r>
      <rPr>
        <sz val="12"/>
        <rFont val="宋体"/>
        <charset val="134"/>
      </rPr>
      <t>六、交货日期：</t>
    </r>
  </si>
  <si>
    <r>
      <rPr>
        <sz val="12"/>
        <rFont val="宋体"/>
        <charset val="134"/>
      </rPr>
      <t>七、结算方式：</t>
    </r>
    <r>
      <rPr>
        <sz val="12"/>
        <color rgb="FF0070C0"/>
        <rFont val="宋体"/>
        <charset val="134"/>
      </rPr>
      <t>TT90</t>
    </r>
  </si>
  <si>
    <t xml:space="preserve">                       供方：</t>
  </si>
  <si>
    <t>需方:</t>
  </si>
  <si>
    <r>
      <rPr>
        <sz val="10"/>
        <rFont val="宋体"/>
        <charset val="134"/>
      </rPr>
      <t>单位名称：</t>
    </r>
    <r>
      <rPr>
        <sz val="10"/>
        <color rgb="FF0070C0"/>
        <rFont val="宋体"/>
        <charset val="134"/>
      </rPr>
      <t>加高電子股份有限公司</t>
    </r>
  </si>
  <si>
    <t>单位名称：中磊電子(蘇州)有限公司</t>
  </si>
  <si>
    <r>
      <rPr>
        <sz val="10"/>
        <rFont val="宋体"/>
        <charset val="134"/>
      </rPr>
      <t>单位地址：</t>
    </r>
    <r>
      <rPr>
        <sz val="10"/>
        <color rgb="FF0070C0"/>
        <rFont val="宋体"/>
        <charset val="134"/>
      </rPr>
      <t>高雄市大寮區大發工業區華東路39號</t>
    </r>
  </si>
  <si>
    <t>单位地址：蘇州工業園區唐莊路8號</t>
  </si>
  <si>
    <r>
      <rPr>
        <sz val="10"/>
        <rFont val="宋体"/>
        <charset val="134"/>
      </rPr>
      <t>电话：</t>
    </r>
    <r>
      <rPr>
        <sz val="10"/>
        <color rgb="FF0070C0"/>
        <rFont val="宋体"/>
        <charset val="134"/>
      </rPr>
      <t>886-7-787-1555</t>
    </r>
  </si>
  <si>
    <r>
      <rPr>
        <sz val="10"/>
        <rFont val="宋体"/>
        <charset val="134"/>
      </rPr>
      <t>传真：</t>
    </r>
    <r>
      <rPr>
        <sz val="10"/>
        <color rgb="FF0070C0"/>
        <rFont val="宋体"/>
        <charset val="134"/>
      </rPr>
      <t>886-7-787-1557</t>
    </r>
  </si>
  <si>
    <t xml:space="preserve">                            </t>
  </si>
  <si>
    <t>COMMERCIAL INVOICE</t>
  </si>
  <si>
    <t>Shipper/Exporter</t>
  </si>
  <si>
    <t>No. &amp; Date of Invoice</t>
  </si>
  <si>
    <t>HARMONY ELECTRONICS CORP.</t>
  </si>
  <si>
    <t>SH1-P80326</t>
  </si>
  <si>
    <t>No.39, Huadong Rd., Daliao Dist.,
Dafa Industrial Park, KAOHSIUNG 831, TAIWAN,CHINA</t>
  </si>
  <si>
    <t>Bill To:</t>
  </si>
  <si>
    <t xml:space="preserve"> Payment Term</t>
  </si>
  <si>
    <t>Sernet(Suzhou)Technologies Corporation</t>
  </si>
  <si>
    <t>TT90DAYS</t>
  </si>
  <si>
    <t>中磊电子（苏州）有限公司                                            No.8,Tangzhuang Road, Suzhou Industrial Park, Jiangsu, China</t>
  </si>
  <si>
    <t>Ship To:</t>
  </si>
  <si>
    <t xml:space="preserve"> Trade Term</t>
  </si>
  <si>
    <t>SAME AS CONSIGNEE</t>
  </si>
  <si>
    <t>DAP</t>
  </si>
  <si>
    <t>Port of Loading</t>
  </si>
  <si>
    <t>Port of Discharge</t>
  </si>
  <si>
    <t xml:space="preserve"> Remarks:</t>
  </si>
  <si>
    <t>Carrier</t>
  </si>
  <si>
    <t>Sailing on/or About</t>
  </si>
  <si>
    <t>贸易国：</t>
  </si>
  <si>
    <t>TAIWAN,CHINA</t>
  </si>
  <si>
    <t>ITEM</t>
  </si>
  <si>
    <t>Part No.</t>
  </si>
  <si>
    <t>PO No.</t>
  </si>
  <si>
    <t>Description of Goods</t>
  </si>
  <si>
    <t>Quantity</t>
  </si>
  <si>
    <t>Unit</t>
  </si>
  <si>
    <t>Unit Price</t>
  </si>
  <si>
    <t>Currency</t>
  </si>
  <si>
    <t>Amount</t>
  </si>
  <si>
    <t>COO</t>
  </si>
  <si>
    <t>COD</t>
  </si>
  <si>
    <t>品牌</t>
  </si>
  <si>
    <t>品牌类型</t>
  </si>
  <si>
    <t>型号</t>
  </si>
  <si>
    <t>1</t>
  </si>
  <si>
    <t>HELE</t>
  </si>
  <si>
    <t>境外品牌(其它)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</si>
  <si>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</si>
  <si>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</si>
  <si>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</si>
  <si>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</si>
  <si>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</si>
  <si>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</si>
  <si>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</si>
  <si>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</si>
  <si>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</si>
  <si>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</si>
  <si>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</si>
  <si>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</si>
  <si>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</si>
  <si>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KDS</t>
  </si>
  <si>
    <t xml:space="preserve">                  TOTAL</t>
  </si>
  <si>
    <t>PACKING LIST</t>
  </si>
  <si>
    <t>No &amp; Date of Invoice</t>
  </si>
  <si>
    <t>CONSIGNEE:</t>
  </si>
  <si>
    <t>Remarks:</t>
  </si>
  <si>
    <t>DWNET TECHNOLOGY (SUZHOU) CO., LTD.</t>
  </si>
  <si>
    <t>NO.8, TANGZHUANG ROAD, SUZHOU INDUSTRIAL PARK, JIANGSU, CHINA  ZIP:215021</t>
  </si>
  <si>
    <t>Notify Party</t>
  </si>
  <si>
    <t>Port of Departure</t>
  </si>
  <si>
    <t>Port of Arrival</t>
  </si>
  <si>
    <t>CTNS</t>
  </si>
  <si>
    <t>Net WT</t>
  </si>
  <si>
    <t>Gross WT</t>
  </si>
  <si>
    <t>MEASUREMENT  L*W*H(CM)</t>
  </si>
  <si>
    <t>KGS</t>
  </si>
  <si>
    <t>19*19*16</t>
  </si>
  <si>
    <t>TOTAL</t>
  </si>
  <si>
    <t>件数</t>
  </si>
  <si>
    <t>包装种类</t>
  </si>
  <si>
    <r>
      <rPr>
        <sz val="10"/>
        <rFont val="宋体"/>
        <charset val="134"/>
      </rPr>
      <t>纸箱</t>
    </r>
    <r>
      <rPr>
        <sz val="10"/>
        <rFont val="Arial"/>
        <charset val="134"/>
      </rPr>
      <t>/</t>
    </r>
    <r>
      <rPr>
        <sz val="10"/>
        <rFont val="宋体"/>
        <charset val="134"/>
      </rPr>
      <t>托盘等</t>
    </r>
  </si>
  <si>
    <t>托盘材质</t>
  </si>
  <si>
    <r>
      <rPr>
        <sz val="10"/>
        <rFont val="宋体"/>
        <charset val="134"/>
      </rPr>
      <t>再生木托</t>
    </r>
    <r>
      <rPr>
        <sz val="10"/>
        <rFont val="Arial"/>
        <charset val="134"/>
      </rPr>
      <t>/</t>
    </r>
    <r>
      <rPr>
        <sz val="10"/>
        <rFont val="宋体"/>
        <charset val="134"/>
      </rPr>
      <t>天然木托</t>
    </r>
    <r>
      <rPr>
        <sz val="10"/>
        <rFont val="Arial"/>
        <charset val="134"/>
      </rPr>
      <t>/</t>
    </r>
    <r>
      <rPr>
        <sz val="10"/>
        <rFont val="宋体"/>
        <charset val="134"/>
      </rPr>
      <t>塑胶托等</t>
    </r>
  </si>
</sst>
</file>

<file path=xl/styles.xml><?xml version="1.0" encoding="utf-8"?>
<styleSheet xmlns="http://schemas.openxmlformats.org/spreadsheetml/2006/main">
  <numFmts count="1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_-;\-* #,##0_-;_-* &quot;-&quot;??_-;_-@_-"/>
    <numFmt numFmtId="177" formatCode="_ * #,##0_ ;_ * \-#,##0_ ;_ * &quot;-&quot;_ ;_ @_ "/>
    <numFmt numFmtId="178" formatCode="0.00;[Red]0.00"/>
    <numFmt numFmtId="179" formatCode="_-* #,##0.00_-;\-* #,##0.00_-;_-* &quot;-&quot;??_-;_-@_-"/>
    <numFmt numFmtId="180" formatCode="_-* #,##0.0000_-;\-* #,##0.0000_-;_-* &quot;-&quot;??_-;_-@_-"/>
    <numFmt numFmtId="181" formatCode="yyyy/m/d;@"/>
    <numFmt numFmtId="182" formatCode="0.00_ "/>
    <numFmt numFmtId="183" formatCode="0_ "/>
    <numFmt numFmtId="184" formatCode="0.000_ "/>
    <numFmt numFmtId="185" formatCode="0.00_);[Red]\(0.00\)"/>
    <numFmt numFmtId="186" formatCode="#,##0.00_ "/>
    <numFmt numFmtId="187" formatCode="0.0000_);[Red]\(0.0000\)"/>
    <numFmt numFmtId="188" formatCode="yyyy&quot;年&quot;mm&quot;月&quot;dd&quot;日&quot;;@"/>
  </numFmts>
  <fonts count="51">
    <font>
      <sz val="12"/>
      <color theme="1"/>
      <name val="宋体"/>
      <charset val="136"/>
      <scheme val="minor"/>
    </font>
    <font>
      <sz val="12"/>
      <name val="宋体"/>
      <charset val="134"/>
    </font>
    <font>
      <sz val="11"/>
      <color rgb="FF0070C0"/>
      <name val="宋体"/>
      <charset val="134"/>
    </font>
    <font>
      <sz val="11"/>
      <color theme="1"/>
      <name val="宋体"/>
      <charset val="136"/>
      <scheme val="minor"/>
    </font>
    <font>
      <b/>
      <sz val="10"/>
      <name val="Arial"/>
      <charset val="134"/>
    </font>
    <font>
      <sz val="10"/>
      <color theme="1"/>
      <name val="宋体"/>
      <charset val="136"/>
      <scheme val="minor"/>
    </font>
    <font>
      <sz val="10"/>
      <name val="Arial"/>
      <charset val="134"/>
    </font>
    <font>
      <sz val="10"/>
      <color rgb="FFFF0000"/>
      <name val="宋体"/>
      <charset val="134"/>
    </font>
    <font>
      <sz val="10"/>
      <name val="宋体"/>
      <charset val="134"/>
    </font>
    <font>
      <sz val="10"/>
      <name val="Times New Roman"/>
      <charset val="134"/>
    </font>
    <font>
      <sz val="10"/>
      <name val="微软雅黑"/>
      <charset val="134"/>
    </font>
    <font>
      <sz val="10"/>
      <color rgb="FFFF0000"/>
      <name val="Arial"/>
      <charset val="134"/>
    </font>
    <font>
      <sz val="10"/>
      <name val="新細明體"/>
      <charset val="136"/>
    </font>
    <font>
      <b/>
      <sz val="10"/>
      <name val="宋体"/>
      <charset val="134"/>
    </font>
    <font>
      <b/>
      <sz val="10"/>
      <name val="新細明體"/>
      <charset val="136"/>
    </font>
    <font>
      <sz val="18"/>
      <color theme="1"/>
      <name val="宋体"/>
      <charset val="136"/>
      <scheme val="minor"/>
    </font>
    <font>
      <b/>
      <sz val="18"/>
      <name val="Arial"/>
      <charset val="134"/>
    </font>
    <font>
      <sz val="10"/>
      <color indexed="12"/>
      <name val="新細明體"/>
      <charset val="136"/>
    </font>
    <font>
      <sz val="10"/>
      <name val="細明體"/>
      <charset val="136"/>
    </font>
    <font>
      <sz val="18"/>
      <name val="Arial"/>
      <charset val="134"/>
    </font>
    <font>
      <b/>
      <sz val="18"/>
      <name val="新細明體"/>
      <charset val="136"/>
    </font>
    <font>
      <sz val="11"/>
      <name val="宋体"/>
      <charset val="134"/>
    </font>
    <font>
      <sz val="18"/>
      <name val="宋体"/>
      <charset val="134"/>
    </font>
    <font>
      <sz val="12"/>
      <color theme="1"/>
      <name val="宋体"/>
      <charset val="134"/>
    </font>
    <font>
      <sz val="18"/>
      <color theme="1"/>
      <name val="SimSun"/>
      <charset val="134"/>
    </font>
    <font>
      <sz val="12"/>
      <color rgb="FF0070C0"/>
      <name val="宋体"/>
      <charset val="134"/>
    </font>
    <font>
      <sz val="10"/>
      <color theme="1"/>
      <name val="SimSun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新細明體"/>
      <charset val="136"/>
    </font>
    <font>
      <sz val="10"/>
      <color rgb="FF0070C0"/>
      <name val="宋体"/>
      <charset val="134"/>
    </font>
    <font>
      <sz val="14"/>
      <name val="宋体"/>
      <charset val="134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2" fontId="27" fillId="0" borderId="0" applyFont="0" applyFill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9" fillId="5" borderId="15" applyNumberFormat="0" applyAlignment="0" applyProtection="0">
      <alignment vertical="center"/>
    </xf>
    <xf numFmtId="44" fontId="27" fillId="0" borderId="0" applyFont="0" applyFill="0" applyBorder="0" applyAlignment="0" applyProtection="0">
      <alignment vertical="center"/>
    </xf>
    <xf numFmtId="177" fontId="27" fillId="0" borderId="0" applyFont="0" applyFill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7" fillId="9" borderId="16" applyNumberFormat="0" applyFont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17" applyNumberFormat="0" applyFill="0" applyAlignment="0" applyProtection="0">
      <alignment vertical="center"/>
    </xf>
    <xf numFmtId="0" fontId="39" fillId="0" borderId="17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40" fillId="13" borderId="19" applyNumberFormat="0" applyAlignment="0" applyProtection="0">
      <alignment vertical="center"/>
    </xf>
    <xf numFmtId="0" fontId="41" fillId="13" borderId="15" applyNumberFormat="0" applyAlignment="0" applyProtection="0">
      <alignment vertical="center"/>
    </xf>
    <xf numFmtId="0" fontId="42" fillId="14" borderId="20" applyNumberFormat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1" fillId="0" borderId="0"/>
    <xf numFmtId="0" fontId="3" fillId="0" borderId="0">
      <alignment vertical="center"/>
    </xf>
    <xf numFmtId="0" fontId="44" fillId="0" borderId="22" applyNumberFormat="0" applyFill="0" applyAlignment="0" applyProtection="0">
      <alignment vertical="center"/>
    </xf>
    <xf numFmtId="0" fontId="1" fillId="0" borderId="0"/>
    <xf numFmtId="0" fontId="45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47" fillId="0" borderId="0"/>
  </cellStyleXfs>
  <cellXfs count="218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30" applyFont="1" applyFill="1" applyBorder="1" applyAlignment="1">
      <alignment horizontal="center" vertical="center"/>
    </xf>
    <xf numFmtId="178" fontId="2" fillId="0" borderId="1" xfId="30" applyNumberFormat="1" applyFont="1" applyFill="1" applyBorder="1" applyAlignment="1">
      <alignment horizontal="center" vertical="center"/>
    </xf>
    <xf numFmtId="176" fontId="2" fillId="0" borderId="1" xfId="8" applyNumberFormat="1" applyFont="1" applyFill="1" applyBorder="1" applyAlignment="1">
      <alignment horizontal="center" vertical="center"/>
    </xf>
    <xf numFmtId="180" fontId="2" fillId="0" borderId="1" xfId="8" applyNumberFormat="1" applyFont="1" applyFill="1" applyBorder="1" applyAlignment="1">
      <alignment horizontal="center" vertical="center"/>
    </xf>
    <xf numFmtId="179" fontId="2" fillId="0" borderId="1" xfId="8" applyFont="1" applyFill="1" applyBorder="1" applyAlignment="1">
      <alignment horizontal="center" vertical="center"/>
    </xf>
    <xf numFmtId="0" fontId="3" fillId="0" borderId="0" xfId="31">
      <alignment vertical="center"/>
    </xf>
    <xf numFmtId="0" fontId="4" fillId="0" borderId="2" xfId="33" applyFont="1" applyBorder="1" applyAlignment="1">
      <alignment horizontal="center" vertical="center"/>
    </xf>
    <xf numFmtId="0" fontId="4" fillId="0" borderId="3" xfId="33" applyFont="1" applyBorder="1" applyAlignment="1">
      <alignment horizontal="center" vertical="center"/>
    </xf>
    <xf numFmtId="0" fontId="5" fillId="0" borderId="4" xfId="31" applyFont="1" applyBorder="1">
      <alignment vertical="center"/>
    </xf>
    <xf numFmtId="0" fontId="5" fillId="0" borderId="0" xfId="31" applyFont="1">
      <alignment vertical="center"/>
    </xf>
    <xf numFmtId="0" fontId="4" fillId="2" borderId="2" xfId="33" applyFont="1" applyFill="1" applyBorder="1"/>
    <xf numFmtId="0" fontId="4" fillId="2" borderId="3" xfId="33" applyFont="1" applyFill="1" applyBorder="1"/>
    <xf numFmtId="0" fontId="6" fillId="0" borderId="3" xfId="33" applyFont="1" applyBorder="1"/>
    <xf numFmtId="0" fontId="7" fillId="0" borderId="5" xfId="33" applyFont="1" applyBorder="1"/>
    <xf numFmtId="0" fontId="8" fillId="3" borderId="4" xfId="31" applyFont="1" applyFill="1" applyBorder="1" applyAlignment="1"/>
    <xf numFmtId="0" fontId="6" fillId="2" borderId="0" xfId="33" applyFont="1" applyFill="1" applyBorder="1" applyAlignment="1">
      <alignment horizontal="left"/>
    </xf>
    <xf numFmtId="0" fontId="6" fillId="0" borderId="0" xfId="33" applyFont="1" applyBorder="1"/>
    <xf numFmtId="0" fontId="6" fillId="0" borderId="6" xfId="33" applyFont="1" applyBorder="1"/>
    <xf numFmtId="0" fontId="6" fillId="3" borderId="4" xfId="31" applyFont="1" applyFill="1" applyBorder="1" applyAlignment="1">
      <alignment horizontal="left"/>
    </xf>
    <xf numFmtId="0" fontId="6" fillId="0" borderId="4" xfId="52" applyFont="1" applyBorder="1" applyAlignment="1">
      <alignment horizontal="left" vertical="top" wrapText="1"/>
    </xf>
    <xf numFmtId="0" fontId="6" fillId="0" borderId="0" xfId="52" applyFont="1" applyBorder="1" applyAlignment="1">
      <alignment horizontal="left" vertical="top" wrapText="1"/>
    </xf>
    <xf numFmtId="0" fontId="6" fillId="0" borderId="6" xfId="52" applyFont="1" applyBorder="1" applyAlignment="1">
      <alignment horizontal="left" vertical="top" wrapText="1"/>
    </xf>
    <xf numFmtId="181" fontId="6" fillId="3" borderId="4" xfId="31" applyNumberFormat="1" applyFont="1" applyFill="1" applyBorder="1" applyAlignment="1">
      <alignment horizontal="left"/>
    </xf>
    <xf numFmtId="0" fontId="6" fillId="0" borderId="4" xfId="33" applyFont="1" applyBorder="1"/>
    <xf numFmtId="0" fontId="6" fillId="0" borderId="7" xfId="52" applyFont="1" applyBorder="1" applyAlignment="1">
      <alignment horizontal="left"/>
    </xf>
    <xf numFmtId="0" fontId="6" fillId="0" borderId="8" xfId="52" applyFont="1" applyBorder="1"/>
    <xf numFmtId="0" fontId="6" fillId="0" borderId="8" xfId="54" applyFont="1" applyBorder="1"/>
    <xf numFmtId="0" fontId="6" fillId="0" borderId="9" xfId="54" applyFont="1" applyBorder="1"/>
    <xf numFmtId="0" fontId="6" fillId="0" borderId="7" xfId="33" applyFont="1" applyBorder="1"/>
    <xf numFmtId="0" fontId="6" fillId="0" borderId="8" xfId="33" applyFont="1" applyBorder="1"/>
    <xf numFmtId="0" fontId="6" fillId="2" borderId="3" xfId="33" applyFont="1" applyFill="1" applyBorder="1"/>
    <xf numFmtId="0" fontId="6" fillId="2" borderId="5" xfId="33" applyFont="1" applyFill="1" applyBorder="1"/>
    <xf numFmtId="0" fontId="4" fillId="0" borderId="3" xfId="33" applyFont="1" applyBorder="1"/>
    <xf numFmtId="0" fontId="6" fillId="0" borderId="0" xfId="33" applyFont="1"/>
    <xf numFmtId="0" fontId="6" fillId="3" borderId="4" xfId="33" applyFont="1" applyFill="1" applyBorder="1" applyAlignment="1">
      <alignment horizontal="left"/>
    </xf>
    <xf numFmtId="0" fontId="6" fillId="2" borderId="0" xfId="33" applyFont="1" applyFill="1" applyBorder="1"/>
    <xf numFmtId="0" fontId="6" fillId="2" borderId="6" xfId="33" applyFont="1" applyFill="1" applyBorder="1"/>
    <xf numFmtId="0" fontId="4" fillId="0" borderId="0" xfId="33" applyFont="1"/>
    <xf numFmtId="0" fontId="6" fillId="0" borderId="0" xfId="52" applyFont="1"/>
    <xf numFmtId="0" fontId="6" fillId="2" borderId="4" xfId="33" applyFont="1" applyFill="1" applyBorder="1" applyAlignment="1">
      <alignment vertical="top" wrapText="1"/>
    </xf>
    <xf numFmtId="0" fontId="6" fillId="2" borderId="0" xfId="33" applyFont="1" applyFill="1" applyBorder="1" applyAlignment="1">
      <alignment vertical="top" wrapText="1"/>
    </xf>
    <xf numFmtId="0" fontId="6" fillId="2" borderId="6" xfId="33" applyFont="1" applyFill="1" applyBorder="1" applyAlignment="1">
      <alignment vertical="top" wrapText="1"/>
    </xf>
    <xf numFmtId="0" fontId="6" fillId="0" borderId="7" xfId="31" applyFont="1" applyFill="1" applyBorder="1" applyAlignment="1"/>
    <xf numFmtId="0" fontId="6" fillId="0" borderId="8" xfId="31" applyFont="1" applyFill="1" applyBorder="1" applyAlignment="1"/>
    <xf numFmtId="0" fontId="6" fillId="0" borderId="9" xfId="33" applyFont="1" applyBorder="1"/>
    <xf numFmtId="0" fontId="9" fillId="0" borderId="0" xfId="33" applyFont="1"/>
    <xf numFmtId="0" fontId="4" fillId="0" borderId="4" xfId="33" applyFont="1" applyBorder="1"/>
    <xf numFmtId="0" fontId="10" fillId="0" borderId="0" xfId="33" applyFont="1" applyBorder="1"/>
    <xf numFmtId="0" fontId="6" fillId="0" borderId="0" xfId="31" applyFont="1" applyFill="1" applyBorder="1" applyAlignment="1"/>
    <xf numFmtId="0" fontId="6" fillId="0" borderId="4" xfId="33" applyFont="1" applyBorder="1" applyAlignment="1">
      <alignment horizontal="left"/>
    </xf>
    <xf numFmtId="0" fontId="6" fillId="0" borderId="0" xfId="33" applyFont="1" applyAlignment="1">
      <alignment horizontal="left"/>
    </xf>
    <xf numFmtId="0" fontId="6" fillId="0" borderId="6" xfId="33" applyFont="1" applyBorder="1" applyAlignment="1">
      <alignment horizontal="left"/>
    </xf>
    <xf numFmtId="0" fontId="4" fillId="0" borderId="0" xfId="31" applyFont="1" applyFill="1" applyBorder="1" applyAlignment="1">
      <alignment horizontal="left" vertical="center"/>
    </xf>
    <xf numFmtId="0" fontId="6" fillId="0" borderId="0" xfId="31" applyFont="1" applyFill="1" applyBorder="1" applyAlignment="1">
      <alignment horizontal="center" vertical="center"/>
    </xf>
    <xf numFmtId="0" fontId="4" fillId="0" borderId="2" xfId="33" applyFont="1" applyBorder="1"/>
    <xf numFmtId="0" fontId="7" fillId="0" borderId="5" xfId="52" applyFont="1" applyBorder="1" applyAlignment="1"/>
    <xf numFmtId="182" fontId="6" fillId="0" borderId="0" xfId="31" applyNumberFormat="1" applyFont="1" applyFill="1" applyBorder="1" applyAlignment="1">
      <alignment horizontal="center" vertical="center"/>
    </xf>
    <xf numFmtId="0" fontId="6" fillId="0" borderId="7" xfId="31" applyFont="1" applyFill="1" applyBorder="1" applyAlignment="1">
      <alignment horizontal="left"/>
    </xf>
    <xf numFmtId="0" fontId="6" fillId="0" borderId="8" xfId="31" applyFont="1" applyFill="1" applyBorder="1" applyAlignment="1">
      <alignment horizontal="left"/>
    </xf>
    <xf numFmtId="0" fontId="6" fillId="0" borderId="9" xfId="31" applyFont="1" applyFill="1" applyBorder="1" applyAlignment="1">
      <alignment horizontal="left"/>
    </xf>
    <xf numFmtId="0" fontId="4" fillId="0" borderId="0" xfId="33" applyFont="1" applyBorder="1"/>
    <xf numFmtId="0" fontId="7" fillId="0" borderId="6" xfId="33" applyFont="1" applyBorder="1"/>
    <xf numFmtId="0" fontId="11" fillId="0" borderId="6" xfId="33" applyFont="1" applyBorder="1" applyAlignment="1">
      <alignment horizontal="right"/>
    </xf>
    <xf numFmtId="181" fontId="6" fillId="0" borderId="7" xfId="31" applyNumberFormat="1" applyFont="1" applyFill="1" applyBorder="1" applyAlignment="1">
      <alignment horizontal="left"/>
    </xf>
    <xf numFmtId="181" fontId="6" fillId="0" borderId="9" xfId="31" applyNumberFormat="1" applyFont="1" applyFill="1" applyBorder="1" applyAlignment="1">
      <alignment horizontal="left"/>
    </xf>
    <xf numFmtId="0" fontId="4" fillId="2" borderId="4" xfId="52" applyFont="1" applyFill="1" applyBorder="1" applyAlignment="1">
      <alignment horizontal="center" vertical="center"/>
    </xf>
    <xf numFmtId="0" fontId="4" fillId="2" borderId="0" xfId="52" applyFont="1" applyFill="1" applyBorder="1" applyAlignment="1">
      <alignment horizontal="center" vertical="center"/>
    </xf>
    <xf numFmtId="0" fontId="4" fillId="2" borderId="0" xfId="33" applyFont="1" applyFill="1" applyBorder="1" applyAlignment="1">
      <alignment horizontal="center" vertical="center"/>
    </xf>
    <xf numFmtId="0" fontId="4" fillId="2" borderId="0" xfId="33" applyFont="1" applyFill="1" applyBorder="1" applyAlignment="1">
      <alignment horizontal="center"/>
    </xf>
    <xf numFmtId="0" fontId="6" fillId="3" borderId="4" xfId="31" applyFont="1" applyFill="1" applyBorder="1" applyAlignment="1">
      <alignment horizontal="center" vertical="center" wrapText="1" shrinkToFit="1"/>
    </xf>
    <xf numFmtId="0" fontId="6" fillId="3" borderId="0" xfId="31" applyFont="1" applyFill="1" applyBorder="1" applyAlignment="1">
      <alignment horizontal="left" vertical="center" wrapText="1" shrinkToFit="1"/>
    </xf>
    <xf numFmtId="0" fontId="6" fillId="3" borderId="0" xfId="31" applyFont="1" applyFill="1" applyBorder="1" applyAlignment="1">
      <alignment horizontal="center" vertical="center" wrapText="1" shrinkToFit="1"/>
    </xf>
    <xf numFmtId="0" fontId="6" fillId="2" borderId="0" xfId="31" applyFont="1" applyFill="1" applyAlignment="1">
      <alignment horizontal="left" vertical="center" shrinkToFit="1"/>
    </xf>
    <xf numFmtId="183" fontId="6" fillId="3" borderId="0" xfId="31" applyNumberFormat="1" applyFont="1" applyFill="1" applyBorder="1" applyAlignment="1">
      <alignment horizontal="center" vertical="center" shrinkToFit="1"/>
    </xf>
    <xf numFmtId="184" fontId="6" fillId="3" borderId="0" xfId="31" applyNumberFormat="1" applyFont="1" applyFill="1" applyBorder="1" applyAlignment="1">
      <alignment horizontal="center" vertical="center" wrapText="1" shrinkToFit="1"/>
    </xf>
    <xf numFmtId="185" fontId="6" fillId="3" borderId="0" xfId="31" applyNumberFormat="1" applyFont="1" applyFill="1" applyBorder="1" applyAlignment="1">
      <alignment horizontal="center" vertical="center" wrapText="1" shrinkToFit="1"/>
    </xf>
    <xf numFmtId="0" fontId="6" fillId="0" borderId="10" xfId="53" applyFont="1" applyFill="1" applyBorder="1" applyAlignment="1">
      <alignment horizontal="center" vertical="center" wrapText="1" shrinkToFit="1"/>
    </xf>
    <xf numFmtId="0" fontId="6" fillId="0" borderId="11" xfId="53" applyFont="1" applyFill="1" applyBorder="1" applyAlignment="1">
      <alignment horizontal="center" vertical="center" wrapText="1" shrinkToFit="1"/>
    </xf>
    <xf numFmtId="0" fontId="6" fillId="0" borderId="11" xfId="33" applyFont="1" applyBorder="1" applyAlignment="1">
      <alignment horizontal="center" vertical="center" wrapText="1" shrinkToFit="1"/>
    </xf>
    <xf numFmtId="184" fontId="7" fillId="0" borderId="11" xfId="33" applyNumberFormat="1" applyFont="1" applyBorder="1" applyAlignment="1">
      <alignment horizontal="center" vertical="center" wrapText="1" shrinkToFit="1"/>
    </xf>
    <xf numFmtId="185" fontId="6" fillId="0" borderId="11" xfId="33" applyNumberFormat="1" applyFont="1" applyBorder="1" applyAlignment="1">
      <alignment horizontal="center" vertical="center" wrapText="1" shrinkToFit="1"/>
    </xf>
    <xf numFmtId="183" fontId="4" fillId="3" borderId="4" xfId="33" applyNumberFormat="1" applyFont="1" applyFill="1" applyBorder="1" applyAlignment="1">
      <alignment horizontal="center"/>
    </xf>
    <xf numFmtId="0" fontId="4" fillId="0" borderId="0" xfId="33" applyFont="1" applyFill="1" applyBorder="1" applyAlignment="1">
      <alignment horizontal="left"/>
    </xf>
    <xf numFmtId="0" fontId="4" fillId="0" borderId="0" xfId="33" applyFont="1" applyFill="1" applyBorder="1" applyAlignment="1">
      <alignment horizontal="center"/>
    </xf>
    <xf numFmtId="184" fontId="4" fillId="3" borderId="0" xfId="33" applyNumberFormat="1" applyFont="1" applyFill="1" applyBorder="1" applyAlignment="1">
      <alignment horizontal="center"/>
    </xf>
    <xf numFmtId="0" fontId="4" fillId="3" borderId="0" xfId="33" applyFont="1" applyFill="1" applyBorder="1" applyAlignment="1">
      <alignment horizontal="center"/>
    </xf>
    <xf numFmtId="185" fontId="4" fillId="3" borderId="0" xfId="33" applyNumberFormat="1" applyFont="1" applyFill="1" applyBorder="1" applyAlignment="1">
      <alignment horizontal="center"/>
    </xf>
    <xf numFmtId="0" fontId="3" fillId="0" borderId="4" xfId="31" applyBorder="1">
      <alignment vertical="center"/>
    </xf>
    <xf numFmtId="0" fontId="8" fillId="3" borderId="0" xfId="33" applyFont="1" applyFill="1" applyAlignment="1">
      <alignment horizontal="center" vertical="center"/>
    </xf>
    <xf numFmtId="183" fontId="6" fillId="3" borderId="0" xfId="33" applyNumberFormat="1" applyFont="1" applyFill="1"/>
    <xf numFmtId="0" fontId="8" fillId="3" borderId="0" xfId="33" applyFont="1" applyFill="1"/>
    <xf numFmtId="0" fontId="3" fillId="0" borderId="7" xfId="31" applyBorder="1">
      <alignment vertical="center"/>
    </xf>
    <xf numFmtId="0" fontId="3" fillId="0" borderId="8" xfId="31" applyBorder="1">
      <alignment vertical="center"/>
    </xf>
    <xf numFmtId="0" fontId="4" fillId="0" borderId="5" xfId="33" applyFont="1" applyBorder="1" applyAlignment="1">
      <alignment horizontal="center" vertical="center"/>
    </xf>
    <xf numFmtId="0" fontId="5" fillId="0" borderId="6" xfId="31" applyFont="1" applyBorder="1">
      <alignment vertical="center"/>
    </xf>
    <xf numFmtId="0" fontId="12" fillId="0" borderId="6" xfId="31" applyFont="1" applyFill="1" applyBorder="1" applyAlignment="1"/>
    <xf numFmtId="0" fontId="6" fillId="0" borderId="0" xfId="33" applyFont="1" applyAlignment="1">
      <alignment horizontal="center" vertical="center"/>
    </xf>
    <xf numFmtId="0" fontId="13" fillId="2" borderId="5" xfId="31" applyFont="1" applyFill="1" applyBorder="1" applyAlignment="1">
      <alignment horizontal="center" vertical="center" wrapText="1"/>
    </xf>
    <xf numFmtId="0" fontId="14" fillId="2" borderId="6" xfId="31" applyFont="1" applyFill="1" applyBorder="1" applyAlignment="1">
      <alignment horizontal="center" vertical="center" wrapText="1"/>
    </xf>
    <xf numFmtId="0" fontId="6" fillId="3" borderId="6" xfId="31" applyFont="1" applyFill="1" applyBorder="1" applyAlignment="1">
      <alignment horizontal="center" vertical="center" wrapText="1"/>
    </xf>
    <xf numFmtId="0" fontId="3" fillId="3" borderId="6" xfId="31" applyFill="1" applyBorder="1">
      <alignment vertical="center"/>
    </xf>
    <xf numFmtId="185" fontId="4" fillId="0" borderId="11" xfId="33" applyNumberFormat="1" applyFont="1" applyBorder="1" applyAlignment="1">
      <alignment horizontal="center" vertical="center" wrapText="1" shrinkToFit="1"/>
    </xf>
    <xf numFmtId="185" fontId="4" fillId="0" borderId="12" xfId="33" applyNumberFormat="1" applyFont="1" applyBorder="1" applyAlignment="1">
      <alignment horizontal="center" vertical="center" wrapText="1" shrinkToFit="1"/>
    </xf>
    <xf numFmtId="185" fontId="4" fillId="3" borderId="6" xfId="33" applyNumberFormat="1" applyFont="1" applyFill="1" applyBorder="1" applyAlignment="1">
      <alignment horizontal="center"/>
    </xf>
    <xf numFmtId="0" fontId="3" fillId="0" borderId="6" xfId="31" applyBorder="1">
      <alignment vertical="center"/>
    </xf>
    <xf numFmtId="0" fontId="3" fillId="0" borderId="9" xfId="31" applyBorder="1">
      <alignment vertical="center"/>
    </xf>
    <xf numFmtId="0" fontId="15" fillId="0" borderId="0" xfId="31" applyFont="1">
      <alignment vertical="center"/>
    </xf>
    <xf numFmtId="0" fontId="16" fillId="0" borderId="2" xfId="52" applyFont="1" applyBorder="1" applyAlignment="1">
      <alignment horizontal="center"/>
    </xf>
    <xf numFmtId="0" fontId="16" fillId="0" borderId="3" xfId="52" applyFont="1" applyBorder="1" applyAlignment="1">
      <alignment horizontal="center"/>
    </xf>
    <xf numFmtId="0" fontId="4" fillId="2" borderId="2" xfId="52" applyFont="1" applyFill="1" applyBorder="1"/>
    <xf numFmtId="0" fontId="4" fillId="2" borderId="3" xfId="52" applyFont="1" applyFill="1" applyBorder="1"/>
    <xf numFmtId="0" fontId="6" fillId="0" borderId="3" xfId="52" applyFont="1" applyBorder="1"/>
    <xf numFmtId="0" fontId="6" fillId="2" borderId="3" xfId="52" applyFont="1" applyFill="1" applyBorder="1"/>
    <xf numFmtId="0" fontId="6" fillId="0" borderId="0" xfId="52" applyFont="1" applyBorder="1"/>
    <xf numFmtId="0" fontId="6" fillId="0" borderId="6" xfId="52" applyFont="1" applyBorder="1"/>
    <xf numFmtId="0" fontId="6" fillId="3" borderId="4" xfId="31" applyFont="1" applyFill="1" applyBorder="1" applyAlignment="1"/>
    <xf numFmtId="0" fontId="6" fillId="2" borderId="0" xfId="52" applyFont="1" applyFill="1" applyBorder="1"/>
    <xf numFmtId="49" fontId="6" fillId="2" borderId="0" xfId="52" applyNumberFormat="1" applyFont="1" applyFill="1" applyBorder="1" applyAlignment="1">
      <alignment horizontal="center"/>
    </xf>
    <xf numFmtId="49" fontId="6" fillId="0" borderId="0" xfId="52" applyNumberFormat="1" applyFont="1" applyBorder="1" applyAlignment="1">
      <alignment horizontal="center"/>
    </xf>
    <xf numFmtId="0" fontId="6" fillId="0" borderId="4" xfId="31" applyFont="1" applyFill="1" applyBorder="1" applyAlignment="1">
      <alignment vertical="top" wrapText="1"/>
    </xf>
    <xf numFmtId="0" fontId="6" fillId="0" borderId="0" xfId="31" applyFont="1" applyFill="1" applyBorder="1" applyAlignment="1">
      <alignment vertical="top" wrapText="1"/>
    </xf>
    <xf numFmtId="0" fontId="6" fillId="0" borderId="6" xfId="31" applyFont="1" applyFill="1" applyBorder="1" applyAlignment="1">
      <alignment vertical="top" wrapText="1"/>
    </xf>
    <xf numFmtId="181" fontId="6" fillId="2" borderId="0" xfId="31" applyNumberFormat="1" applyFont="1" applyFill="1" applyBorder="1" applyAlignment="1"/>
    <xf numFmtId="181" fontId="6" fillId="0" borderId="0" xfId="31" applyNumberFormat="1" applyFont="1" applyFill="1" applyBorder="1" applyAlignment="1">
      <alignment horizontal="left"/>
    </xf>
    <xf numFmtId="0" fontId="6" fillId="0" borderId="4" xfId="52" applyFont="1" applyBorder="1"/>
    <xf numFmtId="0" fontId="6" fillId="0" borderId="8" xfId="52" applyFont="1" applyBorder="1" applyAlignment="1">
      <alignment horizontal="left"/>
    </xf>
    <xf numFmtId="0" fontId="6" fillId="0" borderId="9" xfId="52" applyFont="1" applyBorder="1"/>
    <xf numFmtId="0" fontId="6" fillId="0" borderId="7" xfId="52" applyFont="1" applyBorder="1"/>
    <xf numFmtId="0" fontId="6" fillId="2" borderId="5" xfId="52" applyFont="1" applyFill="1" applyBorder="1"/>
    <xf numFmtId="0" fontId="4" fillId="0" borderId="2" xfId="52" applyFont="1" applyBorder="1"/>
    <xf numFmtId="0" fontId="6" fillId="0" borderId="4" xfId="33" applyFont="1" applyFill="1" applyBorder="1" applyAlignment="1">
      <alignment horizontal="left"/>
    </xf>
    <xf numFmtId="0" fontId="6" fillId="0" borderId="0" xfId="33" applyFont="1" applyFill="1" applyBorder="1" applyAlignment="1">
      <alignment horizontal="left"/>
    </xf>
    <xf numFmtId="0" fontId="4" fillId="0" borderId="6" xfId="33" applyFont="1" applyFill="1" applyBorder="1" applyAlignment="1">
      <alignment horizontal="left"/>
    </xf>
    <xf numFmtId="0" fontId="8" fillId="0" borderId="4" xfId="0" applyFont="1" applyFill="1" applyBorder="1" applyAlignment="1">
      <alignment vertical="top" wrapText="1"/>
    </xf>
    <xf numFmtId="0" fontId="6" fillId="0" borderId="0" xfId="0" applyFont="1" applyFill="1" applyBorder="1" applyAlignment="1">
      <alignment vertical="top" wrapText="1"/>
    </xf>
    <xf numFmtId="0" fontId="6" fillId="0" borderId="6" xfId="0" applyFont="1" applyFill="1" applyBorder="1" applyAlignment="1">
      <alignment vertical="top" wrapText="1"/>
    </xf>
    <xf numFmtId="0" fontId="6" fillId="0" borderId="4" xfId="52" applyFont="1" applyBorder="1" applyAlignment="1">
      <alignment horizontal="center"/>
    </xf>
    <xf numFmtId="0" fontId="6" fillId="0" borderId="0" xfId="52" applyFont="1" applyBorder="1" applyAlignment="1">
      <alignment horizontal="center"/>
    </xf>
    <xf numFmtId="0" fontId="6" fillId="0" borderId="4" xfId="0" applyFont="1" applyFill="1" applyBorder="1" applyAlignment="1">
      <alignment vertical="top" wrapText="1"/>
    </xf>
    <xf numFmtId="0" fontId="6" fillId="0" borderId="2" xfId="52" applyFont="1" applyBorder="1"/>
    <xf numFmtId="0" fontId="6" fillId="0" borderId="5" xfId="52" applyFont="1" applyBorder="1"/>
    <xf numFmtId="0" fontId="6" fillId="0" borderId="0" xfId="33" applyFont="1" applyBorder="1" applyAlignment="1">
      <alignment horizontal="left"/>
    </xf>
    <xf numFmtId="0" fontId="6" fillId="2" borderId="0" xfId="31" applyFont="1" applyFill="1" applyBorder="1" applyAlignment="1"/>
    <xf numFmtId="0" fontId="4" fillId="0" borderId="0" xfId="52" applyFont="1" applyBorder="1"/>
    <xf numFmtId="0" fontId="6" fillId="0" borderId="4" xfId="31" applyFont="1" applyFill="1" applyBorder="1" applyAlignment="1">
      <alignment horizontal="left"/>
    </xf>
    <xf numFmtId="0" fontId="6" fillId="0" borderId="6" xfId="31" applyFont="1" applyFill="1" applyBorder="1" applyAlignment="1">
      <alignment horizontal="left"/>
    </xf>
    <xf numFmtId="0" fontId="8" fillId="0" borderId="0" xfId="52" applyFont="1" applyBorder="1"/>
    <xf numFmtId="0" fontId="8" fillId="0" borderId="7" xfId="31" applyFont="1" applyFill="1" applyBorder="1" applyAlignment="1"/>
    <xf numFmtId="0" fontId="6" fillId="0" borderId="9" xfId="52" applyFont="1" applyBorder="1" applyAlignment="1"/>
    <xf numFmtId="0" fontId="4" fillId="0" borderId="4" xfId="52" applyFont="1" applyBorder="1"/>
    <xf numFmtId="0" fontId="6" fillId="0" borderId="9" xfId="31" applyFont="1" applyFill="1" applyBorder="1" applyAlignment="1">
      <alignment horizontal="center"/>
    </xf>
    <xf numFmtId="0" fontId="8" fillId="3" borderId="7" xfId="52" applyFont="1" applyFill="1" applyBorder="1"/>
    <xf numFmtId="0" fontId="6" fillId="3" borderId="8" xfId="52" applyFont="1" applyFill="1" applyBorder="1"/>
    <xf numFmtId="0" fontId="4" fillId="0" borderId="4" xfId="52" applyFont="1" applyBorder="1" applyAlignment="1">
      <alignment horizontal="center" vertical="center"/>
    </xf>
    <xf numFmtId="0" fontId="4" fillId="0" borderId="0" xfId="52" applyFont="1" applyBorder="1" applyAlignment="1">
      <alignment horizontal="center" vertical="center" wrapText="1"/>
    </xf>
    <xf numFmtId="0" fontId="6" fillId="0" borderId="4" xfId="31" applyFont="1" applyFill="1" applyBorder="1" applyAlignment="1">
      <alignment horizontal="center" vertical="center" wrapText="1" shrinkToFit="1"/>
    </xf>
    <xf numFmtId="0" fontId="6" fillId="0" borderId="0" xfId="31" applyFont="1" applyFill="1" applyBorder="1" applyAlignment="1">
      <alignment horizontal="center" vertical="center" wrapText="1" shrinkToFit="1"/>
    </xf>
    <xf numFmtId="186" fontId="6" fillId="3" borderId="0" xfId="31" applyNumberFormat="1" applyFont="1" applyFill="1" applyBorder="1" applyAlignment="1">
      <alignment horizontal="center" vertical="center" wrapText="1" shrinkToFit="1"/>
    </xf>
    <xf numFmtId="187" fontId="6" fillId="3" borderId="0" xfId="31" applyNumberFormat="1" applyFont="1" applyFill="1" applyBorder="1" applyAlignment="1">
      <alignment horizontal="center" vertical="center" wrapText="1" shrinkToFit="1"/>
    </xf>
    <xf numFmtId="0" fontId="6" fillId="3" borderId="0" xfId="31" applyNumberFormat="1" applyFont="1" applyFill="1" applyBorder="1" applyAlignment="1">
      <alignment horizontal="center" vertical="center" wrapText="1" shrinkToFit="1"/>
    </xf>
    <xf numFmtId="0" fontId="6" fillId="0" borderId="13" xfId="52" applyFont="1" applyBorder="1"/>
    <xf numFmtId="0" fontId="6" fillId="0" borderId="14" xfId="52" applyFont="1" applyBorder="1"/>
    <xf numFmtId="0" fontId="6" fillId="0" borderId="14" xfId="52" applyFont="1" applyBorder="1" applyAlignment="1">
      <alignment horizontal="left"/>
    </xf>
    <xf numFmtId="184" fontId="4" fillId="3" borderId="14" xfId="52" applyNumberFormat="1" applyFont="1" applyFill="1" applyBorder="1" applyAlignment="1">
      <alignment horizontal="center"/>
    </xf>
    <xf numFmtId="0" fontId="4" fillId="0" borderId="14" xfId="52" applyFont="1" applyFill="1" applyBorder="1"/>
    <xf numFmtId="187" fontId="4" fillId="0" borderId="14" xfId="52" applyNumberFormat="1" applyFont="1" applyBorder="1" applyAlignment="1">
      <alignment horizontal="center"/>
    </xf>
    <xf numFmtId="0" fontId="16" fillId="0" borderId="5" xfId="52" applyFont="1" applyBorder="1" applyAlignment="1">
      <alignment horizontal="center"/>
    </xf>
    <xf numFmtId="0" fontId="12" fillId="0" borderId="3" xfId="31" applyFont="1" applyFill="1" applyBorder="1" applyAlignment="1"/>
    <xf numFmtId="0" fontId="12" fillId="0" borderId="0" xfId="31" applyFont="1" applyFill="1" applyAlignment="1"/>
    <xf numFmtId="0" fontId="12" fillId="0" borderId="8" xfId="31" applyFont="1" applyFill="1" applyBorder="1" applyAlignment="1">
      <alignment vertical="center"/>
    </xf>
    <xf numFmtId="0" fontId="17" fillId="0" borderId="9" xfId="31" applyFont="1" applyFill="1" applyBorder="1" applyAlignment="1">
      <alignment vertical="center"/>
    </xf>
    <xf numFmtId="0" fontId="12" fillId="0" borderId="3" xfId="31" applyFont="1" applyFill="1" applyBorder="1" applyAlignment="1">
      <alignment vertical="center"/>
    </xf>
    <xf numFmtId="0" fontId="12" fillId="0" borderId="0" xfId="31" applyFont="1" applyFill="1" applyAlignment="1">
      <alignment vertical="center"/>
    </xf>
    <xf numFmtId="0" fontId="12" fillId="0" borderId="6" xfId="31" applyFont="1" applyFill="1" applyBorder="1" applyAlignment="1">
      <alignment vertical="center"/>
    </xf>
    <xf numFmtId="0" fontId="17" fillId="0" borderId="0" xfId="31" applyFont="1" applyFill="1" applyAlignment="1">
      <alignment vertical="center"/>
    </xf>
    <xf numFmtId="0" fontId="17" fillId="0" borderId="6" xfId="31" applyFont="1" applyFill="1" applyBorder="1" applyAlignment="1">
      <alignment vertical="center"/>
    </xf>
    <xf numFmtId="0" fontId="12" fillId="0" borderId="0" xfId="31" applyFont="1" applyFill="1" applyBorder="1" applyAlignment="1"/>
    <xf numFmtId="0" fontId="7" fillId="0" borderId="8" xfId="33" applyFont="1" applyBorder="1"/>
    <xf numFmtId="0" fontId="12" fillId="0" borderId="8" xfId="31" applyFont="1" applyFill="1" applyBorder="1" applyAlignment="1"/>
    <xf numFmtId="0" fontId="14" fillId="2" borderId="3" xfId="31" applyFont="1" applyFill="1" applyBorder="1" applyAlignment="1">
      <alignment horizontal="center" vertical="center"/>
    </xf>
    <xf numFmtId="0" fontId="13" fillId="2" borderId="3" xfId="31" applyFont="1" applyFill="1" applyBorder="1" applyAlignment="1">
      <alignment horizontal="center" vertical="center"/>
    </xf>
    <xf numFmtId="0" fontId="13" fillId="0" borderId="5" xfId="31" applyFont="1" applyFill="1" applyBorder="1" applyAlignment="1">
      <alignment horizontal="center" vertical="center"/>
    </xf>
    <xf numFmtId="0" fontId="18" fillId="3" borderId="0" xfId="31" applyFont="1" applyFill="1" applyBorder="1" applyAlignment="1">
      <alignment horizontal="center" vertical="center" wrapText="1" shrinkToFit="1"/>
    </xf>
    <xf numFmtId="0" fontId="19" fillId="0" borderId="6" xfId="31" applyFont="1" applyFill="1" applyBorder="1" applyAlignment="1">
      <alignment horizontal="center" vertical="center" wrapText="1"/>
    </xf>
    <xf numFmtId="185" fontId="4" fillId="3" borderId="14" xfId="52" applyNumberFormat="1" applyFont="1" applyFill="1" applyBorder="1" applyAlignment="1">
      <alignment horizontal="center"/>
    </xf>
    <xf numFmtId="0" fontId="14" fillId="0" borderId="8" xfId="31" applyFont="1" applyFill="1" applyBorder="1" applyAlignment="1"/>
    <xf numFmtId="0" fontId="20" fillId="0" borderId="9" xfId="31" applyFont="1" applyFill="1" applyBorder="1" applyAlignment="1"/>
    <xf numFmtId="0" fontId="2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2" fillId="0" borderId="0" xfId="30" applyFont="1" applyFill="1" applyAlignment="1">
      <alignment horizontal="center"/>
    </xf>
    <xf numFmtId="0" fontId="21" fillId="0" borderId="0" xfId="30" applyFont="1" applyFill="1"/>
    <xf numFmtId="0" fontId="23" fillId="0" borderId="0" xfId="30" applyFont="1" applyFill="1"/>
    <xf numFmtId="0" fontId="23" fillId="0" borderId="0" xfId="30" applyFont="1" applyFill="1" applyAlignment="1">
      <alignment horizontal="center"/>
    </xf>
    <xf numFmtId="178" fontId="23" fillId="0" borderId="0" xfId="30" applyNumberFormat="1" applyFont="1" applyFill="1" applyAlignment="1">
      <alignment horizontal="center"/>
    </xf>
    <xf numFmtId="0" fontId="24" fillId="0" borderId="0" xfId="0" applyFont="1" applyFill="1" applyAlignment="1">
      <alignment horizontal="center" vertical="center"/>
    </xf>
    <xf numFmtId="0" fontId="21" fillId="0" borderId="0" xfId="30" applyFont="1" applyFill="1" applyAlignment="1">
      <alignment vertical="center"/>
    </xf>
    <xf numFmtId="0" fontId="21" fillId="0" borderId="0" xfId="0" applyFont="1" applyFill="1" applyAlignment="1">
      <alignment horizontal="left"/>
    </xf>
    <xf numFmtId="0" fontId="21" fillId="0" borderId="0" xfId="30" applyFont="1" applyFill="1" applyAlignment="1">
      <alignment horizontal="center"/>
    </xf>
    <xf numFmtId="178" fontId="21" fillId="0" borderId="0" xfId="30" applyNumberFormat="1" applyFont="1" applyFill="1" applyAlignment="1">
      <alignment horizontal="center"/>
    </xf>
    <xf numFmtId="0" fontId="1" fillId="0" borderId="0" xfId="30" applyFont="1" applyFill="1" applyAlignment="1"/>
    <xf numFmtId="0" fontId="23" fillId="0" borderId="0" xfId="30" applyFont="1" applyFill="1" applyAlignment="1"/>
    <xf numFmtId="0" fontId="23" fillId="0" borderId="0" xfId="30" applyFont="1" applyFill="1" applyBorder="1" applyAlignment="1">
      <alignment wrapText="1"/>
    </xf>
    <xf numFmtId="188" fontId="25" fillId="0" borderId="0" xfId="30" applyNumberFormat="1" applyFont="1" applyFill="1" applyAlignment="1">
      <alignment horizontal="left"/>
    </xf>
    <xf numFmtId="0" fontId="23" fillId="0" borderId="0" xfId="30" applyFont="1" applyFill="1" applyBorder="1" applyAlignment="1"/>
    <xf numFmtId="0" fontId="8" fillId="0" borderId="0" xfId="30" applyFont="1" applyFill="1"/>
    <xf numFmtId="0" fontId="8" fillId="0" borderId="0" xfId="30" applyFont="1" applyFill="1" applyAlignment="1">
      <alignment horizontal="center"/>
    </xf>
    <xf numFmtId="0" fontId="8" fillId="0" borderId="0" xfId="30" applyFont="1" applyFill="1" applyAlignment="1">
      <alignment horizontal="left"/>
    </xf>
    <xf numFmtId="0" fontId="8" fillId="0" borderId="0" xfId="30" applyFont="1" applyFill="1" applyAlignment="1"/>
    <xf numFmtId="0" fontId="23" fillId="0" borderId="0" xfId="0" applyFont="1" applyFill="1" applyAlignment="1"/>
    <xf numFmtId="0" fontId="8" fillId="0" borderId="0" xfId="30" applyFont="1" applyFill="1" applyAlignment="1">
      <alignment wrapText="1"/>
    </xf>
    <xf numFmtId="0" fontId="8" fillId="0" borderId="0" xfId="30" applyFont="1" applyFill="1" applyAlignment="1">
      <alignment vertical="center"/>
    </xf>
    <xf numFmtId="0" fontId="8" fillId="0" borderId="0" xfId="30" applyFont="1" applyFill="1" applyAlignment="1">
      <alignment horizontal="left" vertical="center"/>
    </xf>
    <xf numFmtId="0" fontId="26" fillId="0" borderId="0" xfId="0" applyFont="1">
      <alignment vertical="center"/>
    </xf>
    <xf numFmtId="0" fontId="1" fillId="0" borderId="0" xfId="0" applyFont="1" applyFill="1" applyAlignment="1"/>
    <xf numFmtId="0" fontId="1" fillId="0" borderId="0" xfId="30" applyFont="1" applyFill="1"/>
  </cellXfs>
  <cellStyles count="55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常规_Sheet2" xfId="30"/>
    <cellStyle name="一般 2" xfId="31"/>
    <cellStyle name="汇总" xfId="32" builtinId="25"/>
    <cellStyle name="一般_OMRON海運出口" xfId="33"/>
    <cellStyle name="好" xfId="34" builtinId="26"/>
    <cellStyle name="适中" xfId="35" builtinId="28"/>
    <cellStyle name="20% - 强调文字颜色 5" xfId="36" builtinId="46"/>
    <cellStyle name="强调文字颜色 1" xfId="37" builtinId="29"/>
    <cellStyle name="20% - 强调文字颜色 1" xfId="38" builtinId="30"/>
    <cellStyle name="40% - 强调文字颜色 1" xfId="39" builtinId="31"/>
    <cellStyle name="20% - 强调文字颜色 2" xfId="40" builtinId="34"/>
    <cellStyle name="40% - 强调文字颜色 2" xfId="41" builtinId="35"/>
    <cellStyle name="强调文字颜色 3" xfId="42" builtinId="37"/>
    <cellStyle name="强调文字颜色 4" xfId="43" builtinId="41"/>
    <cellStyle name="20% - 强调文字颜色 4" xfId="44" builtinId="42"/>
    <cellStyle name="40% - 强调文字颜色 4" xfId="45" builtinId="43"/>
    <cellStyle name="强调文字颜色 5" xfId="46" builtinId="45"/>
    <cellStyle name="40% - 强调文字颜色 5" xfId="47" builtinId="47"/>
    <cellStyle name="60% - 强调文字颜色 5" xfId="48" builtinId="48"/>
    <cellStyle name="强调文字颜色 6" xfId="49" builtinId="49"/>
    <cellStyle name="40% - 强调文字颜色 6" xfId="50" builtinId="51"/>
    <cellStyle name="60% - 强调文字颜色 6" xfId="51" builtinId="52"/>
    <cellStyle name="一般_OMRON" xfId="52"/>
    <cellStyle name="常规_Sheet1_1" xfId="53"/>
    <cellStyle name="常规_啟德一般貿易" xfId="5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2042841\Desktop\&#36827;&#21475;&#23548;&#20837;&#25968;&#25454;&#27169;&#26495;\&#20013;&#30922;&#27169;&#2649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单票"/>
      <sheetName val="国家代码"/>
      <sheetName val="模板数据"/>
      <sheetName val="采购二课"/>
      <sheetName val="采购联系人"/>
      <sheetName val="快递信息"/>
      <sheetName val="Sheet1"/>
      <sheetName val="Sheet2"/>
      <sheetName val="Sheet3"/>
    </sheetNames>
    <sheetDataSet>
      <sheetData sheetId="0"/>
      <sheetData sheetId="1">
        <row r="1">
          <cell r="A1" t="str">
            <v>国家</v>
          </cell>
          <cell r="B1" t="str">
            <v>代码</v>
          </cell>
        </row>
        <row r="2">
          <cell r="A2" t="str">
            <v>Vietnam</v>
          </cell>
          <cell r="B2">
            <v>141</v>
          </cell>
        </row>
        <row r="3">
          <cell r="A3" t="str">
            <v>Japan</v>
          </cell>
          <cell r="B3">
            <v>116</v>
          </cell>
        </row>
        <row r="4">
          <cell r="A4" t="str">
            <v>Thailand</v>
          </cell>
          <cell r="B4">
            <v>136</v>
          </cell>
        </row>
        <row r="5">
          <cell r="A5" t="str">
            <v>UK</v>
          </cell>
          <cell r="B5">
            <v>303</v>
          </cell>
        </row>
        <row r="6">
          <cell r="A6" t="str">
            <v>PH</v>
          </cell>
          <cell r="B6">
            <v>129</v>
          </cell>
        </row>
        <row r="7">
          <cell r="A7" t="str">
            <v>KR</v>
          </cell>
          <cell r="B7">
            <v>133</v>
          </cell>
        </row>
        <row r="8">
          <cell r="A8" t="str">
            <v>IN</v>
          </cell>
          <cell r="B8">
            <v>111</v>
          </cell>
        </row>
        <row r="9">
          <cell r="A9" t="str">
            <v>MADE IN  CHINA</v>
          </cell>
          <cell r="B9">
            <v>142</v>
          </cell>
        </row>
        <row r="10">
          <cell r="A10" t="str">
            <v>MADE IN TAIWAN , CHINA</v>
          </cell>
          <cell r="B10">
            <v>143</v>
          </cell>
        </row>
        <row r="11">
          <cell r="A11" t="str">
            <v>NZ</v>
          </cell>
          <cell r="B11">
            <v>609</v>
          </cell>
        </row>
        <row r="12">
          <cell r="A12" t="str">
            <v>DE</v>
          </cell>
          <cell r="B12">
            <v>304</v>
          </cell>
        </row>
        <row r="13">
          <cell r="A13" t="str">
            <v>CR</v>
          </cell>
          <cell r="B13">
            <v>415</v>
          </cell>
        </row>
        <row r="14">
          <cell r="A14" t="str">
            <v>US</v>
          </cell>
          <cell r="B14">
            <v>502</v>
          </cell>
        </row>
        <row r="15">
          <cell r="A15" t="str">
            <v>VN</v>
          </cell>
          <cell r="B15">
            <v>141</v>
          </cell>
        </row>
        <row r="16">
          <cell r="A16" t="str">
            <v>MX</v>
          </cell>
          <cell r="B16">
            <v>429</v>
          </cell>
        </row>
        <row r="17">
          <cell r="A17" t="str">
            <v>india</v>
          </cell>
          <cell r="B17">
            <v>111</v>
          </cell>
        </row>
        <row r="18">
          <cell r="A18" t="str">
            <v>EL SALVADOR</v>
          </cell>
          <cell r="B18">
            <v>440</v>
          </cell>
        </row>
        <row r="19">
          <cell r="A19" t="str">
            <v>Malaysia</v>
          </cell>
          <cell r="B19">
            <v>122</v>
          </cell>
        </row>
        <row r="20">
          <cell r="A20" t="str">
            <v>MY</v>
          </cell>
          <cell r="B20">
            <v>122</v>
          </cell>
        </row>
        <row r="21">
          <cell r="A21" t="str">
            <v>MADE IN CHINA</v>
          </cell>
          <cell r="B21">
            <v>142</v>
          </cell>
        </row>
        <row r="22">
          <cell r="A22" t="str">
            <v>MADE IN TAIWAN,CHINA</v>
          </cell>
          <cell r="B22">
            <v>143</v>
          </cell>
        </row>
        <row r="23">
          <cell r="A23" t="str">
            <v>CN</v>
          </cell>
          <cell r="B23">
            <v>142</v>
          </cell>
        </row>
        <row r="24">
          <cell r="A24" t="str">
            <v>Taiwan</v>
          </cell>
          <cell r="B24">
            <v>143</v>
          </cell>
        </row>
        <row r="25">
          <cell r="A25" t="str">
            <v>CHINA</v>
          </cell>
          <cell r="B25">
            <v>142</v>
          </cell>
        </row>
        <row r="26">
          <cell r="A26" t="str">
            <v>TAIWAN,CHINA</v>
          </cell>
          <cell r="B26">
            <v>143</v>
          </cell>
        </row>
        <row r="27">
          <cell r="A27" t="str">
            <v>JP</v>
          </cell>
          <cell r="B27">
            <v>116</v>
          </cell>
        </row>
        <row r="28">
          <cell r="A28" t="str">
            <v>CR</v>
          </cell>
          <cell r="B28">
            <v>415</v>
          </cell>
        </row>
        <row r="29">
          <cell r="A29" t="str">
            <v>The Republic of Costa Rica</v>
          </cell>
          <cell r="B29">
            <v>415</v>
          </cell>
        </row>
        <row r="30">
          <cell r="A30" t="str">
            <v>Costa Rica</v>
          </cell>
          <cell r="B30">
            <v>415</v>
          </cell>
        </row>
        <row r="31">
          <cell r="A31" t="str">
            <v>INDONESIA</v>
          </cell>
          <cell r="B31">
            <v>112</v>
          </cell>
        </row>
        <row r="32">
          <cell r="A32" t="str">
            <v>TH</v>
          </cell>
          <cell r="B32">
            <v>136</v>
          </cell>
        </row>
        <row r="33">
          <cell r="A33" t="str">
            <v>Taiwan, China</v>
          </cell>
          <cell r="B33">
            <v>143</v>
          </cell>
        </row>
        <row r="34">
          <cell r="A34" t="str">
            <v>SG</v>
          </cell>
          <cell r="B34">
            <v>132</v>
          </cell>
        </row>
        <row r="35">
          <cell r="A35" t="str">
            <v>Netherlands</v>
          </cell>
          <cell r="B35">
            <v>309</v>
          </cell>
        </row>
        <row r="36">
          <cell r="A36" t="str">
            <v>Korea</v>
          </cell>
          <cell r="B36">
            <v>133</v>
          </cell>
        </row>
        <row r="37">
          <cell r="A37" t="str">
            <v>Singapore</v>
          </cell>
          <cell r="B37">
            <v>132</v>
          </cell>
        </row>
        <row r="38">
          <cell r="A38" t="str">
            <v>Austria</v>
          </cell>
          <cell r="B38">
            <v>315</v>
          </cell>
        </row>
        <row r="39">
          <cell r="A39" t="str">
            <v>CHN</v>
          </cell>
          <cell r="B39">
            <v>142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34"/>
  <sheetViews>
    <sheetView zoomScale="85" zoomScaleNormal="85" topLeftCell="A13" workbookViewId="0">
      <selection activeCell="A7" sqref="A7:J17"/>
    </sheetView>
  </sheetViews>
  <sheetFormatPr defaultColWidth="7.75" defaultRowHeight="14.25"/>
  <cols>
    <col min="1" max="1" width="16.875" style="191" customWidth="1"/>
    <col min="2" max="2" width="18.5" style="191" customWidth="1"/>
    <col min="3" max="3" width="13.25" style="191" customWidth="1"/>
    <col min="4" max="4" width="21.5" style="191" customWidth="1"/>
    <col min="5" max="5" width="9" style="191" customWidth="1"/>
    <col min="6" max="6" width="10.5" style="191" customWidth="1"/>
    <col min="7" max="7" width="11.5" style="191" customWidth="1"/>
    <col min="8" max="8" width="14.375" style="191" customWidth="1"/>
    <col min="9" max="9" width="5.5" style="191" customWidth="1"/>
    <col min="10" max="10" width="9.5" style="191" customWidth="1"/>
    <col min="11" max="11" width="12.625" style="191" customWidth="1"/>
    <col min="12" max="12" width="25.75" style="191" customWidth="1"/>
    <col min="13" max="245" width="7.75" style="191"/>
    <col min="246" max="246" width="14.125" style="191" customWidth="1"/>
    <col min="247" max="247" width="15.375" style="191" customWidth="1"/>
    <col min="248" max="248" width="7.75" style="191" hidden="1" customWidth="1"/>
    <col min="249" max="249" width="9" style="191" customWidth="1"/>
    <col min="250" max="250" width="14.125" style="191" customWidth="1"/>
    <col min="251" max="251" width="12.375" style="191" customWidth="1"/>
    <col min="252" max="252" width="13" style="191" customWidth="1"/>
    <col min="253" max="253" width="5.5" style="191" customWidth="1"/>
    <col min="254" max="501" width="7.75" style="191"/>
    <col min="502" max="502" width="14.125" style="191" customWidth="1"/>
    <col min="503" max="503" width="15.375" style="191" customWidth="1"/>
    <col min="504" max="504" width="7.75" style="191" hidden="1" customWidth="1"/>
    <col min="505" max="505" width="9" style="191" customWidth="1"/>
    <col min="506" max="506" width="14.125" style="191" customWidth="1"/>
    <col min="507" max="507" width="12.375" style="191" customWidth="1"/>
    <col min="508" max="508" width="13" style="191" customWidth="1"/>
    <col min="509" max="509" width="5.5" style="191" customWidth="1"/>
    <col min="510" max="757" width="7.75" style="191"/>
    <col min="758" max="758" width="14.125" style="191" customWidth="1"/>
    <col min="759" max="759" width="15.375" style="191" customWidth="1"/>
    <col min="760" max="760" width="7.75" style="191" hidden="1" customWidth="1"/>
    <col min="761" max="761" width="9" style="191" customWidth="1"/>
    <col min="762" max="762" width="14.125" style="191" customWidth="1"/>
    <col min="763" max="763" width="12.375" style="191" customWidth="1"/>
    <col min="764" max="764" width="13" style="191" customWidth="1"/>
    <col min="765" max="765" width="5.5" style="191" customWidth="1"/>
    <col min="766" max="1013" width="7.75" style="191"/>
    <col min="1014" max="1014" width="14.125" style="191" customWidth="1"/>
    <col min="1015" max="1015" width="15.375" style="191" customWidth="1"/>
    <col min="1016" max="1016" width="7.75" style="191" hidden="1" customWidth="1"/>
    <col min="1017" max="1017" width="9" style="191" customWidth="1"/>
    <col min="1018" max="1018" width="14.125" style="191" customWidth="1"/>
    <col min="1019" max="1019" width="12.375" style="191" customWidth="1"/>
    <col min="1020" max="1020" width="13" style="191" customWidth="1"/>
    <col min="1021" max="1021" width="5.5" style="191" customWidth="1"/>
    <col min="1022" max="1269" width="7.75" style="191"/>
    <col min="1270" max="1270" width="14.125" style="191" customWidth="1"/>
    <col min="1271" max="1271" width="15.375" style="191" customWidth="1"/>
    <col min="1272" max="1272" width="7.75" style="191" hidden="1" customWidth="1"/>
    <col min="1273" max="1273" width="9" style="191" customWidth="1"/>
    <col min="1274" max="1274" width="14.125" style="191" customWidth="1"/>
    <col min="1275" max="1275" width="12.375" style="191" customWidth="1"/>
    <col min="1276" max="1276" width="13" style="191" customWidth="1"/>
    <col min="1277" max="1277" width="5.5" style="191" customWidth="1"/>
    <col min="1278" max="1525" width="7.75" style="191"/>
    <col min="1526" max="1526" width="14.125" style="191" customWidth="1"/>
    <col min="1527" max="1527" width="15.375" style="191" customWidth="1"/>
    <col min="1528" max="1528" width="7.75" style="191" hidden="1" customWidth="1"/>
    <col min="1529" max="1529" width="9" style="191" customWidth="1"/>
    <col min="1530" max="1530" width="14.125" style="191" customWidth="1"/>
    <col min="1531" max="1531" width="12.375" style="191" customWidth="1"/>
    <col min="1532" max="1532" width="13" style="191" customWidth="1"/>
    <col min="1533" max="1533" width="5.5" style="191" customWidth="1"/>
    <col min="1534" max="1781" width="7.75" style="191"/>
    <col min="1782" max="1782" width="14.125" style="191" customWidth="1"/>
    <col min="1783" max="1783" width="15.375" style="191" customWidth="1"/>
    <col min="1784" max="1784" width="7.75" style="191" hidden="1" customWidth="1"/>
    <col min="1785" max="1785" width="9" style="191" customWidth="1"/>
    <col min="1786" max="1786" width="14.125" style="191" customWidth="1"/>
    <col min="1787" max="1787" width="12.375" style="191" customWidth="1"/>
    <col min="1788" max="1788" width="13" style="191" customWidth="1"/>
    <col min="1789" max="1789" width="5.5" style="191" customWidth="1"/>
    <col min="1790" max="2037" width="7.75" style="191"/>
    <col min="2038" max="2038" width="14.125" style="191" customWidth="1"/>
    <col min="2039" max="2039" width="15.375" style="191" customWidth="1"/>
    <col min="2040" max="2040" width="7.75" style="191" hidden="1" customWidth="1"/>
    <col min="2041" max="2041" width="9" style="191" customWidth="1"/>
    <col min="2042" max="2042" width="14.125" style="191" customWidth="1"/>
    <col min="2043" max="2043" width="12.375" style="191" customWidth="1"/>
    <col min="2044" max="2044" width="13" style="191" customWidth="1"/>
    <col min="2045" max="2045" width="5.5" style="191" customWidth="1"/>
    <col min="2046" max="2293" width="7.75" style="191"/>
    <col min="2294" max="2294" width="14.125" style="191" customWidth="1"/>
    <col min="2295" max="2295" width="15.375" style="191" customWidth="1"/>
    <col min="2296" max="2296" width="7.75" style="191" hidden="1" customWidth="1"/>
    <col min="2297" max="2297" width="9" style="191" customWidth="1"/>
    <col min="2298" max="2298" width="14.125" style="191" customWidth="1"/>
    <col min="2299" max="2299" width="12.375" style="191" customWidth="1"/>
    <col min="2300" max="2300" width="13" style="191" customWidth="1"/>
    <col min="2301" max="2301" width="5.5" style="191" customWidth="1"/>
    <col min="2302" max="2549" width="7.75" style="191"/>
    <col min="2550" max="2550" width="14.125" style="191" customWidth="1"/>
    <col min="2551" max="2551" width="15.375" style="191" customWidth="1"/>
    <col min="2552" max="2552" width="7.75" style="191" hidden="1" customWidth="1"/>
    <col min="2553" max="2553" width="9" style="191" customWidth="1"/>
    <col min="2554" max="2554" width="14.125" style="191" customWidth="1"/>
    <col min="2555" max="2555" width="12.375" style="191" customWidth="1"/>
    <col min="2556" max="2556" width="13" style="191" customWidth="1"/>
    <col min="2557" max="2557" width="5.5" style="191" customWidth="1"/>
    <col min="2558" max="2805" width="7.75" style="191"/>
    <col min="2806" max="2806" width="14.125" style="191" customWidth="1"/>
    <col min="2807" max="2807" width="15.375" style="191" customWidth="1"/>
    <col min="2808" max="2808" width="7.75" style="191" hidden="1" customWidth="1"/>
    <col min="2809" max="2809" width="9" style="191" customWidth="1"/>
    <col min="2810" max="2810" width="14.125" style="191" customWidth="1"/>
    <col min="2811" max="2811" width="12.375" style="191" customWidth="1"/>
    <col min="2812" max="2812" width="13" style="191" customWidth="1"/>
    <col min="2813" max="2813" width="5.5" style="191" customWidth="1"/>
    <col min="2814" max="3061" width="7.75" style="191"/>
    <col min="3062" max="3062" width="14.125" style="191" customWidth="1"/>
    <col min="3063" max="3063" width="15.375" style="191" customWidth="1"/>
    <col min="3064" max="3064" width="7.75" style="191" hidden="1" customWidth="1"/>
    <col min="3065" max="3065" width="9" style="191" customWidth="1"/>
    <col min="3066" max="3066" width="14.125" style="191" customWidth="1"/>
    <col min="3067" max="3067" width="12.375" style="191" customWidth="1"/>
    <col min="3068" max="3068" width="13" style="191" customWidth="1"/>
    <col min="3069" max="3069" width="5.5" style="191" customWidth="1"/>
    <col min="3070" max="3317" width="7.75" style="191"/>
    <col min="3318" max="3318" width="14.125" style="191" customWidth="1"/>
    <col min="3319" max="3319" width="15.375" style="191" customWidth="1"/>
    <col min="3320" max="3320" width="7.75" style="191" hidden="1" customWidth="1"/>
    <col min="3321" max="3321" width="9" style="191" customWidth="1"/>
    <col min="3322" max="3322" width="14.125" style="191" customWidth="1"/>
    <col min="3323" max="3323" width="12.375" style="191" customWidth="1"/>
    <col min="3324" max="3324" width="13" style="191" customWidth="1"/>
    <col min="3325" max="3325" width="5.5" style="191" customWidth="1"/>
    <col min="3326" max="3573" width="7.75" style="191"/>
    <col min="3574" max="3574" width="14.125" style="191" customWidth="1"/>
    <col min="3575" max="3575" width="15.375" style="191" customWidth="1"/>
    <col min="3576" max="3576" width="7.75" style="191" hidden="1" customWidth="1"/>
    <col min="3577" max="3577" width="9" style="191" customWidth="1"/>
    <col min="3578" max="3578" width="14.125" style="191" customWidth="1"/>
    <col min="3579" max="3579" width="12.375" style="191" customWidth="1"/>
    <col min="3580" max="3580" width="13" style="191" customWidth="1"/>
    <col min="3581" max="3581" width="5.5" style="191" customWidth="1"/>
    <col min="3582" max="3829" width="7.75" style="191"/>
    <col min="3830" max="3830" width="14.125" style="191" customWidth="1"/>
    <col min="3831" max="3831" width="15.375" style="191" customWidth="1"/>
    <col min="3832" max="3832" width="7.75" style="191" hidden="1" customWidth="1"/>
    <col min="3833" max="3833" width="9" style="191" customWidth="1"/>
    <col min="3834" max="3834" width="14.125" style="191" customWidth="1"/>
    <col min="3835" max="3835" width="12.375" style="191" customWidth="1"/>
    <col min="3836" max="3836" width="13" style="191" customWidth="1"/>
    <col min="3837" max="3837" width="5.5" style="191" customWidth="1"/>
    <col min="3838" max="4085" width="7.75" style="191"/>
    <col min="4086" max="4086" width="14.125" style="191" customWidth="1"/>
    <col min="4087" max="4087" width="15.375" style="191" customWidth="1"/>
    <col min="4088" max="4088" width="7.75" style="191" hidden="1" customWidth="1"/>
    <col min="4089" max="4089" width="9" style="191" customWidth="1"/>
    <col min="4090" max="4090" width="14.125" style="191" customWidth="1"/>
    <col min="4091" max="4091" width="12.375" style="191" customWidth="1"/>
    <col min="4092" max="4092" width="13" style="191" customWidth="1"/>
    <col min="4093" max="4093" width="5.5" style="191" customWidth="1"/>
    <col min="4094" max="4341" width="7.75" style="191"/>
    <col min="4342" max="4342" width="14.125" style="191" customWidth="1"/>
    <col min="4343" max="4343" width="15.375" style="191" customWidth="1"/>
    <col min="4344" max="4344" width="7.75" style="191" hidden="1" customWidth="1"/>
    <col min="4345" max="4345" width="9" style="191" customWidth="1"/>
    <col min="4346" max="4346" width="14.125" style="191" customWidth="1"/>
    <col min="4347" max="4347" width="12.375" style="191" customWidth="1"/>
    <col min="4348" max="4348" width="13" style="191" customWidth="1"/>
    <col min="4349" max="4349" width="5.5" style="191" customWidth="1"/>
    <col min="4350" max="4597" width="7.75" style="191"/>
    <col min="4598" max="4598" width="14.125" style="191" customWidth="1"/>
    <col min="4599" max="4599" width="15.375" style="191" customWidth="1"/>
    <col min="4600" max="4600" width="7.75" style="191" hidden="1" customWidth="1"/>
    <col min="4601" max="4601" width="9" style="191" customWidth="1"/>
    <col min="4602" max="4602" width="14.125" style="191" customWidth="1"/>
    <col min="4603" max="4603" width="12.375" style="191" customWidth="1"/>
    <col min="4604" max="4604" width="13" style="191" customWidth="1"/>
    <col min="4605" max="4605" width="5.5" style="191" customWidth="1"/>
    <col min="4606" max="4853" width="7.75" style="191"/>
    <col min="4854" max="4854" width="14.125" style="191" customWidth="1"/>
    <col min="4855" max="4855" width="15.375" style="191" customWidth="1"/>
    <col min="4856" max="4856" width="7.75" style="191" hidden="1" customWidth="1"/>
    <col min="4857" max="4857" width="9" style="191" customWidth="1"/>
    <col min="4858" max="4858" width="14.125" style="191" customWidth="1"/>
    <col min="4859" max="4859" width="12.375" style="191" customWidth="1"/>
    <col min="4860" max="4860" width="13" style="191" customWidth="1"/>
    <col min="4861" max="4861" width="5.5" style="191" customWidth="1"/>
    <col min="4862" max="5109" width="7.75" style="191"/>
    <col min="5110" max="5110" width="14.125" style="191" customWidth="1"/>
    <col min="5111" max="5111" width="15.375" style="191" customWidth="1"/>
    <col min="5112" max="5112" width="7.75" style="191" hidden="1" customWidth="1"/>
    <col min="5113" max="5113" width="9" style="191" customWidth="1"/>
    <col min="5114" max="5114" width="14.125" style="191" customWidth="1"/>
    <col min="5115" max="5115" width="12.375" style="191" customWidth="1"/>
    <col min="5116" max="5116" width="13" style="191" customWidth="1"/>
    <col min="5117" max="5117" width="5.5" style="191" customWidth="1"/>
    <col min="5118" max="5365" width="7.75" style="191"/>
    <col min="5366" max="5366" width="14.125" style="191" customWidth="1"/>
    <col min="5367" max="5367" width="15.375" style="191" customWidth="1"/>
    <col min="5368" max="5368" width="7.75" style="191" hidden="1" customWidth="1"/>
    <col min="5369" max="5369" width="9" style="191" customWidth="1"/>
    <col min="5370" max="5370" width="14.125" style="191" customWidth="1"/>
    <col min="5371" max="5371" width="12.375" style="191" customWidth="1"/>
    <col min="5372" max="5372" width="13" style="191" customWidth="1"/>
    <col min="5373" max="5373" width="5.5" style="191" customWidth="1"/>
    <col min="5374" max="5621" width="7.75" style="191"/>
    <col min="5622" max="5622" width="14.125" style="191" customWidth="1"/>
    <col min="5623" max="5623" width="15.375" style="191" customWidth="1"/>
    <col min="5624" max="5624" width="7.75" style="191" hidden="1" customWidth="1"/>
    <col min="5625" max="5625" width="9" style="191" customWidth="1"/>
    <col min="5626" max="5626" width="14.125" style="191" customWidth="1"/>
    <col min="5627" max="5627" width="12.375" style="191" customWidth="1"/>
    <col min="5628" max="5628" width="13" style="191" customWidth="1"/>
    <col min="5629" max="5629" width="5.5" style="191" customWidth="1"/>
    <col min="5630" max="5877" width="7.75" style="191"/>
    <col min="5878" max="5878" width="14.125" style="191" customWidth="1"/>
    <col min="5879" max="5879" width="15.375" style="191" customWidth="1"/>
    <col min="5880" max="5880" width="7.75" style="191" hidden="1" customWidth="1"/>
    <col min="5881" max="5881" width="9" style="191" customWidth="1"/>
    <col min="5882" max="5882" width="14.125" style="191" customWidth="1"/>
    <col min="5883" max="5883" width="12.375" style="191" customWidth="1"/>
    <col min="5884" max="5884" width="13" style="191" customWidth="1"/>
    <col min="5885" max="5885" width="5.5" style="191" customWidth="1"/>
    <col min="5886" max="6133" width="7.75" style="191"/>
    <col min="6134" max="6134" width="14.125" style="191" customWidth="1"/>
    <col min="6135" max="6135" width="15.375" style="191" customWidth="1"/>
    <col min="6136" max="6136" width="7.75" style="191" hidden="1" customWidth="1"/>
    <col min="6137" max="6137" width="9" style="191" customWidth="1"/>
    <col min="6138" max="6138" width="14.125" style="191" customWidth="1"/>
    <col min="6139" max="6139" width="12.375" style="191" customWidth="1"/>
    <col min="6140" max="6140" width="13" style="191" customWidth="1"/>
    <col min="6141" max="6141" width="5.5" style="191" customWidth="1"/>
    <col min="6142" max="6389" width="7.75" style="191"/>
    <col min="6390" max="6390" width="14.125" style="191" customWidth="1"/>
    <col min="6391" max="6391" width="15.375" style="191" customWidth="1"/>
    <col min="6392" max="6392" width="7.75" style="191" hidden="1" customWidth="1"/>
    <col min="6393" max="6393" width="9" style="191" customWidth="1"/>
    <col min="6394" max="6394" width="14.125" style="191" customWidth="1"/>
    <col min="6395" max="6395" width="12.375" style="191" customWidth="1"/>
    <col min="6396" max="6396" width="13" style="191" customWidth="1"/>
    <col min="6397" max="6397" width="5.5" style="191" customWidth="1"/>
    <col min="6398" max="6645" width="7.75" style="191"/>
    <col min="6646" max="6646" width="14.125" style="191" customWidth="1"/>
    <col min="6647" max="6647" width="15.375" style="191" customWidth="1"/>
    <col min="6648" max="6648" width="7.75" style="191" hidden="1" customWidth="1"/>
    <col min="6649" max="6649" width="9" style="191" customWidth="1"/>
    <col min="6650" max="6650" width="14.125" style="191" customWidth="1"/>
    <col min="6651" max="6651" width="12.375" style="191" customWidth="1"/>
    <col min="6652" max="6652" width="13" style="191" customWidth="1"/>
    <col min="6653" max="6653" width="5.5" style="191" customWidth="1"/>
    <col min="6654" max="6901" width="7.75" style="191"/>
    <col min="6902" max="6902" width="14.125" style="191" customWidth="1"/>
    <col min="6903" max="6903" width="15.375" style="191" customWidth="1"/>
    <col min="6904" max="6904" width="7.75" style="191" hidden="1" customWidth="1"/>
    <col min="6905" max="6905" width="9" style="191" customWidth="1"/>
    <col min="6906" max="6906" width="14.125" style="191" customWidth="1"/>
    <col min="6907" max="6907" width="12.375" style="191" customWidth="1"/>
    <col min="6908" max="6908" width="13" style="191" customWidth="1"/>
    <col min="6909" max="6909" width="5.5" style="191" customWidth="1"/>
    <col min="6910" max="7157" width="7.75" style="191"/>
    <col min="7158" max="7158" width="14.125" style="191" customWidth="1"/>
    <col min="7159" max="7159" width="15.375" style="191" customWidth="1"/>
    <col min="7160" max="7160" width="7.75" style="191" hidden="1" customWidth="1"/>
    <col min="7161" max="7161" width="9" style="191" customWidth="1"/>
    <col min="7162" max="7162" width="14.125" style="191" customWidth="1"/>
    <col min="7163" max="7163" width="12.375" style="191" customWidth="1"/>
    <col min="7164" max="7164" width="13" style="191" customWidth="1"/>
    <col min="7165" max="7165" width="5.5" style="191" customWidth="1"/>
    <col min="7166" max="7413" width="7.75" style="191"/>
    <col min="7414" max="7414" width="14.125" style="191" customWidth="1"/>
    <col min="7415" max="7415" width="15.375" style="191" customWidth="1"/>
    <col min="7416" max="7416" width="7.75" style="191" hidden="1" customWidth="1"/>
    <col min="7417" max="7417" width="9" style="191" customWidth="1"/>
    <col min="7418" max="7418" width="14.125" style="191" customWidth="1"/>
    <col min="7419" max="7419" width="12.375" style="191" customWidth="1"/>
    <col min="7420" max="7420" width="13" style="191" customWidth="1"/>
    <col min="7421" max="7421" width="5.5" style="191" customWidth="1"/>
    <col min="7422" max="7669" width="7.75" style="191"/>
    <col min="7670" max="7670" width="14.125" style="191" customWidth="1"/>
    <col min="7671" max="7671" width="15.375" style="191" customWidth="1"/>
    <col min="7672" max="7672" width="7.75" style="191" hidden="1" customWidth="1"/>
    <col min="7673" max="7673" width="9" style="191" customWidth="1"/>
    <col min="7674" max="7674" width="14.125" style="191" customWidth="1"/>
    <col min="7675" max="7675" width="12.375" style="191" customWidth="1"/>
    <col min="7676" max="7676" width="13" style="191" customWidth="1"/>
    <col min="7677" max="7677" width="5.5" style="191" customWidth="1"/>
    <col min="7678" max="7925" width="7.75" style="191"/>
    <col min="7926" max="7926" width="14.125" style="191" customWidth="1"/>
    <col min="7927" max="7927" width="15.375" style="191" customWidth="1"/>
    <col min="7928" max="7928" width="7.75" style="191" hidden="1" customWidth="1"/>
    <col min="7929" max="7929" width="9" style="191" customWidth="1"/>
    <col min="7930" max="7930" width="14.125" style="191" customWidth="1"/>
    <col min="7931" max="7931" width="12.375" style="191" customWidth="1"/>
    <col min="7932" max="7932" width="13" style="191" customWidth="1"/>
    <col min="7933" max="7933" width="5.5" style="191" customWidth="1"/>
    <col min="7934" max="8181" width="7.75" style="191"/>
    <col min="8182" max="8182" width="14.125" style="191" customWidth="1"/>
    <col min="8183" max="8183" width="15.375" style="191" customWidth="1"/>
    <col min="8184" max="8184" width="7.75" style="191" hidden="1" customWidth="1"/>
    <col min="8185" max="8185" width="9" style="191" customWidth="1"/>
    <col min="8186" max="8186" width="14.125" style="191" customWidth="1"/>
    <col min="8187" max="8187" width="12.375" style="191" customWidth="1"/>
    <col min="8188" max="8188" width="13" style="191" customWidth="1"/>
    <col min="8189" max="8189" width="5.5" style="191" customWidth="1"/>
    <col min="8190" max="8437" width="7.75" style="191"/>
    <col min="8438" max="8438" width="14.125" style="191" customWidth="1"/>
    <col min="8439" max="8439" width="15.375" style="191" customWidth="1"/>
    <col min="8440" max="8440" width="7.75" style="191" hidden="1" customWidth="1"/>
    <col min="8441" max="8441" width="9" style="191" customWidth="1"/>
    <col min="8442" max="8442" width="14.125" style="191" customWidth="1"/>
    <col min="8443" max="8443" width="12.375" style="191" customWidth="1"/>
    <col min="8444" max="8444" width="13" style="191" customWidth="1"/>
    <col min="8445" max="8445" width="5.5" style="191" customWidth="1"/>
    <col min="8446" max="8693" width="7.75" style="191"/>
    <col min="8694" max="8694" width="14.125" style="191" customWidth="1"/>
    <col min="8695" max="8695" width="15.375" style="191" customWidth="1"/>
    <col min="8696" max="8696" width="7.75" style="191" hidden="1" customWidth="1"/>
    <col min="8697" max="8697" width="9" style="191" customWidth="1"/>
    <col min="8698" max="8698" width="14.125" style="191" customWidth="1"/>
    <col min="8699" max="8699" width="12.375" style="191" customWidth="1"/>
    <col min="8700" max="8700" width="13" style="191" customWidth="1"/>
    <col min="8701" max="8701" width="5.5" style="191" customWidth="1"/>
    <col min="8702" max="8949" width="7.75" style="191"/>
    <col min="8950" max="8950" width="14.125" style="191" customWidth="1"/>
    <col min="8951" max="8951" width="15.375" style="191" customWidth="1"/>
    <col min="8952" max="8952" width="7.75" style="191" hidden="1" customWidth="1"/>
    <col min="8953" max="8953" width="9" style="191" customWidth="1"/>
    <col min="8954" max="8954" width="14.125" style="191" customWidth="1"/>
    <col min="8955" max="8955" width="12.375" style="191" customWidth="1"/>
    <col min="8956" max="8956" width="13" style="191" customWidth="1"/>
    <col min="8957" max="8957" width="5.5" style="191" customWidth="1"/>
    <col min="8958" max="9205" width="7.75" style="191"/>
    <col min="9206" max="9206" width="14.125" style="191" customWidth="1"/>
    <col min="9207" max="9207" width="15.375" style="191" customWidth="1"/>
    <col min="9208" max="9208" width="7.75" style="191" hidden="1" customWidth="1"/>
    <col min="9209" max="9209" width="9" style="191" customWidth="1"/>
    <col min="9210" max="9210" width="14.125" style="191" customWidth="1"/>
    <col min="9211" max="9211" width="12.375" style="191" customWidth="1"/>
    <col min="9212" max="9212" width="13" style="191" customWidth="1"/>
    <col min="9213" max="9213" width="5.5" style="191" customWidth="1"/>
    <col min="9214" max="9461" width="7.75" style="191"/>
    <col min="9462" max="9462" width="14.125" style="191" customWidth="1"/>
    <col min="9463" max="9463" width="15.375" style="191" customWidth="1"/>
    <col min="9464" max="9464" width="7.75" style="191" hidden="1" customWidth="1"/>
    <col min="9465" max="9465" width="9" style="191" customWidth="1"/>
    <col min="9466" max="9466" width="14.125" style="191" customWidth="1"/>
    <col min="9467" max="9467" width="12.375" style="191" customWidth="1"/>
    <col min="9468" max="9468" width="13" style="191" customWidth="1"/>
    <col min="9469" max="9469" width="5.5" style="191" customWidth="1"/>
    <col min="9470" max="9717" width="7.75" style="191"/>
    <col min="9718" max="9718" width="14.125" style="191" customWidth="1"/>
    <col min="9719" max="9719" width="15.375" style="191" customWidth="1"/>
    <col min="9720" max="9720" width="7.75" style="191" hidden="1" customWidth="1"/>
    <col min="9721" max="9721" width="9" style="191" customWidth="1"/>
    <col min="9722" max="9722" width="14.125" style="191" customWidth="1"/>
    <col min="9723" max="9723" width="12.375" style="191" customWidth="1"/>
    <col min="9724" max="9724" width="13" style="191" customWidth="1"/>
    <col min="9725" max="9725" width="5.5" style="191" customWidth="1"/>
    <col min="9726" max="9973" width="7.75" style="191"/>
    <col min="9974" max="9974" width="14.125" style="191" customWidth="1"/>
    <col min="9975" max="9975" width="15.375" style="191" customWidth="1"/>
    <col min="9976" max="9976" width="7.75" style="191" hidden="1" customWidth="1"/>
    <col min="9977" max="9977" width="9" style="191" customWidth="1"/>
    <col min="9978" max="9978" width="14.125" style="191" customWidth="1"/>
    <col min="9979" max="9979" width="12.375" style="191" customWidth="1"/>
    <col min="9980" max="9980" width="13" style="191" customWidth="1"/>
    <col min="9981" max="9981" width="5.5" style="191" customWidth="1"/>
    <col min="9982" max="10229" width="7.75" style="191"/>
    <col min="10230" max="10230" width="14.125" style="191" customWidth="1"/>
    <col min="10231" max="10231" width="15.375" style="191" customWidth="1"/>
    <col min="10232" max="10232" width="7.75" style="191" hidden="1" customWidth="1"/>
    <col min="10233" max="10233" width="9" style="191" customWidth="1"/>
    <col min="10234" max="10234" width="14.125" style="191" customWidth="1"/>
    <col min="10235" max="10235" width="12.375" style="191" customWidth="1"/>
    <col min="10236" max="10236" width="13" style="191" customWidth="1"/>
    <col min="10237" max="10237" width="5.5" style="191" customWidth="1"/>
    <col min="10238" max="10485" width="7.75" style="191"/>
    <col min="10486" max="10486" width="14.125" style="191" customWidth="1"/>
    <col min="10487" max="10487" width="15.375" style="191" customWidth="1"/>
    <col min="10488" max="10488" width="7.75" style="191" hidden="1" customWidth="1"/>
    <col min="10489" max="10489" width="9" style="191" customWidth="1"/>
    <col min="10490" max="10490" width="14.125" style="191" customWidth="1"/>
    <col min="10491" max="10491" width="12.375" style="191" customWidth="1"/>
    <col min="10492" max="10492" width="13" style="191" customWidth="1"/>
    <col min="10493" max="10493" width="5.5" style="191" customWidth="1"/>
    <col min="10494" max="10741" width="7.75" style="191"/>
    <col min="10742" max="10742" width="14.125" style="191" customWidth="1"/>
    <col min="10743" max="10743" width="15.375" style="191" customWidth="1"/>
    <col min="10744" max="10744" width="7.75" style="191" hidden="1" customWidth="1"/>
    <col min="10745" max="10745" width="9" style="191" customWidth="1"/>
    <col min="10746" max="10746" width="14.125" style="191" customWidth="1"/>
    <col min="10747" max="10747" width="12.375" style="191" customWidth="1"/>
    <col min="10748" max="10748" width="13" style="191" customWidth="1"/>
    <col min="10749" max="10749" width="5.5" style="191" customWidth="1"/>
    <col min="10750" max="10997" width="7.75" style="191"/>
    <col min="10998" max="10998" width="14.125" style="191" customWidth="1"/>
    <col min="10999" max="10999" width="15.375" style="191" customWidth="1"/>
    <col min="11000" max="11000" width="7.75" style="191" hidden="1" customWidth="1"/>
    <col min="11001" max="11001" width="9" style="191" customWidth="1"/>
    <col min="11002" max="11002" width="14.125" style="191" customWidth="1"/>
    <col min="11003" max="11003" width="12.375" style="191" customWidth="1"/>
    <col min="11004" max="11004" width="13" style="191" customWidth="1"/>
    <col min="11005" max="11005" width="5.5" style="191" customWidth="1"/>
    <col min="11006" max="11253" width="7.75" style="191"/>
    <col min="11254" max="11254" width="14.125" style="191" customWidth="1"/>
    <col min="11255" max="11255" width="15.375" style="191" customWidth="1"/>
    <col min="11256" max="11256" width="7.75" style="191" hidden="1" customWidth="1"/>
    <col min="11257" max="11257" width="9" style="191" customWidth="1"/>
    <col min="11258" max="11258" width="14.125" style="191" customWidth="1"/>
    <col min="11259" max="11259" width="12.375" style="191" customWidth="1"/>
    <col min="11260" max="11260" width="13" style="191" customWidth="1"/>
    <col min="11261" max="11261" width="5.5" style="191" customWidth="1"/>
    <col min="11262" max="11509" width="7.75" style="191"/>
    <col min="11510" max="11510" width="14.125" style="191" customWidth="1"/>
    <col min="11511" max="11511" width="15.375" style="191" customWidth="1"/>
    <col min="11512" max="11512" width="7.75" style="191" hidden="1" customWidth="1"/>
    <col min="11513" max="11513" width="9" style="191" customWidth="1"/>
    <col min="11514" max="11514" width="14.125" style="191" customWidth="1"/>
    <col min="11515" max="11515" width="12.375" style="191" customWidth="1"/>
    <col min="11516" max="11516" width="13" style="191" customWidth="1"/>
    <col min="11517" max="11517" width="5.5" style="191" customWidth="1"/>
    <col min="11518" max="11765" width="7.75" style="191"/>
    <col min="11766" max="11766" width="14.125" style="191" customWidth="1"/>
    <col min="11767" max="11767" width="15.375" style="191" customWidth="1"/>
    <col min="11768" max="11768" width="7.75" style="191" hidden="1" customWidth="1"/>
    <col min="11769" max="11769" width="9" style="191" customWidth="1"/>
    <col min="11770" max="11770" width="14.125" style="191" customWidth="1"/>
    <col min="11771" max="11771" width="12.375" style="191" customWidth="1"/>
    <col min="11772" max="11772" width="13" style="191" customWidth="1"/>
    <col min="11773" max="11773" width="5.5" style="191" customWidth="1"/>
    <col min="11774" max="12021" width="7.75" style="191"/>
    <col min="12022" max="12022" width="14.125" style="191" customWidth="1"/>
    <col min="12023" max="12023" width="15.375" style="191" customWidth="1"/>
    <col min="12024" max="12024" width="7.75" style="191" hidden="1" customWidth="1"/>
    <col min="12025" max="12025" width="9" style="191" customWidth="1"/>
    <col min="12026" max="12026" width="14.125" style="191" customWidth="1"/>
    <col min="12027" max="12027" width="12.375" style="191" customWidth="1"/>
    <col min="12028" max="12028" width="13" style="191" customWidth="1"/>
    <col min="12029" max="12029" width="5.5" style="191" customWidth="1"/>
    <col min="12030" max="12277" width="7.75" style="191"/>
    <col min="12278" max="12278" width="14.125" style="191" customWidth="1"/>
    <col min="12279" max="12279" width="15.375" style="191" customWidth="1"/>
    <col min="12280" max="12280" width="7.75" style="191" hidden="1" customWidth="1"/>
    <col min="12281" max="12281" width="9" style="191" customWidth="1"/>
    <col min="12282" max="12282" width="14.125" style="191" customWidth="1"/>
    <col min="12283" max="12283" width="12.375" style="191" customWidth="1"/>
    <col min="12284" max="12284" width="13" style="191" customWidth="1"/>
    <col min="12285" max="12285" width="5.5" style="191" customWidth="1"/>
    <col min="12286" max="12533" width="7.75" style="191"/>
    <col min="12534" max="12534" width="14.125" style="191" customWidth="1"/>
    <col min="12535" max="12535" width="15.375" style="191" customWidth="1"/>
    <col min="12536" max="12536" width="7.75" style="191" hidden="1" customWidth="1"/>
    <col min="12537" max="12537" width="9" style="191" customWidth="1"/>
    <col min="12538" max="12538" width="14.125" style="191" customWidth="1"/>
    <col min="12539" max="12539" width="12.375" style="191" customWidth="1"/>
    <col min="12540" max="12540" width="13" style="191" customWidth="1"/>
    <col min="12541" max="12541" width="5.5" style="191" customWidth="1"/>
    <col min="12542" max="12789" width="7.75" style="191"/>
    <col min="12790" max="12790" width="14.125" style="191" customWidth="1"/>
    <col min="12791" max="12791" width="15.375" style="191" customWidth="1"/>
    <col min="12792" max="12792" width="7.75" style="191" hidden="1" customWidth="1"/>
    <col min="12793" max="12793" width="9" style="191" customWidth="1"/>
    <col min="12794" max="12794" width="14.125" style="191" customWidth="1"/>
    <col min="12795" max="12795" width="12.375" style="191" customWidth="1"/>
    <col min="12796" max="12796" width="13" style="191" customWidth="1"/>
    <col min="12797" max="12797" width="5.5" style="191" customWidth="1"/>
    <col min="12798" max="13045" width="7.75" style="191"/>
    <col min="13046" max="13046" width="14.125" style="191" customWidth="1"/>
    <col min="13047" max="13047" width="15.375" style="191" customWidth="1"/>
    <col min="13048" max="13048" width="7.75" style="191" hidden="1" customWidth="1"/>
    <col min="13049" max="13049" width="9" style="191" customWidth="1"/>
    <col min="13050" max="13050" width="14.125" style="191" customWidth="1"/>
    <col min="13051" max="13051" width="12.375" style="191" customWidth="1"/>
    <col min="13052" max="13052" width="13" style="191" customWidth="1"/>
    <col min="13053" max="13053" width="5.5" style="191" customWidth="1"/>
    <col min="13054" max="13301" width="7.75" style="191"/>
    <col min="13302" max="13302" width="14.125" style="191" customWidth="1"/>
    <col min="13303" max="13303" width="15.375" style="191" customWidth="1"/>
    <col min="13304" max="13304" width="7.75" style="191" hidden="1" customWidth="1"/>
    <col min="13305" max="13305" width="9" style="191" customWidth="1"/>
    <col min="13306" max="13306" width="14.125" style="191" customWidth="1"/>
    <col min="13307" max="13307" width="12.375" style="191" customWidth="1"/>
    <col min="13308" max="13308" width="13" style="191" customWidth="1"/>
    <col min="13309" max="13309" width="5.5" style="191" customWidth="1"/>
    <col min="13310" max="13557" width="7.75" style="191"/>
    <col min="13558" max="13558" width="14.125" style="191" customWidth="1"/>
    <col min="13559" max="13559" width="15.375" style="191" customWidth="1"/>
    <col min="13560" max="13560" width="7.75" style="191" hidden="1" customWidth="1"/>
    <col min="13561" max="13561" width="9" style="191" customWidth="1"/>
    <col min="13562" max="13562" width="14.125" style="191" customWidth="1"/>
    <col min="13563" max="13563" width="12.375" style="191" customWidth="1"/>
    <col min="13564" max="13564" width="13" style="191" customWidth="1"/>
    <col min="13565" max="13565" width="5.5" style="191" customWidth="1"/>
    <col min="13566" max="13813" width="7.75" style="191"/>
    <col min="13814" max="13814" width="14.125" style="191" customWidth="1"/>
    <col min="13815" max="13815" width="15.375" style="191" customWidth="1"/>
    <col min="13816" max="13816" width="7.75" style="191" hidden="1" customWidth="1"/>
    <col min="13817" max="13817" width="9" style="191" customWidth="1"/>
    <col min="13818" max="13818" width="14.125" style="191" customWidth="1"/>
    <col min="13819" max="13819" width="12.375" style="191" customWidth="1"/>
    <col min="13820" max="13820" width="13" style="191" customWidth="1"/>
    <col min="13821" max="13821" width="5.5" style="191" customWidth="1"/>
    <col min="13822" max="14069" width="7.75" style="191"/>
    <col min="14070" max="14070" width="14.125" style="191" customWidth="1"/>
    <col min="14071" max="14071" width="15.375" style="191" customWidth="1"/>
    <col min="14072" max="14072" width="7.75" style="191" hidden="1" customWidth="1"/>
    <col min="14073" max="14073" width="9" style="191" customWidth="1"/>
    <col min="14074" max="14074" width="14.125" style="191" customWidth="1"/>
    <col min="14075" max="14075" width="12.375" style="191" customWidth="1"/>
    <col min="14076" max="14076" width="13" style="191" customWidth="1"/>
    <col min="14077" max="14077" width="5.5" style="191" customWidth="1"/>
    <col min="14078" max="14325" width="7.75" style="191"/>
    <col min="14326" max="14326" width="14.125" style="191" customWidth="1"/>
    <col min="14327" max="14327" width="15.375" style="191" customWidth="1"/>
    <col min="14328" max="14328" width="7.75" style="191" hidden="1" customWidth="1"/>
    <col min="14329" max="14329" width="9" style="191" customWidth="1"/>
    <col min="14330" max="14330" width="14.125" style="191" customWidth="1"/>
    <col min="14331" max="14331" width="12.375" style="191" customWidth="1"/>
    <col min="14332" max="14332" width="13" style="191" customWidth="1"/>
    <col min="14333" max="14333" width="5.5" style="191" customWidth="1"/>
    <col min="14334" max="14581" width="7.75" style="191"/>
    <col min="14582" max="14582" width="14.125" style="191" customWidth="1"/>
    <col min="14583" max="14583" width="15.375" style="191" customWidth="1"/>
    <col min="14584" max="14584" width="7.75" style="191" hidden="1" customWidth="1"/>
    <col min="14585" max="14585" width="9" style="191" customWidth="1"/>
    <col min="14586" max="14586" width="14.125" style="191" customWidth="1"/>
    <col min="14587" max="14587" width="12.375" style="191" customWidth="1"/>
    <col min="14588" max="14588" width="13" style="191" customWidth="1"/>
    <col min="14589" max="14589" width="5.5" style="191" customWidth="1"/>
    <col min="14590" max="14837" width="7.75" style="191"/>
    <col min="14838" max="14838" width="14.125" style="191" customWidth="1"/>
    <col min="14839" max="14839" width="15.375" style="191" customWidth="1"/>
    <col min="14840" max="14840" width="7.75" style="191" hidden="1" customWidth="1"/>
    <col min="14841" max="14841" width="9" style="191" customWidth="1"/>
    <col min="14842" max="14842" width="14.125" style="191" customWidth="1"/>
    <col min="14843" max="14843" width="12.375" style="191" customWidth="1"/>
    <col min="14844" max="14844" width="13" style="191" customWidth="1"/>
    <col min="14845" max="14845" width="5.5" style="191" customWidth="1"/>
    <col min="14846" max="15093" width="7.75" style="191"/>
    <col min="15094" max="15094" width="14.125" style="191" customWidth="1"/>
    <col min="15095" max="15095" width="15.375" style="191" customWidth="1"/>
    <col min="15096" max="15096" width="7.75" style="191" hidden="1" customWidth="1"/>
    <col min="15097" max="15097" width="9" style="191" customWidth="1"/>
    <col min="15098" max="15098" width="14.125" style="191" customWidth="1"/>
    <col min="15099" max="15099" width="12.375" style="191" customWidth="1"/>
    <col min="15100" max="15100" width="13" style="191" customWidth="1"/>
    <col min="15101" max="15101" width="5.5" style="191" customWidth="1"/>
    <col min="15102" max="15349" width="7.75" style="191"/>
    <col min="15350" max="15350" width="14.125" style="191" customWidth="1"/>
    <col min="15351" max="15351" width="15.375" style="191" customWidth="1"/>
    <col min="15352" max="15352" width="7.75" style="191" hidden="1" customWidth="1"/>
    <col min="15353" max="15353" width="9" style="191" customWidth="1"/>
    <col min="15354" max="15354" width="14.125" style="191" customWidth="1"/>
    <col min="15355" max="15355" width="12.375" style="191" customWidth="1"/>
    <col min="15356" max="15356" width="13" style="191" customWidth="1"/>
    <col min="15357" max="15357" width="5.5" style="191" customWidth="1"/>
    <col min="15358" max="15605" width="7.75" style="191"/>
    <col min="15606" max="15606" width="14.125" style="191" customWidth="1"/>
    <col min="15607" max="15607" width="15.375" style="191" customWidth="1"/>
    <col min="15608" max="15608" width="7.75" style="191" hidden="1" customWidth="1"/>
    <col min="15609" max="15609" width="9" style="191" customWidth="1"/>
    <col min="15610" max="15610" width="14.125" style="191" customWidth="1"/>
    <col min="15611" max="15611" width="12.375" style="191" customWidth="1"/>
    <col min="15612" max="15612" width="13" style="191" customWidth="1"/>
    <col min="15613" max="15613" width="5.5" style="191" customWidth="1"/>
    <col min="15614" max="15861" width="7.75" style="191"/>
    <col min="15862" max="15862" width="14.125" style="191" customWidth="1"/>
    <col min="15863" max="15863" width="15.375" style="191" customWidth="1"/>
    <col min="15864" max="15864" width="7.75" style="191" hidden="1" customWidth="1"/>
    <col min="15865" max="15865" width="9" style="191" customWidth="1"/>
    <col min="15866" max="15866" width="14.125" style="191" customWidth="1"/>
    <col min="15867" max="15867" width="12.375" style="191" customWidth="1"/>
    <col min="15868" max="15868" width="13" style="191" customWidth="1"/>
    <col min="15869" max="15869" width="5.5" style="191" customWidth="1"/>
    <col min="15870" max="16117" width="7.75" style="191"/>
    <col min="16118" max="16118" width="14.125" style="191" customWidth="1"/>
    <col min="16119" max="16119" width="15.375" style="191" customWidth="1"/>
    <col min="16120" max="16120" width="7.75" style="191" hidden="1" customWidth="1"/>
    <col min="16121" max="16121" width="9" style="191" customWidth="1"/>
    <col min="16122" max="16122" width="14.125" style="191" customWidth="1"/>
    <col min="16123" max="16123" width="12.375" style="191" customWidth="1"/>
    <col min="16124" max="16124" width="13" style="191" customWidth="1"/>
    <col min="16125" max="16125" width="5.5" style="191" customWidth="1"/>
    <col min="16126" max="16384" width="7.75" style="191"/>
  </cols>
  <sheetData>
    <row r="1" ht="22.5" spans="1:9">
      <c r="A1" s="192" t="s">
        <v>0</v>
      </c>
      <c r="B1" s="192"/>
      <c r="C1" s="192"/>
      <c r="D1" s="192"/>
      <c r="E1" s="192"/>
      <c r="F1" s="192"/>
      <c r="G1" s="192"/>
      <c r="H1" s="192"/>
      <c r="I1" s="192"/>
    </row>
    <row r="2" ht="16.5" customHeight="1" spans="1:10">
      <c r="A2" s="193" t="s">
        <v>1</v>
      </c>
      <c r="B2" s="194"/>
      <c r="C2" s="195"/>
      <c r="D2" s="195"/>
      <c r="E2" s="195"/>
      <c r="F2" s="196"/>
      <c r="G2" s="197" t="s">
        <v>2</v>
      </c>
      <c r="H2" s="197"/>
      <c r="I2" s="194"/>
      <c r="J2" s="215"/>
    </row>
    <row r="3" ht="13.5" customHeight="1" spans="1:9">
      <c r="A3" s="198" t="s">
        <v>3</v>
      </c>
      <c r="E3" s="195"/>
      <c r="F3" s="196"/>
      <c r="G3" s="197"/>
      <c r="H3" s="197"/>
      <c r="I3" s="194"/>
    </row>
    <row r="4" s="189" customFormat="1" ht="18" customHeight="1" spans="1:9">
      <c r="A4" s="199" t="s">
        <v>4</v>
      </c>
      <c r="B4" s="198"/>
      <c r="C4" s="200"/>
      <c r="D4" s="200"/>
      <c r="E4" s="200"/>
      <c r="F4" s="201"/>
      <c r="G4" s="201"/>
      <c r="H4" s="193"/>
      <c r="I4" s="193"/>
    </row>
    <row r="5" spans="1:9">
      <c r="A5" s="194" t="s">
        <v>5</v>
      </c>
      <c r="B5" s="194"/>
      <c r="C5" s="195"/>
      <c r="D5" s="195"/>
      <c r="E5" s="195"/>
      <c r="F5" s="196"/>
      <c r="G5" s="196"/>
      <c r="H5" s="194"/>
      <c r="I5" s="194"/>
    </row>
    <row r="6" spans="2:9">
      <c r="B6" s="194"/>
      <c r="C6" s="194"/>
      <c r="D6" s="194"/>
      <c r="E6" s="195"/>
      <c r="F6" s="195"/>
      <c r="G6" s="196"/>
      <c r="H6" s="196"/>
      <c r="I6" s="194"/>
    </row>
    <row r="7" s="190" customFormat="1" ht="30" customHeight="1" spans="1:11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</row>
    <row r="8" ht="30" customHeight="1" spans="1:11">
      <c r="A8" s="2" t="s">
        <v>17</v>
      </c>
      <c r="B8" s="2" t="s">
        <v>18</v>
      </c>
      <c r="C8" s="2" t="s">
        <v>19</v>
      </c>
      <c r="D8" s="2" t="s">
        <v>20</v>
      </c>
      <c r="E8" s="3" t="s">
        <v>21</v>
      </c>
      <c r="F8" s="4">
        <v>3000</v>
      </c>
      <c r="G8" s="5">
        <v>0.031</v>
      </c>
      <c r="H8" s="6">
        <f t="shared" ref="H8" si="0">F8*G8</f>
        <v>93</v>
      </c>
      <c r="I8" s="3" t="s">
        <v>22</v>
      </c>
      <c r="J8" s="6">
        <v>0.15</v>
      </c>
      <c r="K8" s="3" t="s">
        <v>23</v>
      </c>
    </row>
    <row r="9" ht="30" customHeight="1" spans="1:11">
      <c r="A9" s="2" t="s">
        <v>17</v>
      </c>
      <c r="B9" s="2" t="s">
        <v>18</v>
      </c>
      <c r="C9" s="2" t="s">
        <v>19</v>
      </c>
      <c r="D9" s="2" t="s">
        <v>20</v>
      </c>
      <c r="E9" s="3" t="s">
        <v>21</v>
      </c>
      <c r="F9" s="4">
        <v>3000</v>
      </c>
      <c r="G9" s="5">
        <v>0.031</v>
      </c>
      <c r="H9" s="6">
        <f t="shared" ref="H9:H13" si="1">F9*G9</f>
        <v>93</v>
      </c>
      <c r="I9" s="3" t="s">
        <v>22</v>
      </c>
      <c r="J9" s="6">
        <v>0.15</v>
      </c>
      <c r="K9" s="3" t="s">
        <v>23</v>
      </c>
    </row>
    <row r="10" ht="30" customHeight="1" spans="1:11">
      <c r="A10" s="2" t="s">
        <v>24</v>
      </c>
      <c r="B10" s="2" t="s">
        <v>25</v>
      </c>
      <c r="C10" s="2" t="s">
        <v>19</v>
      </c>
      <c r="D10" s="2" t="s">
        <v>26</v>
      </c>
      <c r="E10" s="3" t="s">
        <v>21</v>
      </c>
      <c r="F10" s="4">
        <v>12000</v>
      </c>
      <c r="G10" s="5">
        <v>0.028</v>
      </c>
      <c r="H10" s="6">
        <f t="shared" si="1"/>
        <v>336</v>
      </c>
      <c r="I10" s="3" t="s">
        <v>22</v>
      </c>
      <c r="J10" s="6">
        <v>0.56</v>
      </c>
      <c r="K10" s="3" t="s">
        <v>23</v>
      </c>
    </row>
    <row r="11" ht="30" customHeight="1" spans="1:11">
      <c r="A11" s="2" t="s">
        <v>27</v>
      </c>
      <c r="B11" s="2" t="s">
        <v>25</v>
      </c>
      <c r="C11" s="2" t="s">
        <v>19</v>
      </c>
      <c r="D11" s="2" t="s">
        <v>26</v>
      </c>
      <c r="E11" s="3" t="s">
        <v>21</v>
      </c>
      <c r="F11" s="4">
        <v>3000</v>
      </c>
      <c r="G11" s="5">
        <v>0.028</v>
      </c>
      <c r="H11" s="6">
        <f t="shared" si="1"/>
        <v>84</v>
      </c>
      <c r="I11" s="3" t="s">
        <v>22</v>
      </c>
      <c r="J11" s="6">
        <v>0.14</v>
      </c>
      <c r="K11" s="3" t="s">
        <v>23</v>
      </c>
    </row>
    <row r="12" ht="30" customHeight="1" spans="1:11">
      <c r="A12" s="2" t="s">
        <v>28</v>
      </c>
      <c r="B12" s="2" t="s">
        <v>29</v>
      </c>
      <c r="C12" s="2" t="s">
        <v>19</v>
      </c>
      <c r="D12" s="2" t="s">
        <v>30</v>
      </c>
      <c r="E12" s="3" t="s">
        <v>21</v>
      </c>
      <c r="F12" s="4">
        <v>9000</v>
      </c>
      <c r="G12" s="5">
        <v>0.028</v>
      </c>
      <c r="H12" s="6">
        <f t="shared" si="1"/>
        <v>252</v>
      </c>
      <c r="I12" s="3" t="s">
        <v>22</v>
      </c>
      <c r="J12" s="6">
        <v>0.4</v>
      </c>
      <c r="K12" s="3" t="s">
        <v>23</v>
      </c>
    </row>
    <row r="13" ht="30" customHeight="1" spans="1:11">
      <c r="A13" s="2" t="s">
        <v>31</v>
      </c>
      <c r="B13" s="2" t="s">
        <v>32</v>
      </c>
      <c r="C13" s="2" t="s">
        <v>33</v>
      </c>
      <c r="D13" s="2" t="s">
        <v>34</v>
      </c>
      <c r="E13" s="3" t="s">
        <v>21</v>
      </c>
      <c r="F13" s="4">
        <v>6000</v>
      </c>
      <c r="G13" s="5">
        <v>0.0385</v>
      </c>
      <c r="H13" s="6">
        <f t="shared" si="1"/>
        <v>231</v>
      </c>
      <c r="I13" s="3" t="s">
        <v>22</v>
      </c>
      <c r="J13" s="6">
        <v>0.16</v>
      </c>
      <c r="K13" s="3" t="s">
        <v>35</v>
      </c>
    </row>
    <row r="14" ht="30" customHeight="1" spans="1:11">
      <c r="A14" s="2" t="s">
        <v>36</v>
      </c>
      <c r="B14" s="2" t="s">
        <v>32</v>
      </c>
      <c r="C14" s="2" t="s">
        <v>33</v>
      </c>
      <c r="D14" s="2" t="s">
        <v>34</v>
      </c>
      <c r="E14" s="3" t="s">
        <v>21</v>
      </c>
      <c r="F14" s="4">
        <v>3000</v>
      </c>
      <c r="G14" s="5">
        <v>0.0385</v>
      </c>
      <c r="H14" s="6">
        <f t="shared" ref="H14:H21" si="2">F14*G14</f>
        <v>115.5</v>
      </c>
      <c r="I14" s="3" t="s">
        <v>22</v>
      </c>
      <c r="J14" s="6">
        <v>0.08</v>
      </c>
      <c r="K14" s="3" t="s">
        <v>35</v>
      </c>
    </row>
    <row r="15" ht="30" customHeight="1" spans="1:11">
      <c r="A15" s="2" t="s">
        <v>37</v>
      </c>
      <c r="B15" s="2" t="s">
        <v>32</v>
      </c>
      <c r="C15" s="2" t="s">
        <v>33</v>
      </c>
      <c r="D15" s="2" t="s">
        <v>34</v>
      </c>
      <c r="E15" s="3" t="s">
        <v>21</v>
      </c>
      <c r="F15" s="4">
        <v>18000</v>
      </c>
      <c r="G15" s="5">
        <v>0.0385</v>
      </c>
      <c r="H15" s="6">
        <f t="shared" si="2"/>
        <v>693</v>
      </c>
      <c r="I15" s="3" t="s">
        <v>22</v>
      </c>
      <c r="J15" s="6">
        <v>0.46</v>
      </c>
      <c r="K15" s="3" t="s">
        <v>35</v>
      </c>
    </row>
    <row r="16" ht="30" customHeight="1" spans="1:11">
      <c r="A16" s="2" t="s">
        <v>38</v>
      </c>
      <c r="B16" s="2" t="s">
        <v>39</v>
      </c>
      <c r="C16" s="2" t="s">
        <v>19</v>
      </c>
      <c r="D16" s="2" t="s">
        <v>40</v>
      </c>
      <c r="E16" s="3" t="s">
        <v>21</v>
      </c>
      <c r="F16" s="4">
        <v>9000</v>
      </c>
      <c r="G16" s="5">
        <v>0.031</v>
      </c>
      <c r="H16" s="6">
        <f t="shared" ref="H16:H17" si="3">F16*G16</f>
        <v>279</v>
      </c>
      <c r="I16" s="3" t="s">
        <v>22</v>
      </c>
      <c r="J16" s="6">
        <v>0.37</v>
      </c>
      <c r="K16" s="3" t="s">
        <v>23</v>
      </c>
    </row>
    <row r="17" ht="30" customHeight="1" spans="1:11">
      <c r="A17" s="2" t="s">
        <v>41</v>
      </c>
      <c r="B17" s="2" t="s">
        <v>39</v>
      </c>
      <c r="C17" s="2" t="s">
        <v>19</v>
      </c>
      <c r="D17" s="2" t="s">
        <v>40</v>
      </c>
      <c r="E17" s="3" t="s">
        <v>21</v>
      </c>
      <c r="F17" s="4">
        <v>3000</v>
      </c>
      <c r="G17" s="5">
        <v>0.031</v>
      </c>
      <c r="H17" s="6">
        <f t="shared" si="3"/>
        <v>93</v>
      </c>
      <c r="I17" s="3" t="s">
        <v>22</v>
      </c>
      <c r="J17" s="6">
        <v>0.13</v>
      </c>
      <c r="K17" s="3" t="s">
        <v>23</v>
      </c>
    </row>
    <row r="18" ht="30" customHeight="1" spans="1:11">
      <c r="A18" s="2" t="s">
        <v>42</v>
      </c>
      <c r="B18" s="2" t="s">
        <v>43</v>
      </c>
      <c r="C18" s="2" t="s">
        <v>19</v>
      </c>
      <c r="D18" s="2" t="s">
        <v>44</v>
      </c>
      <c r="E18" s="3" t="s">
        <v>21</v>
      </c>
      <c r="F18" s="4">
        <v>12000</v>
      </c>
      <c r="G18" s="5">
        <v>0.0295</v>
      </c>
      <c r="H18" s="6">
        <f t="shared" si="2"/>
        <v>354</v>
      </c>
      <c r="I18" s="3" t="s">
        <v>22</v>
      </c>
      <c r="J18" s="6">
        <v>0.51</v>
      </c>
      <c r="K18" s="3" t="s">
        <v>23</v>
      </c>
    </row>
    <row r="19" ht="30" customHeight="1" spans="1:11">
      <c r="A19" s="2" t="s">
        <v>42</v>
      </c>
      <c r="B19" s="2" t="s">
        <v>43</v>
      </c>
      <c r="C19" s="2" t="s">
        <v>19</v>
      </c>
      <c r="D19" s="2" t="s">
        <v>44</v>
      </c>
      <c r="E19" s="3" t="s">
        <v>21</v>
      </c>
      <c r="F19" s="4">
        <v>3000</v>
      </c>
      <c r="G19" s="5">
        <v>0.0295</v>
      </c>
      <c r="H19" s="6">
        <f t="shared" si="2"/>
        <v>88.5</v>
      </c>
      <c r="I19" s="3" t="s">
        <v>22</v>
      </c>
      <c r="J19" s="6">
        <v>0.13</v>
      </c>
      <c r="K19" s="3" t="s">
        <v>23</v>
      </c>
    </row>
    <row r="20" ht="30" customHeight="1" spans="1:11">
      <c r="A20" s="2" t="s">
        <v>45</v>
      </c>
      <c r="B20" s="2" t="s">
        <v>43</v>
      </c>
      <c r="C20" s="2" t="s">
        <v>19</v>
      </c>
      <c r="D20" s="2" t="s">
        <v>44</v>
      </c>
      <c r="E20" s="3" t="s">
        <v>21</v>
      </c>
      <c r="F20" s="4">
        <v>6000</v>
      </c>
      <c r="G20" s="5">
        <v>0.0295</v>
      </c>
      <c r="H20" s="6">
        <f t="shared" si="2"/>
        <v>177</v>
      </c>
      <c r="I20" s="3" t="s">
        <v>22</v>
      </c>
      <c r="J20" s="6">
        <v>0.26</v>
      </c>
      <c r="K20" s="3" t="s">
        <v>23</v>
      </c>
    </row>
    <row r="21" ht="30" customHeight="1" spans="1:11">
      <c r="A21" s="2" t="s">
        <v>46</v>
      </c>
      <c r="B21" s="2" t="s">
        <v>47</v>
      </c>
      <c r="C21" s="2" t="s">
        <v>48</v>
      </c>
      <c r="D21" s="2" t="s">
        <v>49</v>
      </c>
      <c r="E21" s="3" t="s">
        <v>21</v>
      </c>
      <c r="F21" s="4">
        <v>500</v>
      </c>
      <c r="G21" s="5">
        <v>0.35</v>
      </c>
      <c r="H21" s="6">
        <f t="shared" si="2"/>
        <v>175</v>
      </c>
      <c r="I21" s="3" t="s">
        <v>22</v>
      </c>
      <c r="J21" s="6">
        <v>0.1</v>
      </c>
      <c r="K21" s="3" t="s">
        <v>50</v>
      </c>
    </row>
    <row r="22" ht="24.95" customHeight="1" spans="1:11">
      <c r="A22" s="2"/>
      <c r="B22" s="2"/>
      <c r="C22" s="2"/>
      <c r="D22" s="2"/>
      <c r="E22" s="3"/>
      <c r="F22" s="4">
        <f>SUM(F8:F21)</f>
        <v>90500</v>
      </c>
      <c r="G22" s="4"/>
      <c r="H22" s="6">
        <f>SUM(H8:H21)</f>
        <v>3064</v>
      </c>
      <c r="I22" s="4"/>
      <c r="J22" s="6">
        <f>SUM(J8:J21)</f>
        <v>3.6</v>
      </c>
      <c r="K22" s="4"/>
    </row>
    <row r="23" spans="1:11">
      <c r="A23" s="202" t="s">
        <v>51</v>
      </c>
      <c r="B23" s="202"/>
      <c r="C23" s="195"/>
      <c r="D23" s="195"/>
      <c r="E23" s="195"/>
      <c r="F23" s="196"/>
      <c r="G23" s="196"/>
      <c r="H23" s="203"/>
      <c r="I23" s="203"/>
      <c r="J23" s="216"/>
      <c r="K23" s="216"/>
    </row>
    <row r="24" spans="1:11">
      <c r="A24" s="202" t="s">
        <v>52</v>
      </c>
      <c r="B24" s="202"/>
      <c r="C24" s="195"/>
      <c r="D24" s="195"/>
      <c r="E24" s="195"/>
      <c r="F24" s="196"/>
      <c r="G24" s="196"/>
      <c r="H24" s="203"/>
      <c r="I24" s="203"/>
      <c r="J24" s="216"/>
      <c r="K24" s="216"/>
    </row>
    <row r="25" spans="1:11">
      <c r="A25" s="202" t="s">
        <v>53</v>
      </c>
      <c r="B25" s="202"/>
      <c r="C25" s="195"/>
      <c r="D25" s="195"/>
      <c r="E25" s="195"/>
      <c r="F25" s="196"/>
      <c r="G25" s="196"/>
      <c r="H25" s="203"/>
      <c r="I25" s="203"/>
      <c r="J25" s="216"/>
      <c r="K25" s="216"/>
    </row>
    <row r="26" spans="1:11">
      <c r="A26" s="202" t="s">
        <v>54</v>
      </c>
      <c r="B26" s="202"/>
      <c r="C26" s="195"/>
      <c r="D26" s="195"/>
      <c r="E26" s="195"/>
      <c r="F26" s="196"/>
      <c r="G26" s="196"/>
      <c r="H26" s="204"/>
      <c r="I26" s="206"/>
      <c r="J26" s="216"/>
      <c r="K26" s="216"/>
    </row>
    <row r="27" spans="1:11">
      <c r="A27" s="202" t="s">
        <v>55</v>
      </c>
      <c r="B27" s="205">
        <v>45883</v>
      </c>
      <c r="C27" s="195"/>
      <c r="D27" s="195"/>
      <c r="E27" s="195"/>
      <c r="F27" s="196"/>
      <c r="G27" s="196"/>
      <c r="H27" s="206"/>
      <c r="I27" s="206"/>
      <c r="J27" s="216"/>
      <c r="K27" s="216"/>
    </row>
    <row r="28" spans="1:11">
      <c r="A28" s="202" t="s">
        <v>56</v>
      </c>
      <c r="B28" s="202"/>
      <c r="C28" s="195"/>
      <c r="D28" s="195"/>
      <c r="E28" s="195"/>
      <c r="F28" s="196"/>
      <c r="G28" s="196"/>
      <c r="H28" s="203"/>
      <c r="I28" s="203"/>
      <c r="J28" s="216"/>
      <c r="K28" s="216"/>
    </row>
    <row r="29" spans="1:9">
      <c r="A29" s="194"/>
      <c r="B29" s="194"/>
      <c r="C29" s="195"/>
      <c r="D29" s="195"/>
      <c r="E29" s="195"/>
      <c r="F29" s="196"/>
      <c r="G29" s="196"/>
      <c r="H29" s="194"/>
      <c r="I29" s="194"/>
    </row>
    <row r="30" spans="1:9">
      <c r="A30" s="207" t="s">
        <v>57</v>
      </c>
      <c r="B30" s="194"/>
      <c r="C30" s="208"/>
      <c r="D30" s="208" t="s">
        <v>58</v>
      </c>
      <c r="G30" s="208"/>
      <c r="H30" s="208"/>
      <c r="I30" s="194"/>
    </row>
    <row r="31" spans="1:9">
      <c r="A31" s="207" t="s">
        <v>59</v>
      </c>
      <c r="B31" s="207"/>
      <c r="C31" s="207"/>
      <c r="D31" s="209" t="s">
        <v>60</v>
      </c>
      <c r="G31" s="209"/>
      <c r="H31" s="210"/>
      <c r="I31" s="217"/>
    </row>
    <row r="32" spans="1:9">
      <c r="A32" s="210" t="s">
        <v>61</v>
      </c>
      <c r="B32" s="211"/>
      <c r="C32" s="211"/>
      <c r="D32" s="210" t="s">
        <v>62</v>
      </c>
      <c r="G32" s="210"/>
      <c r="H32" s="210"/>
      <c r="I32" s="210"/>
    </row>
    <row r="33" spans="1:9">
      <c r="A33" s="209" t="s">
        <v>63</v>
      </c>
      <c r="B33" s="207"/>
      <c r="C33" s="212"/>
      <c r="D33" s="212"/>
      <c r="E33" s="207"/>
      <c r="F33" s="207"/>
      <c r="G33" s="207"/>
      <c r="H33" s="194"/>
      <c r="I33" s="194"/>
    </row>
    <row r="34" spans="1:9">
      <c r="A34" s="209" t="s">
        <v>64</v>
      </c>
      <c r="B34" s="213"/>
      <c r="C34" s="214" t="s">
        <v>65</v>
      </c>
      <c r="D34" s="214"/>
      <c r="E34" s="214"/>
      <c r="F34" s="214"/>
      <c r="G34" s="214"/>
      <c r="H34" s="194"/>
      <c r="I34" s="194"/>
    </row>
  </sheetData>
  <autoFilter ref="A7:K28">
    <extLst/>
  </autoFilter>
  <mergeCells count="5">
    <mergeCell ref="A1:I1"/>
    <mergeCell ref="G30:H30"/>
    <mergeCell ref="A32:C32"/>
    <mergeCell ref="C34:G34"/>
    <mergeCell ref="G2:H3"/>
  </mergeCells>
  <printOptions horizontalCentered="1"/>
  <pageMargins left="0.236220472440945" right="0.236220472440945" top="0.748031496062992" bottom="0.748031496062992" header="0.31496062992126" footer="0.31496062992126"/>
  <pageSetup paperSize="9" scale="75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"/>
  <sheetViews>
    <sheetView tabSelected="1" view="pageBreakPreview" zoomScaleNormal="85" workbookViewId="0">
      <selection activeCell="A9" sqref="A9:D10"/>
    </sheetView>
  </sheetViews>
  <sheetFormatPr defaultColWidth="7.875" defaultRowHeight="22.5"/>
  <cols>
    <col min="1" max="1" width="7.875" style="108"/>
    <col min="2" max="2" width="11.125" style="108" customWidth="1"/>
    <col min="3" max="3" width="17.375" style="108" customWidth="1"/>
    <col min="4" max="4" width="7.875" style="108"/>
    <col min="5" max="5" width="10.125" style="108" customWidth="1"/>
    <col min="6" max="9" width="7.875" style="108"/>
    <col min="10" max="10" width="9.25" style="108" customWidth="1"/>
    <col min="11" max="13" width="7.875" style="108"/>
    <col min="14" max="14" width="10.875" style="108" customWidth="1"/>
    <col min="15" max="16384" width="7.875" style="108"/>
  </cols>
  <sheetData>
    <row r="1" ht="23.25" spans="1:15">
      <c r="A1" s="109" t="s">
        <v>66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68"/>
    </row>
    <row r="2" ht="14.25" spans="1:15">
      <c r="A2" s="111" t="s">
        <v>67</v>
      </c>
      <c r="B2" s="112"/>
      <c r="C2" s="113"/>
      <c r="D2" s="15"/>
      <c r="E2" s="111" t="s">
        <v>68</v>
      </c>
      <c r="F2" s="114"/>
      <c r="G2" s="114"/>
      <c r="H2" s="113"/>
      <c r="I2" s="113"/>
      <c r="J2" s="169"/>
      <c r="K2" s="169"/>
      <c r="L2" s="169"/>
      <c r="M2" s="169"/>
      <c r="N2" s="169"/>
      <c r="O2" s="97"/>
    </row>
    <row r="3" ht="14.25" spans="1:15">
      <c r="A3" s="16" t="s">
        <v>69</v>
      </c>
      <c r="B3" s="17"/>
      <c r="C3" s="115"/>
      <c r="D3" s="116"/>
      <c r="E3" s="117" t="s">
        <v>70</v>
      </c>
      <c r="F3" s="118"/>
      <c r="G3" s="119"/>
      <c r="H3" s="120"/>
      <c r="I3" s="115"/>
      <c r="J3" s="170"/>
      <c r="K3" s="170"/>
      <c r="L3" s="170"/>
      <c r="M3" s="170"/>
      <c r="N3" s="170"/>
      <c r="O3" s="97"/>
    </row>
    <row r="4" ht="14.25" spans="1:15">
      <c r="A4" s="121" t="s">
        <v>71</v>
      </c>
      <c r="B4" s="122"/>
      <c r="C4" s="122"/>
      <c r="D4" s="123"/>
      <c r="E4" s="24">
        <v>45883</v>
      </c>
      <c r="F4" s="124"/>
      <c r="G4" s="124"/>
      <c r="H4" s="125"/>
      <c r="I4" s="115"/>
      <c r="J4" s="170"/>
      <c r="K4" s="170"/>
      <c r="L4" s="170"/>
      <c r="M4" s="170"/>
      <c r="N4" s="170"/>
      <c r="O4" s="97"/>
    </row>
    <row r="5" ht="14.25" spans="1:15">
      <c r="A5" s="121"/>
      <c r="B5" s="122"/>
      <c r="C5" s="122"/>
      <c r="D5" s="123"/>
      <c r="E5" s="126"/>
      <c r="F5" s="115"/>
      <c r="G5" s="115"/>
      <c r="H5" s="115"/>
      <c r="I5" s="115"/>
      <c r="J5" s="170"/>
      <c r="K5" s="170"/>
      <c r="L5" s="170"/>
      <c r="M5" s="170"/>
      <c r="N5" s="170"/>
      <c r="O5" s="97"/>
    </row>
    <row r="6" ht="14.25" spans="1:15">
      <c r="A6" s="26"/>
      <c r="B6" s="127"/>
      <c r="C6" s="27"/>
      <c r="D6" s="128"/>
      <c r="E6" s="129"/>
      <c r="F6" s="27"/>
      <c r="G6" s="27"/>
      <c r="H6" s="27"/>
      <c r="I6" s="27"/>
      <c r="J6" s="171"/>
      <c r="K6" s="171"/>
      <c r="L6" s="171"/>
      <c r="M6" s="171"/>
      <c r="N6" s="171"/>
      <c r="O6" s="172"/>
    </row>
    <row r="7" ht="14.25" spans="1:15">
      <c r="A7" s="111" t="s">
        <v>72</v>
      </c>
      <c r="B7" s="112"/>
      <c r="C7" s="114"/>
      <c r="D7" s="130"/>
      <c r="E7" s="131" t="s">
        <v>73</v>
      </c>
      <c r="F7" s="113"/>
      <c r="G7" s="113"/>
      <c r="H7" s="113"/>
      <c r="I7" s="113"/>
      <c r="J7" s="173"/>
      <c r="K7" s="174"/>
      <c r="L7" s="174"/>
      <c r="M7" s="174"/>
      <c r="N7" s="174"/>
      <c r="O7" s="175"/>
    </row>
    <row r="8" ht="14.25" spans="1:15">
      <c r="A8" s="132" t="s">
        <v>74</v>
      </c>
      <c r="B8" s="133"/>
      <c r="C8" s="84"/>
      <c r="D8" s="134"/>
      <c r="E8" s="126" t="s">
        <v>75</v>
      </c>
      <c r="F8" s="115"/>
      <c r="G8" s="115"/>
      <c r="H8" s="115"/>
      <c r="I8" s="115"/>
      <c r="J8" s="174"/>
      <c r="K8" s="174"/>
      <c r="L8" s="174"/>
      <c r="M8" s="174"/>
      <c r="N8" s="174"/>
      <c r="O8" s="175"/>
    </row>
    <row r="9" ht="14.25" spans="1:15">
      <c r="A9" s="135" t="s">
        <v>76</v>
      </c>
      <c r="B9" s="136"/>
      <c r="C9" s="136"/>
      <c r="D9" s="137"/>
      <c r="E9" s="138"/>
      <c r="F9" s="139"/>
      <c r="G9" s="139"/>
      <c r="H9" s="139"/>
      <c r="I9" s="139"/>
      <c r="J9" s="176"/>
      <c r="K9" s="176"/>
      <c r="L9" s="176"/>
      <c r="M9" s="176"/>
      <c r="N9" s="176"/>
      <c r="O9" s="177"/>
    </row>
    <row r="10" ht="14.25" spans="1:15">
      <c r="A10" s="140"/>
      <c r="B10" s="136"/>
      <c r="C10" s="136"/>
      <c r="D10" s="137"/>
      <c r="E10" s="126"/>
      <c r="F10" s="115"/>
      <c r="G10" s="115"/>
      <c r="H10" s="115"/>
      <c r="I10" s="115"/>
      <c r="J10" s="176"/>
      <c r="K10" s="176"/>
      <c r="L10" s="176"/>
      <c r="M10" s="176"/>
      <c r="N10" s="176"/>
      <c r="O10" s="177"/>
    </row>
    <row r="11" ht="14.25" spans="1:15">
      <c r="A11" s="141" t="s">
        <v>77</v>
      </c>
      <c r="B11" s="113"/>
      <c r="C11" s="113"/>
      <c r="D11" s="142"/>
      <c r="E11" s="111" t="s">
        <v>78</v>
      </c>
      <c r="F11" s="114"/>
      <c r="G11" s="114"/>
      <c r="H11" s="114"/>
      <c r="I11" s="114"/>
      <c r="J11" s="113"/>
      <c r="K11" s="113"/>
      <c r="L11" s="113"/>
      <c r="M11" s="113"/>
      <c r="N11" s="113"/>
      <c r="O11" s="142"/>
    </row>
    <row r="12" ht="14.25" spans="1:15">
      <c r="A12" s="51" t="s">
        <v>79</v>
      </c>
      <c r="B12" s="143"/>
      <c r="C12" s="143"/>
      <c r="D12" s="116"/>
      <c r="E12" s="117" t="s">
        <v>80</v>
      </c>
      <c r="F12" s="144"/>
      <c r="G12" s="144"/>
      <c r="H12" s="144"/>
      <c r="I12" s="144"/>
      <c r="J12" s="178"/>
      <c r="K12" s="178"/>
      <c r="L12" s="178"/>
      <c r="M12" s="178"/>
      <c r="N12" s="178"/>
      <c r="O12" s="97"/>
    </row>
    <row r="13" ht="14.25" spans="1:15">
      <c r="A13" s="30"/>
      <c r="B13" s="31"/>
      <c r="C13" s="31"/>
      <c r="D13" s="128"/>
      <c r="E13" s="129"/>
      <c r="F13" s="27"/>
      <c r="G13" s="27"/>
      <c r="H13" s="27"/>
      <c r="I13" s="179"/>
      <c r="J13" s="178"/>
      <c r="K13" s="178"/>
      <c r="L13" s="178"/>
      <c r="M13" s="178"/>
      <c r="N13" s="178"/>
      <c r="O13" s="172"/>
    </row>
    <row r="14" ht="14.25" spans="1:15">
      <c r="A14" s="131" t="s">
        <v>81</v>
      </c>
      <c r="B14" s="113"/>
      <c r="C14" s="131" t="s">
        <v>82</v>
      </c>
      <c r="D14" s="142"/>
      <c r="E14" s="145" t="s">
        <v>83</v>
      </c>
      <c r="F14" s="35"/>
      <c r="G14" s="35"/>
      <c r="H14" s="35"/>
      <c r="I14" s="40"/>
      <c r="J14" s="169"/>
      <c r="K14" s="169"/>
      <c r="L14" s="169"/>
      <c r="M14" s="169"/>
      <c r="N14" s="169"/>
      <c r="O14" s="97"/>
    </row>
    <row r="15" ht="14.25" spans="1:15">
      <c r="A15" s="146"/>
      <c r="B15" s="147"/>
      <c r="C15" s="146"/>
      <c r="D15" s="147"/>
      <c r="E15" s="148"/>
      <c r="F15" s="115"/>
      <c r="G15" s="115"/>
      <c r="H15" s="115"/>
      <c r="I15" s="40"/>
      <c r="J15" s="178"/>
      <c r="K15" s="178"/>
      <c r="L15" s="178"/>
      <c r="M15" s="178"/>
      <c r="N15" s="178"/>
      <c r="O15" s="97"/>
    </row>
    <row r="16" ht="14.25" spans="1:15">
      <c r="A16" s="44"/>
      <c r="B16" s="45"/>
      <c r="C16" s="149"/>
      <c r="D16" s="150"/>
      <c r="E16" s="148"/>
      <c r="F16" s="50"/>
      <c r="G16" s="115"/>
      <c r="H16" s="115"/>
      <c r="I16" s="40"/>
      <c r="J16" s="178"/>
      <c r="K16" s="178"/>
      <c r="L16" s="178"/>
      <c r="M16" s="178"/>
      <c r="N16" s="178"/>
      <c r="O16" s="97"/>
    </row>
    <row r="17" ht="14.25" spans="1:15">
      <c r="A17" s="131" t="s">
        <v>84</v>
      </c>
      <c r="B17" s="142"/>
      <c r="C17" s="151" t="s">
        <v>85</v>
      </c>
      <c r="D17" s="64"/>
      <c r="E17" s="148"/>
      <c r="F17" s="50"/>
      <c r="G17" s="40"/>
      <c r="H17" s="40"/>
      <c r="I17" s="40"/>
      <c r="J17" s="178"/>
      <c r="K17" s="178"/>
      <c r="L17" s="178"/>
      <c r="M17" s="178"/>
      <c r="N17" s="178"/>
      <c r="O17" s="97"/>
    </row>
    <row r="18" ht="14.25" spans="1:15">
      <c r="A18" s="59"/>
      <c r="B18" s="152"/>
      <c r="C18" s="65"/>
      <c r="D18" s="66"/>
      <c r="E18" s="153" t="s">
        <v>86</v>
      </c>
      <c r="F18" s="154" t="s">
        <v>87</v>
      </c>
      <c r="G18" s="27"/>
      <c r="H18" s="27"/>
      <c r="I18" s="27"/>
      <c r="J18" s="180"/>
      <c r="K18" s="178"/>
      <c r="L18" s="178"/>
      <c r="M18" s="178"/>
      <c r="N18" s="178"/>
      <c r="O18" s="97"/>
    </row>
    <row r="19" ht="38.25" spans="1:15">
      <c r="A19" s="155" t="s">
        <v>88</v>
      </c>
      <c r="B19" s="68" t="s">
        <v>89</v>
      </c>
      <c r="C19" s="68" t="s">
        <v>90</v>
      </c>
      <c r="D19" s="156" t="s">
        <v>91</v>
      </c>
      <c r="E19" s="68" t="s">
        <v>92</v>
      </c>
      <c r="F19" s="68" t="s">
        <v>93</v>
      </c>
      <c r="G19" s="68" t="s">
        <v>94</v>
      </c>
      <c r="H19" s="68" t="s">
        <v>95</v>
      </c>
      <c r="I19" s="68" t="s">
        <v>96</v>
      </c>
      <c r="J19" s="181" t="s">
        <v>97</v>
      </c>
      <c r="K19" s="181" t="s">
        <v>98</v>
      </c>
      <c r="L19" s="182" t="s">
        <v>99</v>
      </c>
      <c r="M19" s="182" t="s">
        <v>100</v>
      </c>
      <c r="N19" s="182" t="s">
        <v>101</v>
      </c>
      <c r="O19" s="183"/>
    </row>
    <row r="20" ht="38.25" spans="1:15">
      <c r="A20" s="157" t="s">
        <v>102</v>
      </c>
      <c r="B20" s="73" t="s">
        <v>18</v>
      </c>
      <c r="C20" s="73" t="s">
        <v>17</v>
      </c>
      <c r="D20" s="158" t="s">
        <v>20</v>
      </c>
      <c r="E20" s="73">
        <v>3000</v>
      </c>
      <c r="F20" s="159" t="s">
        <v>21</v>
      </c>
      <c r="G20" s="160">
        <v>0.031</v>
      </c>
      <c r="H20" s="161" t="s">
        <v>22</v>
      </c>
      <c r="I20" s="77">
        <f t="shared" ref="I20:I33" si="0">ROUND(E20*G20,2)</f>
        <v>93</v>
      </c>
      <c r="J20" s="73" t="s">
        <v>23</v>
      </c>
      <c r="K20" s="73"/>
      <c r="L20" s="73" t="s">
        <v>103</v>
      </c>
      <c r="M20" s="184" t="s">
        <v>104</v>
      </c>
      <c r="N20" s="73" t="s">
        <v>19</v>
      </c>
      <c r="O20" s="185"/>
    </row>
    <row r="21" ht="38.25" spans="1:15">
      <c r="A21" s="157" t="s">
        <v>105</v>
      </c>
      <c r="B21" s="73" t="s">
        <v>18</v>
      </c>
      <c r="C21" s="73" t="s">
        <v>17</v>
      </c>
      <c r="D21" s="158" t="s">
        <v>20</v>
      </c>
      <c r="E21" s="73">
        <v>3000</v>
      </c>
      <c r="F21" s="159" t="s">
        <v>21</v>
      </c>
      <c r="G21" s="160">
        <v>0.031</v>
      </c>
      <c r="H21" s="161" t="s">
        <v>22</v>
      </c>
      <c r="I21" s="77">
        <f t="shared" si="0"/>
        <v>93</v>
      </c>
      <c r="J21" s="73" t="s">
        <v>23</v>
      </c>
      <c r="K21" s="73"/>
      <c r="L21" s="73" t="s">
        <v>103</v>
      </c>
      <c r="M21" s="184" t="s">
        <v>104</v>
      </c>
      <c r="N21" s="73" t="s">
        <v>19</v>
      </c>
      <c r="O21" s="185"/>
    </row>
    <row r="22" ht="38.25" spans="1:15">
      <c r="A22" s="157" t="s">
        <v>106</v>
      </c>
      <c r="B22" s="73" t="s">
        <v>25</v>
      </c>
      <c r="C22" s="73" t="s">
        <v>24</v>
      </c>
      <c r="D22" s="158" t="s">
        <v>26</v>
      </c>
      <c r="E22" s="73">
        <v>12000</v>
      </c>
      <c r="F22" s="159" t="s">
        <v>21</v>
      </c>
      <c r="G22" s="160">
        <v>0.028</v>
      </c>
      <c r="H22" s="161" t="s">
        <v>22</v>
      </c>
      <c r="I22" s="77">
        <f t="shared" si="0"/>
        <v>336</v>
      </c>
      <c r="J22" s="73" t="s">
        <v>23</v>
      </c>
      <c r="K22" s="73"/>
      <c r="L22" s="73" t="s">
        <v>103</v>
      </c>
      <c r="M22" s="184" t="s">
        <v>104</v>
      </c>
      <c r="N22" s="73" t="s">
        <v>19</v>
      </c>
      <c r="O22" s="185"/>
    </row>
    <row r="23" ht="38.25" spans="1:15">
      <c r="A23" s="157" t="s">
        <v>107</v>
      </c>
      <c r="B23" s="73" t="s">
        <v>25</v>
      </c>
      <c r="C23" s="73" t="s">
        <v>27</v>
      </c>
      <c r="D23" s="158" t="s">
        <v>26</v>
      </c>
      <c r="E23" s="73">
        <v>3000</v>
      </c>
      <c r="F23" s="159" t="s">
        <v>21</v>
      </c>
      <c r="G23" s="160">
        <v>0.028</v>
      </c>
      <c r="H23" s="161" t="s">
        <v>22</v>
      </c>
      <c r="I23" s="77">
        <f t="shared" si="0"/>
        <v>84</v>
      </c>
      <c r="J23" s="73" t="s">
        <v>23</v>
      </c>
      <c r="K23" s="73"/>
      <c r="L23" s="73" t="s">
        <v>103</v>
      </c>
      <c r="M23" s="184" t="s">
        <v>104</v>
      </c>
      <c r="N23" s="73" t="s">
        <v>19</v>
      </c>
      <c r="O23" s="185"/>
    </row>
    <row r="24" ht="38.25" spans="1:15">
      <c r="A24" s="157" t="s">
        <v>108</v>
      </c>
      <c r="B24" s="73" t="s">
        <v>29</v>
      </c>
      <c r="C24" s="73" t="s">
        <v>28</v>
      </c>
      <c r="D24" s="158" t="s">
        <v>30</v>
      </c>
      <c r="E24" s="73">
        <v>9000</v>
      </c>
      <c r="F24" s="159" t="s">
        <v>21</v>
      </c>
      <c r="G24" s="160">
        <v>0.028</v>
      </c>
      <c r="H24" s="161" t="s">
        <v>22</v>
      </c>
      <c r="I24" s="77">
        <f t="shared" si="0"/>
        <v>252</v>
      </c>
      <c r="J24" s="73" t="s">
        <v>23</v>
      </c>
      <c r="K24" s="73"/>
      <c r="L24" s="73" t="s">
        <v>103</v>
      </c>
      <c r="M24" s="184" t="s">
        <v>104</v>
      </c>
      <c r="N24" s="73" t="s">
        <v>19</v>
      </c>
      <c r="O24" s="185"/>
    </row>
    <row r="25" ht="38.25" spans="1:15">
      <c r="A25" s="157" t="s">
        <v>109</v>
      </c>
      <c r="B25" s="73" t="s">
        <v>32</v>
      </c>
      <c r="C25" s="73" t="s">
        <v>31</v>
      </c>
      <c r="D25" s="158" t="s">
        <v>34</v>
      </c>
      <c r="E25" s="73">
        <v>6000</v>
      </c>
      <c r="F25" s="159" t="s">
        <v>21</v>
      </c>
      <c r="G25" s="160">
        <v>0.0385</v>
      </c>
      <c r="H25" s="161" t="s">
        <v>22</v>
      </c>
      <c r="I25" s="77">
        <f t="shared" si="0"/>
        <v>231</v>
      </c>
      <c r="J25" s="73" t="s">
        <v>35</v>
      </c>
      <c r="K25" s="73"/>
      <c r="L25" s="73" t="s">
        <v>103</v>
      </c>
      <c r="M25" s="184" t="s">
        <v>104</v>
      </c>
      <c r="N25" s="73" t="s">
        <v>33</v>
      </c>
      <c r="O25" s="185"/>
    </row>
    <row r="26" ht="38.25" spans="1:15">
      <c r="A26" s="157" t="s">
        <v>110</v>
      </c>
      <c r="B26" s="73" t="s">
        <v>32</v>
      </c>
      <c r="C26" s="73" t="s">
        <v>36</v>
      </c>
      <c r="D26" s="158" t="s">
        <v>34</v>
      </c>
      <c r="E26" s="73">
        <v>3000</v>
      </c>
      <c r="F26" s="159" t="s">
        <v>21</v>
      </c>
      <c r="G26" s="160">
        <v>0.0385</v>
      </c>
      <c r="H26" s="161" t="s">
        <v>22</v>
      </c>
      <c r="I26" s="77">
        <f t="shared" si="0"/>
        <v>115.5</v>
      </c>
      <c r="J26" s="73" t="s">
        <v>35</v>
      </c>
      <c r="K26" s="73"/>
      <c r="L26" s="73" t="s">
        <v>103</v>
      </c>
      <c r="M26" s="184" t="s">
        <v>104</v>
      </c>
      <c r="N26" s="73" t="s">
        <v>33</v>
      </c>
      <c r="O26" s="185"/>
    </row>
    <row r="27" ht="38.25" spans="1:15">
      <c r="A27" s="157" t="s">
        <v>111</v>
      </c>
      <c r="B27" s="73" t="s">
        <v>32</v>
      </c>
      <c r="C27" s="73" t="s">
        <v>37</v>
      </c>
      <c r="D27" s="158" t="s">
        <v>34</v>
      </c>
      <c r="E27" s="73">
        <v>18000</v>
      </c>
      <c r="F27" s="159" t="s">
        <v>21</v>
      </c>
      <c r="G27" s="160">
        <v>0.0385</v>
      </c>
      <c r="H27" s="161" t="s">
        <v>22</v>
      </c>
      <c r="I27" s="77">
        <f t="shared" si="0"/>
        <v>693</v>
      </c>
      <c r="J27" s="73" t="s">
        <v>35</v>
      </c>
      <c r="K27" s="73"/>
      <c r="L27" s="73" t="s">
        <v>103</v>
      </c>
      <c r="M27" s="184" t="s">
        <v>104</v>
      </c>
      <c r="N27" s="73" t="s">
        <v>33</v>
      </c>
      <c r="O27" s="185"/>
    </row>
    <row r="28" ht="38.25" spans="1:15">
      <c r="A28" s="157" t="s">
        <v>112</v>
      </c>
      <c r="B28" s="73" t="s">
        <v>39</v>
      </c>
      <c r="C28" s="73" t="s">
        <v>38</v>
      </c>
      <c r="D28" s="158" t="s">
        <v>40</v>
      </c>
      <c r="E28" s="73">
        <v>9000</v>
      </c>
      <c r="F28" s="159" t="s">
        <v>21</v>
      </c>
      <c r="G28" s="160">
        <v>0.031</v>
      </c>
      <c r="H28" s="161" t="s">
        <v>22</v>
      </c>
      <c r="I28" s="77">
        <f t="shared" si="0"/>
        <v>279</v>
      </c>
      <c r="J28" s="73" t="s">
        <v>23</v>
      </c>
      <c r="K28" s="73"/>
      <c r="L28" s="73" t="s">
        <v>103</v>
      </c>
      <c r="M28" s="184" t="s">
        <v>104</v>
      </c>
      <c r="N28" s="73" t="s">
        <v>19</v>
      </c>
      <c r="O28" s="185"/>
    </row>
    <row r="29" ht="38.25" spans="1:15">
      <c r="A29" s="157" t="s">
        <v>113</v>
      </c>
      <c r="B29" s="73" t="s">
        <v>39</v>
      </c>
      <c r="C29" s="73" t="s">
        <v>41</v>
      </c>
      <c r="D29" s="158" t="s">
        <v>40</v>
      </c>
      <c r="E29" s="73">
        <v>3000</v>
      </c>
      <c r="F29" s="159" t="s">
        <v>21</v>
      </c>
      <c r="G29" s="160">
        <v>0.031</v>
      </c>
      <c r="H29" s="161" t="s">
        <v>22</v>
      </c>
      <c r="I29" s="77">
        <f t="shared" si="0"/>
        <v>93</v>
      </c>
      <c r="J29" s="73" t="s">
        <v>23</v>
      </c>
      <c r="K29" s="73"/>
      <c r="L29" s="73" t="s">
        <v>103</v>
      </c>
      <c r="M29" s="184" t="s">
        <v>104</v>
      </c>
      <c r="N29" s="73" t="s">
        <v>19</v>
      </c>
      <c r="O29" s="185"/>
    </row>
    <row r="30" ht="38.25" spans="1:15">
      <c r="A30" s="157" t="s">
        <v>114</v>
      </c>
      <c r="B30" s="73" t="s">
        <v>43</v>
      </c>
      <c r="C30" s="73" t="s">
        <v>42</v>
      </c>
      <c r="D30" s="158" t="s">
        <v>44</v>
      </c>
      <c r="E30" s="73">
        <v>12000</v>
      </c>
      <c r="F30" s="159" t="s">
        <v>21</v>
      </c>
      <c r="G30" s="160">
        <v>0.0295</v>
      </c>
      <c r="H30" s="161" t="s">
        <v>22</v>
      </c>
      <c r="I30" s="77">
        <f t="shared" ref="I30:I31" si="1">ROUND(E30*G30,2)</f>
        <v>354</v>
      </c>
      <c r="J30" s="73" t="s">
        <v>23</v>
      </c>
      <c r="K30" s="73"/>
      <c r="L30" s="73" t="s">
        <v>103</v>
      </c>
      <c r="M30" s="184" t="s">
        <v>104</v>
      </c>
      <c r="N30" s="73" t="s">
        <v>19</v>
      </c>
      <c r="O30" s="185"/>
    </row>
    <row r="31" ht="38.25" spans="1:15">
      <c r="A31" s="157" t="s">
        <v>115</v>
      </c>
      <c r="B31" s="73" t="s">
        <v>43</v>
      </c>
      <c r="C31" s="73" t="s">
        <v>42</v>
      </c>
      <c r="D31" s="158" t="s">
        <v>44</v>
      </c>
      <c r="E31" s="73">
        <v>3000</v>
      </c>
      <c r="F31" s="159" t="s">
        <v>21</v>
      </c>
      <c r="G31" s="160">
        <v>0.0295</v>
      </c>
      <c r="H31" s="161" t="s">
        <v>22</v>
      </c>
      <c r="I31" s="77">
        <f t="shared" si="1"/>
        <v>88.5</v>
      </c>
      <c r="J31" s="73" t="s">
        <v>23</v>
      </c>
      <c r="K31" s="73"/>
      <c r="L31" s="73" t="s">
        <v>103</v>
      </c>
      <c r="M31" s="184" t="s">
        <v>104</v>
      </c>
      <c r="N31" s="73" t="s">
        <v>19</v>
      </c>
      <c r="O31" s="185"/>
    </row>
    <row r="32" ht="38.25" spans="1:15">
      <c r="A32" s="157" t="s">
        <v>116</v>
      </c>
      <c r="B32" s="73" t="s">
        <v>43</v>
      </c>
      <c r="C32" s="73" t="s">
        <v>45</v>
      </c>
      <c r="D32" s="158" t="s">
        <v>44</v>
      </c>
      <c r="E32" s="73">
        <v>6000</v>
      </c>
      <c r="F32" s="159" t="s">
        <v>21</v>
      </c>
      <c r="G32" s="160">
        <v>0.0295</v>
      </c>
      <c r="H32" s="161" t="s">
        <v>22</v>
      </c>
      <c r="I32" s="77">
        <f t="shared" si="0"/>
        <v>177</v>
      </c>
      <c r="J32" s="73" t="s">
        <v>23</v>
      </c>
      <c r="K32" s="73"/>
      <c r="L32" s="73" t="s">
        <v>103</v>
      </c>
      <c r="M32" s="184" t="s">
        <v>104</v>
      </c>
      <c r="N32" s="73" t="s">
        <v>19</v>
      </c>
      <c r="O32" s="185"/>
    </row>
    <row r="33" ht="25.5" spans="1:15">
      <c r="A33" s="157" t="s">
        <v>117</v>
      </c>
      <c r="B33" s="73" t="s">
        <v>47</v>
      </c>
      <c r="C33" s="73" t="s">
        <v>46</v>
      </c>
      <c r="D33" s="158" t="s">
        <v>49</v>
      </c>
      <c r="E33" s="73">
        <v>500</v>
      </c>
      <c r="F33" s="159" t="s">
        <v>21</v>
      </c>
      <c r="G33" s="160">
        <v>0.35</v>
      </c>
      <c r="H33" s="161" t="s">
        <v>22</v>
      </c>
      <c r="I33" s="77">
        <f t="shared" si="0"/>
        <v>175</v>
      </c>
      <c r="J33" s="73" t="s">
        <v>50</v>
      </c>
      <c r="K33" s="73"/>
      <c r="L33" s="73" t="s">
        <v>118</v>
      </c>
      <c r="M33" s="184" t="s">
        <v>104</v>
      </c>
      <c r="N33" s="73" t="s">
        <v>48</v>
      </c>
      <c r="O33" s="185"/>
    </row>
    <row r="34" spans="1:15">
      <c r="A34" s="162"/>
      <c r="B34" s="163"/>
      <c r="C34" s="164" t="s">
        <v>119</v>
      </c>
      <c r="D34" s="164"/>
      <c r="E34" s="165">
        <f>SUM(E20:E33)</f>
        <v>90500</v>
      </c>
      <c r="F34" s="166"/>
      <c r="G34" s="167"/>
      <c r="H34" s="167"/>
      <c r="I34" s="186">
        <f>SUM(I20:I33)</f>
        <v>3064</v>
      </c>
      <c r="J34" s="187"/>
      <c r="K34" s="187"/>
      <c r="L34" s="187"/>
      <c r="M34" s="187"/>
      <c r="N34" s="187"/>
      <c r="O34" s="188"/>
    </row>
  </sheetData>
  <mergeCells count="8">
    <mergeCell ref="A1:O1"/>
    <mergeCell ref="E9:I9"/>
    <mergeCell ref="A15:B15"/>
    <mergeCell ref="C15:D15"/>
    <mergeCell ref="C18:D18"/>
    <mergeCell ref="C34:D34"/>
    <mergeCell ref="A4:D5"/>
    <mergeCell ref="A9:D10"/>
  </mergeCells>
  <pageMargins left="0.75" right="0.75" top="1" bottom="1" header="0.5" footer="0.5"/>
  <pageSetup paperSize="9" scale="55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0"/>
  <sheetViews>
    <sheetView view="pageBreakPreview" zoomScaleNormal="100" topLeftCell="A16" workbookViewId="0">
      <selection activeCell="D23" sqref="D23:E36"/>
    </sheetView>
  </sheetViews>
  <sheetFormatPr defaultColWidth="7.875" defaultRowHeight="13.5"/>
  <cols>
    <col min="1" max="1" width="7.875" style="7"/>
    <col min="2" max="3" width="13.625" style="7" customWidth="1"/>
    <col min="4" max="4" width="9.875" style="7" customWidth="1"/>
    <col min="5" max="5" width="8" style="7" customWidth="1"/>
    <col min="6" max="6" width="10.375" style="7" customWidth="1"/>
    <col min="7" max="7" width="7.875" style="7"/>
    <col min="8" max="8" width="7.25" style="7" customWidth="1"/>
    <col min="9" max="9" width="9" style="7" customWidth="1"/>
    <col min="10" max="10" width="25" style="7" customWidth="1"/>
    <col min="11" max="16384" width="7.875" style="7"/>
  </cols>
  <sheetData>
    <row r="1" spans="1:10">
      <c r="A1" s="8" t="s">
        <v>120</v>
      </c>
      <c r="B1" s="9"/>
      <c r="C1" s="9"/>
      <c r="D1" s="9"/>
      <c r="E1" s="9"/>
      <c r="F1" s="9"/>
      <c r="G1" s="9"/>
      <c r="H1" s="9"/>
      <c r="I1" s="9"/>
      <c r="J1" s="95"/>
    </row>
    <row r="2" spans="1:10">
      <c r="A2" s="10"/>
      <c r="B2" s="11"/>
      <c r="C2" s="11"/>
      <c r="D2" s="11"/>
      <c r="E2" s="11"/>
      <c r="F2" s="11"/>
      <c r="G2" s="11"/>
      <c r="H2" s="11"/>
      <c r="I2" s="11"/>
      <c r="J2" s="96"/>
    </row>
    <row r="3" spans="1:10">
      <c r="A3" s="12" t="s">
        <v>67</v>
      </c>
      <c r="B3" s="13"/>
      <c r="C3" s="14"/>
      <c r="D3" s="14"/>
      <c r="E3" s="15"/>
      <c r="F3" s="13" t="s">
        <v>121</v>
      </c>
      <c r="G3" s="14"/>
      <c r="H3" s="14"/>
      <c r="I3" s="14"/>
      <c r="J3" s="97"/>
    </row>
    <row r="4" spans="1:10">
      <c r="A4" s="16" t="s">
        <v>69</v>
      </c>
      <c r="B4" s="17"/>
      <c r="C4" s="18"/>
      <c r="D4" s="18"/>
      <c r="E4" s="19"/>
      <c r="F4" s="20" t="s">
        <v>70</v>
      </c>
      <c r="G4" s="18"/>
      <c r="H4" s="18"/>
      <c r="I4" s="18"/>
      <c r="J4" s="97"/>
    </row>
    <row r="5" spans="1:10">
      <c r="A5" s="21" t="s">
        <v>71</v>
      </c>
      <c r="B5" s="22"/>
      <c r="C5" s="22"/>
      <c r="D5" s="22"/>
      <c r="E5" s="23"/>
      <c r="F5" s="24">
        <v>45883</v>
      </c>
      <c r="G5" s="18"/>
      <c r="H5" s="18"/>
      <c r="I5" s="18"/>
      <c r="J5" s="97"/>
    </row>
    <row r="6" spans="1:10">
      <c r="A6" s="21"/>
      <c r="B6" s="22"/>
      <c r="C6" s="22"/>
      <c r="D6" s="22"/>
      <c r="E6" s="23"/>
      <c r="F6" s="25"/>
      <c r="G6" s="18"/>
      <c r="H6" s="18"/>
      <c r="I6" s="18"/>
      <c r="J6" s="97"/>
    </row>
    <row r="7" spans="1:10">
      <c r="A7" s="26"/>
      <c r="B7" s="27"/>
      <c r="C7" s="28"/>
      <c r="D7" s="28"/>
      <c r="E7" s="29"/>
      <c r="F7" s="30"/>
      <c r="G7" s="31"/>
      <c r="H7" s="31"/>
      <c r="I7" s="31"/>
      <c r="J7" s="46"/>
    </row>
    <row r="8" spans="1:10">
      <c r="A8" s="12" t="s">
        <v>122</v>
      </c>
      <c r="B8" s="13"/>
      <c r="C8" s="32"/>
      <c r="D8" s="32"/>
      <c r="E8" s="33"/>
      <c r="F8" s="34" t="s">
        <v>123</v>
      </c>
      <c r="G8" s="35"/>
      <c r="H8" s="35"/>
      <c r="I8" s="35"/>
      <c r="J8" s="97"/>
    </row>
    <row r="9" spans="1:10">
      <c r="A9" s="36" t="s">
        <v>124</v>
      </c>
      <c r="B9" s="17"/>
      <c r="C9" s="37"/>
      <c r="D9" s="37"/>
      <c r="E9" s="38"/>
      <c r="F9" s="39"/>
      <c r="G9" s="40"/>
      <c r="H9" s="40"/>
      <c r="I9" s="40"/>
      <c r="J9" s="97"/>
    </row>
    <row r="10" spans="1:10">
      <c r="A10" s="41" t="s">
        <v>125</v>
      </c>
      <c r="B10" s="42"/>
      <c r="C10" s="42"/>
      <c r="D10" s="42"/>
      <c r="E10" s="43"/>
      <c r="F10" s="39"/>
      <c r="G10" s="35"/>
      <c r="H10" s="18"/>
      <c r="I10" s="40"/>
      <c r="J10" s="97"/>
    </row>
    <row r="11" spans="1:10">
      <c r="A11" s="41"/>
      <c r="B11" s="42"/>
      <c r="C11" s="42"/>
      <c r="D11" s="42"/>
      <c r="E11" s="43"/>
      <c r="F11" s="39"/>
      <c r="G11" s="35"/>
      <c r="H11" s="18"/>
      <c r="I11" s="40"/>
      <c r="J11" s="97"/>
    </row>
    <row r="12" spans="1:10">
      <c r="A12" s="44"/>
      <c r="B12" s="45"/>
      <c r="C12" s="31"/>
      <c r="D12" s="31"/>
      <c r="E12" s="46"/>
      <c r="F12" s="18"/>
      <c r="G12" s="47"/>
      <c r="H12" s="47"/>
      <c r="I12" s="35"/>
      <c r="J12" s="97"/>
    </row>
    <row r="13" ht="16.5" spans="1:10">
      <c r="A13" s="48" t="s">
        <v>126</v>
      </c>
      <c r="B13" s="39"/>
      <c r="C13" s="35"/>
      <c r="D13" s="35"/>
      <c r="E13" s="19"/>
      <c r="F13" s="49"/>
      <c r="G13" s="50"/>
      <c r="H13" s="18"/>
      <c r="I13" s="35"/>
      <c r="J13" s="97"/>
    </row>
    <row r="14" ht="16.5" spans="1:10">
      <c r="A14" s="51"/>
      <c r="B14" s="52"/>
      <c r="C14" s="52"/>
      <c r="D14" s="52"/>
      <c r="E14" s="19"/>
      <c r="F14" s="49"/>
      <c r="G14" s="50"/>
      <c r="H14" s="18"/>
      <c r="I14" s="35"/>
      <c r="J14" s="97"/>
    </row>
    <row r="15" spans="1:10">
      <c r="A15" s="51" t="s">
        <v>79</v>
      </c>
      <c r="B15" s="52"/>
      <c r="C15" s="18"/>
      <c r="D15" s="18"/>
      <c r="E15" s="53"/>
      <c r="F15" s="35"/>
      <c r="G15" s="35"/>
      <c r="H15" s="35"/>
      <c r="I15" s="35"/>
      <c r="J15" s="97"/>
    </row>
    <row r="16" spans="1:10">
      <c r="A16" s="30"/>
      <c r="B16" s="31"/>
      <c r="C16" s="31"/>
      <c r="D16" s="31"/>
      <c r="E16" s="46"/>
      <c r="F16" s="54"/>
      <c r="G16" s="54"/>
      <c r="H16" s="55"/>
      <c r="I16" s="98"/>
      <c r="J16" s="97"/>
    </row>
    <row r="17" spans="1:10">
      <c r="A17" s="56" t="s">
        <v>127</v>
      </c>
      <c r="B17" s="34"/>
      <c r="C17" s="15"/>
      <c r="D17" s="34" t="s">
        <v>128</v>
      </c>
      <c r="E17" s="57"/>
      <c r="F17" s="54"/>
      <c r="G17" s="54"/>
      <c r="H17" s="58"/>
      <c r="I17" s="35"/>
      <c r="J17" s="97"/>
    </row>
    <row r="18" spans="1:10">
      <c r="A18" s="59"/>
      <c r="B18" s="60"/>
      <c r="C18" s="61"/>
      <c r="D18" s="59"/>
      <c r="E18" s="61"/>
      <c r="F18" s="54"/>
      <c r="G18" s="54"/>
      <c r="H18" s="58"/>
      <c r="I18" s="35"/>
      <c r="J18" s="97"/>
    </row>
    <row r="19" spans="1:10">
      <c r="A19" s="56" t="s">
        <v>84</v>
      </c>
      <c r="B19" s="62"/>
      <c r="C19" s="63"/>
      <c r="D19" s="34" t="s">
        <v>85</v>
      </c>
      <c r="E19" s="64"/>
      <c r="F19" s="18"/>
      <c r="G19" s="35"/>
      <c r="H19" s="35"/>
      <c r="I19" s="35"/>
      <c r="J19" s="97"/>
    </row>
    <row r="20" spans="1:10">
      <c r="A20" s="59"/>
      <c r="B20" s="60"/>
      <c r="C20" s="61"/>
      <c r="D20" s="65"/>
      <c r="E20" s="66"/>
      <c r="F20" s="31"/>
      <c r="G20" s="31"/>
      <c r="H20" s="31"/>
      <c r="I20" s="31"/>
      <c r="J20" s="97"/>
    </row>
    <row r="21" spans="1:10">
      <c r="A21" s="67" t="s">
        <v>129</v>
      </c>
      <c r="B21" s="68" t="s">
        <v>90</v>
      </c>
      <c r="C21" s="68" t="s">
        <v>89</v>
      </c>
      <c r="D21" s="68" t="s">
        <v>91</v>
      </c>
      <c r="E21" s="68"/>
      <c r="F21" s="69" t="s">
        <v>92</v>
      </c>
      <c r="G21" s="69" t="s">
        <v>93</v>
      </c>
      <c r="H21" s="70" t="s">
        <v>130</v>
      </c>
      <c r="I21" s="70" t="s">
        <v>131</v>
      </c>
      <c r="J21" s="99" t="s">
        <v>132</v>
      </c>
    </row>
    <row r="22" spans="1:10">
      <c r="A22" s="67"/>
      <c r="B22" s="68"/>
      <c r="C22" s="68"/>
      <c r="D22" s="68"/>
      <c r="E22" s="68"/>
      <c r="F22" s="69"/>
      <c r="G22" s="69"/>
      <c r="H22" s="70" t="s">
        <v>133</v>
      </c>
      <c r="I22" s="70" t="s">
        <v>133</v>
      </c>
      <c r="J22" s="100"/>
    </row>
    <row r="23" spans="1:10">
      <c r="A23" s="71">
        <v>1</v>
      </c>
      <c r="B23" s="72" t="s">
        <v>17</v>
      </c>
      <c r="C23" s="73" t="s">
        <v>18</v>
      </c>
      <c r="D23" s="74" t="s">
        <v>20</v>
      </c>
      <c r="E23" s="74"/>
      <c r="F23" s="75">
        <v>3000</v>
      </c>
      <c r="G23" s="76" t="s">
        <v>21</v>
      </c>
      <c r="H23" s="77">
        <v>0.3</v>
      </c>
      <c r="I23" s="77">
        <v>0.5</v>
      </c>
      <c r="J23" s="101" t="s">
        <v>134</v>
      </c>
    </row>
    <row r="24" spans="1:10">
      <c r="A24" s="71"/>
      <c r="B24" s="72" t="s">
        <v>17</v>
      </c>
      <c r="C24" s="73" t="s">
        <v>18</v>
      </c>
      <c r="D24" s="74" t="s">
        <v>20</v>
      </c>
      <c r="E24" s="74"/>
      <c r="F24" s="75">
        <v>3000</v>
      </c>
      <c r="G24" s="76" t="s">
        <v>21</v>
      </c>
      <c r="H24" s="77"/>
      <c r="I24" s="77"/>
      <c r="J24" s="101"/>
    </row>
    <row r="25" spans="1:10">
      <c r="A25" s="71">
        <v>1</v>
      </c>
      <c r="B25" s="72" t="s">
        <v>24</v>
      </c>
      <c r="C25" s="73" t="s">
        <v>25</v>
      </c>
      <c r="D25" s="74" t="s">
        <v>26</v>
      </c>
      <c r="E25" s="74"/>
      <c r="F25" s="75">
        <v>12000</v>
      </c>
      <c r="G25" s="76" t="s">
        <v>21</v>
      </c>
      <c r="H25" s="77">
        <v>0.7</v>
      </c>
      <c r="I25" s="77">
        <v>0.9</v>
      </c>
      <c r="J25" s="101" t="s">
        <v>134</v>
      </c>
    </row>
    <row r="26" spans="1:10">
      <c r="A26" s="71"/>
      <c r="B26" s="72" t="s">
        <v>27</v>
      </c>
      <c r="C26" s="73" t="s">
        <v>25</v>
      </c>
      <c r="D26" s="74" t="s">
        <v>26</v>
      </c>
      <c r="E26" s="74" t="s">
        <v>26</v>
      </c>
      <c r="F26" s="75">
        <v>3000</v>
      </c>
      <c r="G26" s="76" t="s">
        <v>21</v>
      </c>
      <c r="H26" s="77"/>
      <c r="I26" s="77"/>
      <c r="J26" s="101"/>
    </row>
    <row r="27" spans="1:10">
      <c r="A27" s="71">
        <v>1</v>
      </c>
      <c r="B27" s="72" t="s">
        <v>28</v>
      </c>
      <c r="C27" s="73" t="s">
        <v>29</v>
      </c>
      <c r="D27" s="74" t="s">
        <v>30</v>
      </c>
      <c r="E27" s="74" t="s">
        <v>30</v>
      </c>
      <c r="F27" s="75">
        <v>9000</v>
      </c>
      <c r="G27" s="76" t="s">
        <v>21</v>
      </c>
      <c r="H27" s="77">
        <v>0.4</v>
      </c>
      <c r="I27" s="77">
        <v>0.6</v>
      </c>
      <c r="J27" s="101" t="s">
        <v>134</v>
      </c>
    </row>
    <row r="28" spans="1:10">
      <c r="A28" s="71">
        <v>1</v>
      </c>
      <c r="B28" s="72" t="s">
        <v>31</v>
      </c>
      <c r="C28" s="73" t="s">
        <v>32</v>
      </c>
      <c r="D28" s="74" t="s">
        <v>34</v>
      </c>
      <c r="E28" s="74" t="s">
        <v>34</v>
      </c>
      <c r="F28" s="75">
        <v>6000</v>
      </c>
      <c r="G28" s="76" t="s">
        <v>21</v>
      </c>
      <c r="H28" s="77">
        <v>0.7</v>
      </c>
      <c r="I28" s="77">
        <v>0.9</v>
      </c>
      <c r="J28" s="101" t="s">
        <v>134</v>
      </c>
    </row>
    <row r="29" spans="1:10">
      <c r="A29" s="71"/>
      <c r="B29" s="72" t="s">
        <v>36</v>
      </c>
      <c r="C29" s="73" t="s">
        <v>32</v>
      </c>
      <c r="D29" s="74" t="s">
        <v>34</v>
      </c>
      <c r="E29" s="74" t="s">
        <v>34</v>
      </c>
      <c r="F29" s="75">
        <v>3000</v>
      </c>
      <c r="G29" s="76" t="s">
        <v>21</v>
      </c>
      <c r="H29" s="77"/>
      <c r="I29" s="77"/>
      <c r="J29" s="101"/>
    </row>
    <row r="30" spans="1:10">
      <c r="A30" s="71"/>
      <c r="B30" s="72" t="s">
        <v>37</v>
      </c>
      <c r="C30" s="73" t="s">
        <v>32</v>
      </c>
      <c r="D30" s="74" t="s">
        <v>34</v>
      </c>
      <c r="E30" s="74" t="s">
        <v>34</v>
      </c>
      <c r="F30" s="75">
        <v>18000</v>
      </c>
      <c r="G30" s="76" t="s">
        <v>21</v>
      </c>
      <c r="H30" s="77"/>
      <c r="I30" s="77"/>
      <c r="J30" s="102"/>
    </row>
    <row r="31" spans="1:10">
      <c r="A31" s="71">
        <v>1</v>
      </c>
      <c r="B31" s="72" t="s">
        <v>38</v>
      </c>
      <c r="C31" s="73" t="s">
        <v>39</v>
      </c>
      <c r="D31" s="74" t="s">
        <v>40</v>
      </c>
      <c r="E31" s="74" t="s">
        <v>40</v>
      </c>
      <c r="F31" s="75">
        <v>9000</v>
      </c>
      <c r="G31" s="76" t="s">
        <v>21</v>
      </c>
      <c r="H31" s="77">
        <v>0.5</v>
      </c>
      <c r="I31" s="77">
        <v>0.7</v>
      </c>
      <c r="J31" s="101" t="s">
        <v>134</v>
      </c>
    </row>
    <row r="32" spans="1:10">
      <c r="A32" s="71"/>
      <c r="B32" s="72" t="s">
        <v>41</v>
      </c>
      <c r="C32" s="73" t="s">
        <v>39</v>
      </c>
      <c r="D32" s="74" t="s">
        <v>40</v>
      </c>
      <c r="E32" s="74" t="s">
        <v>40</v>
      </c>
      <c r="F32" s="75">
        <v>3000</v>
      </c>
      <c r="G32" s="76" t="s">
        <v>21</v>
      </c>
      <c r="H32" s="77"/>
      <c r="I32" s="77"/>
      <c r="J32" s="101"/>
    </row>
    <row r="33" spans="1:10">
      <c r="A33" s="71">
        <v>1</v>
      </c>
      <c r="B33" s="72" t="s">
        <v>42</v>
      </c>
      <c r="C33" s="73" t="s">
        <v>43</v>
      </c>
      <c r="D33" s="74" t="s">
        <v>44</v>
      </c>
      <c r="E33" s="74" t="s">
        <v>44</v>
      </c>
      <c r="F33" s="75">
        <v>12000</v>
      </c>
      <c r="G33" s="76" t="s">
        <v>21</v>
      </c>
      <c r="H33" s="77">
        <v>0.9</v>
      </c>
      <c r="I33" s="77">
        <v>1.1</v>
      </c>
      <c r="J33" s="101" t="s">
        <v>134</v>
      </c>
    </row>
    <row r="34" spans="1:10">
      <c r="A34" s="71"/>
      <c r="B34" s="72" t="s">
        <v>42</v>
      </c>
      <c r="C34" s="73" t="s">
        <v>43</v>
      </c>
      <c r="D34" s="74" t="s">
        <v>44</v>
      </c>
      <c r="E34" s="74" t="s">
        <v>44</v>
      </c>
      <c r="F34" s="75">
        <v>3000</v>
      </c>
      <c r="G34" s="76" t="s">
        <v>21</v>
      </c>
      <c r="H34" s="77"/>
      <c r="I34" s="77"/>
      <c r="J34" s="101"/>
    </row>
    <row r="35" spans="1:10">
      <c r="A35" s="71"/>
      <c r="B35" s="72" t="s">
        <v>45</v>
      </c>
      <c r="C35" s="73" t="s">
        <v>43</v>
      </c>
      <c r="D35" s="74" t="s">
        <v>44</v>
      </c>
      <c r="E35" s="74" t="s">
        <v>44</v>
      </c>
      <c r="F35" s="75">
        <v>6000</v>
      </c>
      <c r="G35" s="76" t="s">
        <v>21</v>
      </c>
      <c r="H35" s="77"/>
      <c r="I35" s="77"/>
      <c r="J35" s="102"/>
    </row>
    <row r="36" spans="1:10">
      <c r="A36" s="71">
        <v>1</v>
      </c>
      <c r="B36" s="72" t="s">
        <v>46</v>
      </c>
      <c r="C36" s="73" t="s">
        <v>47</v>
      </c>
      <c r="D36" s="74" t="s">
        <v>49</v>
      </c>
      <c r="E36" s="74" t="s">
        <v>49</v>
      </c>
      <c r="F36" s="75">
        <v>500</v>
      </c>
      <c r="G36" s="76" t="s">
        <v>21</v>
      </c>
      <c r="H36" s="77">
        <v>0.1</v>
      </c>
      <c r="I36" s="77">
        <v>0.3</v>
      </c>
      <c r="J36" s="101" t="s">
        <v>134</v>
      </c>
    </row>
    <row r="37" spans="1:10">
      <c r="A37" s="71"/>
      <c r="B37" s="72"/>
      <c r="C37" s="73"/>
      <c r="D37" s="74"/>
      <c r="E37" s="74"/>
      <c r="F37" s="75"/>
      <c r="G37" s="76"/>
      <c r="H37" s="77"/>
      <c r="I37" s="77"/>
      <c r="J37" s="101"/>
    </row>
    <row r="38" spans="1:10">
      <c r="A38" s="71"/>
      <c r="B38" s="72"/>
      <c r="C38" s="73"/>
      <c r="D38" s="74"/>
      <c r="E38" s="74"/>
      <c r="F38" s="75"/>
      <c r="G38" s="76"/>
      <c r="H38" s="77"/>
      <c r="I38" s="77"/>
      <c r="J38" s="101"/>
    </row>
    <row r="39" spans="1:10">
      <c r="A39" s="71"/>
      <c r="B39" s="72"/>
      <c r="C39" s="73"/>
      <c r="D39" s="74"/>
      <c r="E39" s="74"/>
      <c r="F39" s="75"/>
      <c r="G39" s="76"/>
      <c r="H39" s="77"/>
      <c r="I39" s="77"/>
      <c r="J39" s="102"/>
    </row>
    <row r="40" spans="1:10">
      <c r="A40" s="71"/>
      <c r="B40" s="72"/>
      <c r="C40" s="73"/>
      <c r="D40" s="74"/>
      <c r="E40" s="74"/>
      <c r="F40" s="75"/>
      <c r="G40" s="76"/>
      <c r="H40" s="77"/>
      <c r="I40" s="77"/>
      <c r="J40" s="101"/>
    </row>
    <row r="41" spans="1:10">
      <c r="A41" s="71"/>
      <c r="B41" s="72"/>
      <c r="C41" s="73"/>
      <c r="D41" s="74"/>
      <c r="E41" s="74"/>
      <c r="F41" s="75"/>
      <c r="G41" s="76"/>
      <c r="H41" s="77"/>
      <c r="I41" s="77"/>
      <c r="J41" s="101"/>
    </row>
    <row r="42" spans="1:10">
      <c r="A42" s="71"/>
      <c r="B42" s="72"/>
      <c r="C42" s="73"/>
      <c r="D42" s="74"/>
      <c r="E42" s="74"/>
      <c r="F42" s="75"/>
      <c r="G42" s="76"/>
      <c r="H42" s="77"/>
      <c r="I42" s="77"/>
      <c r="J42" s="101"/>
    </row>
    <row r="43" spans="1:10">
      <c r="A43" s="71"/>
      <c r="B43" s="72"/>
      <c r="C43" s="73"/>
      <c r="D43" s="74"/>
      <c r="E43" s="74"/>
      <c r="F43" s="75"/>
      <c r="G43" s="76"/>
      <c r="H43" s="77"/>
      <c r="I43" s="77"/>
      <c r="J43" s="101"/>
    </row>
    <row r="44" spans="1:10">
      <c r="A44" s="71"/>
      <c r="B44" s="72"/>
      <c r="C44" s="73"/>
      <c r="D44" s="74"/>
      <c r="E44" s="74"/>
      <c r="F44" s="75"/>
      <c r="G44" s="76"/>
      <c r="H44" s="77"/>
      <c r="I44" s="77"/>
      <c r="J44" s="101"/>
    </row>
    <row r="45" ht="14.25" spans="1:10">
      <c r="A45" s="78"/>
      <c r="B45" s="79"/>
      <c r="C45" s="80"/>
      <c r="D45" s="80"/>
      <c r="E45" s="80"/>
      <c r="F45" s="81"/>
      <c r="G45" s="80"/>
      <c r="H45" s="82"/>
      <c r="I45" s="103"/>
      <c r="J45" s="104"/>
    </row>
    <row r="46" spans="1:10">
      <c r="A46" s="83">
        <f>SUM(A23:A45)</f>
        <v>7</v>
      </c>
      <c r="B46" s="18"/>
      <c r="C46" s="62"/>
      <c r="D46" s="84"/>
      <c r="E46" s="85" t="s">
        <v>135</v>
      </c>
      <c r="F46" s="86">
        <f>SUM(F23:F45)</f>
        <v>90500</v>
      </c>
      <c r="G46" s="87"/>
      <c r="H46" s="88">
        <f>SUM(H23:H45)</f>
        <v>3.6</v>
      </c>
      <c r="I46" s="88">
        <f>SUM(I23:I45)</f>
        <v>5</v>
      </c>
      <c r="J46" s="105"/>
    </row>
    <row r="47" spans="1:10">
      <c r="A47" s="89"/>
      <c r="E47" s="90" t="s">
        <v>136</v>
      </c>
      <c r="F47" s="91">
        <f>A46</f>
        <v>7</v>
      </c>
      <c r="J47" s="106"/>
    </row>
    <row r="48" spans="1:10">
      <c r="A48" s="89"/>
      <c r="E48" s="90" t="s">
        <v>137</v>
      </c>
      <c r="F48" s="92" t="s">
        <v>138</v>
      </c>
      <c r="J48" s="106"/>
    </row>
    <row r="49" spans="1:10">
      <c r="A49" s="89"/>
      <c r="E49" s="90" t="s">
        <v>139</v>
      </c>
      <c r="F49" s="92" t="s">
        <v>140</v>
      </c>
      <c r="J49" s="106"/>
    </row>
    <row r="50" spans="1:10">
      <c r="A50" s="93"/>
      <c r="B50" s="94"/>
      <c r="C50" s="94"/>
      <c r="D50" s="94"/>
      <c r="E50" s="94"/>
      <c r="F50" s="94"/>
      <c r="G50" s="94"/>
      <c r="H50" s="94"/>
      <c r="I50" s="94"/>
      <c r="J50" s="107"/>
    </row>
  </sheetData>
  <mergeCells count="20">
    <mergeCell ref="A1:J1"/>
    <mergeCell ref="F16:G16"/>
    <mergeCell ref="F17:G17"/>
    <mergeCell ref="A18:C18"/>
    <mergeCell ref="D18:E18"/>
    <mergeCell ref="F18:G18"/>
    <mergeCell ref="A20:C20"/>
    <mergeCell ref="D20:E20"/>
    <mergeCell ref="D23:E23"/>
    <mergeCell ref="D24:E24"/>
    <mergeCell ref="D25:E25"/>
    <mergeCell ref="A21:A22"/>
    <mergeCell ref="B21:B22"/>
    <mergeCell ref="C21:C22"/>
    <mergeCell ref="F21:F22"/>
    <mergeCell ref="G21:G22"/>
    <mergeCell ref="J21:J22"/>
    <mergeCell ref="D21:E22"/>
    <mergeCell ref="A5:E6"/>
    <mergeCell ref="A10:E11"/>
  </mergeCells>
  <pageMargins left="0.75" right="0.75" top="1" bottom="1" header="0.5" footer="0.5"/>
  <pageSetup paperSize="9" scale="70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15"/>
  <sheetViews>
    <sheetView workbookViewId="0">
      <selection activeCell="E2" sqref="E2:E15"/>
    </sheetView>
  </sheetViews>
  <sheetFormatPr defaultColWidth="9" defaultRowHeight="14.25"/>
  <cols>
    <col min="2" max="4" width="11.5" customWidth="1"/>
    <col min="5" max="5" width="20.375" customWidth="1"/>
    <col min="12" max="12" width="9.375" customWidth="1"/>
  </cols>
  <sheetData>
    <row r="1" spans="2:12">
      <c r="B1" s="1" t="s">
        <v>7</v>
      </c>
      <c r="C1" s="1" t="s">
        <v>6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</row>
    <row r="2" spans="2:13">
      <c r="B2" s="2" t="s">
        <v>18</v>
      </c>
      <c r="C2" s="2">
        <v>2250600556</v>
      </c>
      <c r="D2" s="2" t="s">
        <v>19</v>
      </c>
      <c r="E2" s="2" t="s">
        <v>20</v>
      </c>
      <c r="F2" s="3" t="s">
        <v>21</v>
      </c>
      <c r="G2" s="4">
        <v>3000</v>
      </c>
      <c r="H2" s="5">
        <v>0.031</v>
      </c>
      <c r="I2" s="6">
        <f t="shared" ref="I2:I15" si="0">G2*H2</f>
        <v>93</v>
      </c>
      <c r="J2" s="3" t="s">
        <v>22</v>
      </c>
      <c r="K2" s="6">
        <v>0.15</v>
      </c>
      <c r="L2" s="3" t="s">
        <v>23</v>
      </c>
      <c r="M2">
        <f>VLOOKUP(L2,[1]国家代码!$A$1:$B$65536,2,0)</f>
        <v>142</v>
      </c>
    </row>
    <row r="3" spans="2:13">
      <c r="B3" s="2" t="s">
        <v>18</v>
      </c>
      <c r="C3" s="2">
        <v>2250600556</v>
      </c>
      <c r="D3" s="2" t="s">
        <v>19</v>
      </c>
      <c r="E3" s="2" t="s">
        <v>20</v>
      </c>
      <c r="F3" s="3" t="s">
        <v>21</v>
      </c>
      <c r="G3" s="4">
        <v>3000</v>
      </c>
      <c r="H3" s="5">
        <v>0.031</v>
      </c>
      <c r="I3" s="6">
        <f t="shared" si="0"/>
        <v>93</v>
      </c>
      <c r="J3" s="3" t="s">
        <v>22</v>
      </c>
      <c r="K3" s="6">
        <v>0.15</v>
      </c>
      <c r="L3" s="3" t="s">
        <v>23</v>
      </c>
      <c r="M3">
        <f>VLOOKUP(L3,[1]国家代码!$A$1:$B$65536,2,0)</f>
        <v>142</v>
      </c>
    </row>
    <row r="4" spans="2:13">
      <c r="B4" s="2" t="s">
        <v>25</v>
      </c>
      <c r="C4" s="2">
        <v>2250300844</v>
      </c>
      <c r="D4" s="2" t="s">
        <v>19</v>
      </c>
      <c r="E4" s="2" t="s">
        <v>26</v>
      </c>
      <c r="F4" s="3" t="s">
        <v>21</v>
      </c>
      <c r="G4" s="4">
        <v>12000</v>
      </c>
      <c r="H4" s="5">
        <v>0.028</v>
      </c>
      <c r="I4" s="6">
        <f t="shared" si="0"/>
        <v>336</v>
      </c>
      <c r="J4" s="3" t="s">
        <v>22</v>
      </c>
      <c r="K4" s="6">
        <v>0.56</v>
      </c>
      <c r="L4" s="3" t="s">
        <v>23</v>
      </c>
      <c r="M4">
        <f>VLOOKUP(L4,[1]国家代码!$A$1:$B$65536,2,0)</f>
        <v>142</v>
      </c>
    </row>
    <row r="5" spans="2:13">
      <c r="B5" s="2" t="s">
        <v>25</v>
      </c>
      <c r="C5" s="2">
        <v>2250302067</v>
      </c>
      <c r="D5" s="2" t="s">
        <v>19</v>
      </c>
      <c r="E5" s="2" t="s">
        <v>26</v>
      </c>
      <c r="F5" s="3" t="s">
        <v>21</v>
      </c>
      <c r="G5" s="4">
        <v>3000</v>
      </c>
      <c r="H5" s="5">
        <v>0.028</v>
      </c>
      <c r="I5" s="6">
        <f t="shared" si="0"/>
        <v>84</v>
      </c>
      <c r="J5" s="3" t="s">
        <v>22</v>
      </c>
      <c r="K5" s="6">
        <v>0.14</v>
      </c>
      <c r="L5" s="3" t="s">
        <v>23</v>
      </c>
      <c r="M5">
        <f>VLOOKUP(L5,[1]国家代码!$A$1:$B$65536,2,0)</f>
        <v>142</v>
      </c>
    </row>
    <row r="6" spans="2:13">
      <c r="B6" s="2" t="s">
        <v>29</v>
      </c>
      <c r="C6" s="2">
        <v>2250501304</v>
      </c>
      <c r="D6" s="2" t="s">
        <v>19</v>
      </c>
      <c r="E6" s="2" t="s">
        <v>30</v>
      </c>
      <c r="F6" s="3" t="s">
        <v>21</v>
      </c>
      <c r="G6" s="4">
        <v>9000</v>
      </c>
      <c r="H6" s="5">
        <v>0.028</v>
      </c>
      <c r="I6" s="6">
        <f t="shared" si="0"/>
        <v>252</v>
      </c>
      <c r="J6" s="3" t="s">
        <v>22</v>
      </c>
      <c r="K6" s="6">
        <v>0.4</v>
      </c>
      <c r="L6" s="3" t="s">
        <v>23</v>
      </c>
      <c r="M6">
        <f>VLOOKUP(L6,[1]国家代码!$A$1:$B$65536,2,0)</f>
        <v>142</v>
      </c>
    </row>
    <row r="7" spans="2:13">
      <c r="B7" s="2" t="s">
        <v>32</v>
      </c>
      <c r="C7" s="2">
        <v>2250102340</v>
      </c>
      <c r="D7" s="2" t="s">
        <v>33</v>
      </c>
      <c r="E7" s="2" t="s">
        <v>34</v>
      </c>
      <c r="F7" s="3" t="s">
        <v>21</v>
      </c>
      <c r="G7" s="4">
        <v>6000</v>
      </c>
      <c r="H7" s="5">
        <v>0.0385</v>
      </c>
      <c r="I7" s="6">
        <f t="shared" si="0"/>
        <v>231</v>
      </c>
      <c r="J7" s="3" t="s">
        <v>22</v>
      </c>
      <c r="K7" s="6">
        <v>0.16</v>
      </c>
      <c r="L7" s="3" t="s">
        <v>35</v>
      </c>
      <c r="M7">
        <f>VLOOKUP(L7,[1]国家代码!$A$1:$B$65536,2,0)</f>
        <v>136</v>
      </c>
    </row>
    <row r="8" spans="2:13">
      <c r="B8" s="2" t="s">
        <v>32</v>
      </c>
      <c r="C8" s="2">
        <v>2250102513</v>
      </c>
      <c r="D8" s="2" t="s">
        <v>33</v>
      </c>
      <c r="E8" s="2" t="s">
        <v>34</v>
      </c>
      <c r="F8" s="3" t="s">
        <v>21</v>
      </c>
      <c r="G8" s="4">
        <v>3000</v>
      </c>
      <c r="H8" s="5">
        <v>0.0385</v>
      </c>
      <c r="I8" s="6">
        <f t="shared" si="0"/>
        <v>115.5</v>
      </c>
      <c r="J8" s="3" t="s">
        <v>22</v>
      </c>
      <c r="K8" s="6">
        <v>0.08</v>
      </c>
      <c r="L8" s="3" t="s">
        <v>35</v>
      </c>
      <c r="M8">
        <f>VLOOKUP(L8,[1]国家代码!$A$1:$B$65536,2,0)</f>
        <v>136</v>
      </c>
    </row>
    <row r="9" spans="2:13">
      <c r="B9" s="2" t="s">
        <v>32</v>
      </c>
      <c r="C9" s="2">
        <v>2250102986</v>
      </c>
      <c r="D9" s="2" t="s">
        <v>33</v>
      </c>
      <c r="E9" s="2" t="s">
        <v>34</v>
      </c>
      <c r="F9" s="3" t="s">
        <v>21</v>
      </c>
      <c r="G9" s="4">
        <v>18000</v>
      </c>
      <c r="H9" s="5">
        <v>0.0385</v>
      </c>
      <c r="I9" s="6">
        <f t="shared" si="0"/>
        <v>693</v>
      </c>
      <c r="J9" s="3" t="s">
        <v>22</v>
      </c>
      <c r="K9" s="6">
        <v>0.46</v>
      </c>
      <c r="L9" s="3" t="s">
        <v>35</v>
      </c>
      <c r="M9">
        <f>VLOOKUP(L9,[1]国家代码!$A$1:$B$65536,2,0)</f>
        <v>136</v>
      </c>
    </row>
    <row r="10" spans="2:13">
      <c r="B10" s="2" t="s">
        <v>39</v>
      </c>
      <c r="C10" s="2">
        <v>2250300844</v>
      </c>
      <c r="D10" s="2" t="s">
        <v>19</v>
      </c>
      <c r="E10" s="2" t="s">
        <v>40</v>
      </c>
      <c r="F10" s="3" t="s">
        <v>21</v>
      </c>
      <c r="G10" s="4">
        <v>9000</v>
      </c>
      <c r="H10" s="5">
        <v>0.031</v>
      </c>
      <c r="I10" s="6">
        <f t="shared" si="0"/>
        <v>279</v>
      </c>
      <c r="J10" s="3" t="s">
        <v>22</v>
      </c>
      <c r="K10" s="6">
        <v>0.37</v>
      </c>
      <c r="L10" s="3" t="s">
        <v>23</v>
      </c>
      <c r="M10">
        <f>VLOOKUP(L10,[1]国家代码!$A$1:$B$65536,2,0)</f>
        <v>142</v>
      </c>
    </row>
    <row r="11" spans="2:13">
      <c r="B11" s="2" t="s">
        <v>39</v>
      </c>
      <c r="C11" s="2">
        <v>2250302067</v>
      </c>
      <c r="D11" s="2" t="s">
        <v>19</v>
      </c>
      <c r="E11" s="2" t="s">
        <v>40</v>
      </c>
      <c r="F11" s="3" t="s">
        <v>21</v>
      </c>
      <c r="G11" s="4">
        <v>3000</v>
      </c>
      <c r="H11" s="5">
        <v>0.031</v>
      </c>
      <c r="I11" s="6">
        <f t="shared" si="0"/>
        <v>93</v>
      </c>
      <c r="J11" s="3" t="s">
        <v>22</v>
      </c>
      <c r="K11" s="6">
        <v>0.13</v>
      </c>
      <c r="L11" s="3" t="s">
        <v>23</v>
      </c>
      <c r="M11">
        <f>VLOOKUP(L11,[1]国家代码!$A$1:$B$65536,2,0)</f>
        <v>142</v>
      </c>
    </row>
    <row r="12" spans="2:13">
      <c r="B12" s="2" t="s">
        <v>43</v>
      </c>
      <c r="C12" s="2">
        <v>2250302882</v>
      </c>
      <c r="D12" s="2" t="s">
        <v>19</v>
      </c>
      <c r="E12" s="2" t="s">
        <v>44</v>
      </c>
      <c r="F12" s="3" t="s">
        <v>21</v>
      </c>
      <c r="G12" s="4">
        <v>12000</v>
      </c>
      <c r="H12" s="5">
        <v>0.0295</v>
      </c>
      <c r="I12" s="6">
        <f t="shared" si="0"/>
        <v>354</v>
      </c>
      <c r="J12" s="3" t="s">
        <v>22</v>
      </c>
      <c r="K12" s="6">
        <v>0.51</v>
      </c>
      <c r="L12" s="3" t="s">
        <v>23</v>
      </c>
      <c r="M12">
        <f>VLOOKUP(L12,[1]国家代码!$A$1:$B$65536,2,0)</f>
        <v>142</v>
      </c>
    </row>
    <row r="13" spans="2:13">
      <c r="B13" s="2" t="s">
        <v>43</v>
      </c>
      <c r="C13" s="2">
        <v>2250302882</v>
      </c>
      <c r="D13" s="2" t="s">
        <v>19</v>
      </c>
      <c r="E13" s="2" t="s">
        <v>44</v>
      </c>
      <c r="F13" s="3" t="s">
        <v>21</v>
      </c>
      <c r="G13" s="4">
        <v>3000</v>
      </c>
      <c r="H13" s="5">
        <v>0.0295</v>
      </c>
      <c r="I13" s="6">
        <f t="shared" si="0"/>
        <v>88.5</v>
      </c>
      <c r="J13" s="3" t="s">
        <v>22</v>
      </c>
      <c r="K13" s="6">
        <v>0.13</v>
      </c>
      <c r="L13" s="3" t="s">
        <v>23</v>
      </c>
      <c r="M13">
        <f>VLOOKUP(L13,[1]国家代码!$A$1:$B$65536,2,0)</f>
        <v>142</v>
      </c>
    </row>
    <row r="14" spans="2:13">
      <c r="B14" s="2" t="s">
        <v>43</v>
      </c>
      <c r="C14" s="2">
        <v>2250400450</v>
      </c>
      <c r="D14" s="2" t="s">
        <v>19</v>
      </c>
      <c r="E14" s="2" t="s">
        <v>44</v>
      </c>
      <c r="F14" s="3" t="s">
        <v>21</v>
      </c>
      <c r="G14" s="4">
        <v>6000</v>
      </c>
      <c r="H14" s="5">
        <v>0.0295</v>
      </c>
      <c r="I14" s="6">
        <f t="shared" si="0"/>
        <v>177</v>
      </c>
      <c r="J14" s="3" t="s">
        <v>22</v>
      </c>
      <c r="K14" s="6">
        <v>0.26</v>
      </c>
      <c r="L14" s="3" t="s">
        <v>23</v>
      </c>
      <c r="M14">
        <f>VLOOKUP(L14,[1]国家代码!$A$1:$B$65536,2,0)</f>
        <v>142</v>
      </c>
    </row>
    <row r="15" spans="2:13">
      <c r="B15" s="2" t="s">
        <v>47</v>
      </c>
      <c r="C15" s="2">
        <v>2250702505</v>
      </c>
      <c r="D15" s="2" t="s">
        <v>48</v>
      </c>
      <c r="E15" s="2" t="s">
        <v>49</v>
      </c>
      <c r="F15" s="3" t="s">
        <v>21</v>
      </c>
      <c r="G15" s="4">
        <v>500</v>
      </c>
      <c r="H15" s="5">
        <v>0.35</v>
      </c>
      <c r="I15" s="6">
        <f t="shared" si="0"/>
        <v>175</v>
      </c>
      <c r="J15" s="3" t="s">
        <v>22</v>
      </c>
      <c r="K15" s="6">
        <v>0.1</v>
      </c>
      <c r="L15" s="3" t="s">
        <v>50</v>
      </c>
      <c r="M15">
        <f>VLOOKUP(L15,[1]国家代码!$A$1:$B$65536,2,0)</f>
        <v>116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workbookViewId="0">
      <selection activeCell="F15" sqref="F15"/>
    </sheetView>
  </sheetViews>
  <sheetFormatPr defaultColWidth="9" defaultRowHeight="14.25"/>
  <cols>
    <col min="1" max="1" width="11.5" customWidth="1"/>
    <col min="2" max="2" width="17.125" customWidth="1"/>
  </cols>
  <sheetData>
    <row r="1" spans="2:2">
      <c r="B1">
        <v>411</v>
      </c>
    </row>
    <row r="2" spans="1:11">
      <c r="A2" t="s">
        <v>18</v>
      </c>
      <c r="B2">
        <v>2250600556</v>
      </c>
      <c r="C2">
        <v>3000</v>
      </c>
      <c r="D2">
        <v>0.031</v>
      </c>
      <c r="E2" t="s">
        <v>22</v>
      </c>
      <c r="F2">
        <v>93</v>
      </c>
      <c r="G2" t="s">
        <v>23</v>
      </c>
      <c r="H2">
        <f>VLOOKUP(G2,[1]国家代码!$A$1:$B$65536,2,0)</f>
        <v>142</v>
      </c>
      <c r="I2" t="s">
        <v>103</v>
      </c>
      <c r="J2" t="s">
        <v>104</v>
      </c>
      <c r="K2" t="s">
        <v>19</v>
      </c>
    </row>
    <row r="3" spans="1:11">
      <c r="A3" t="s">
        <v>18</v>
      </c>
      <c r="B3">
        <v>2250600556</v>
      </c>
      <c r="C3">
        <v>3000</v>
      </c>
      <c r="D3">
        <v>0.031</v>
      </c>
      <c r="E3" t="s">
        <v>22</v>
      </c>
      <c r="F3">
        <v>93</v>
      </c>
      <c r="G3" t="s">
        <v>23</v>
      </c>
      <c r="H3">
        <f>VLOOKUP(G3,[1]国家代码!$A$1:$B$65536,2,0)</f>
        <v>142</v>
      </c>
      <c r="I3" t="s">
        <v>103</v>
      </c>
      <c r="J3" t="s">
        <v>104</v>
      </c>
      <c r="K3" t="s">
        <v>19</v>
      </c>
    </row>
    <row r="4" spans="1:11">
      <c r="A4" t="s">
        <v>25</v>
      </c>
      <c r="B4">
        <v>2250300844</v>
      </c>
      <c r="C4">
        <v>12000</v>
      </c>
      <c r="D4">
        <v>0.028</v>
      </c>
      <c r="E4" t="s">
        <v>22</v>
      </c>
      <c r="F4">
        <v>336</v>
      </c>
      <c r="G4" t="s">
        <v>23</v>
      </c>
      <c r="H4">
        <f>VLOOKUP(G4,[1]国家代码!$A$1:$B$65536,2,0)</f>
        <v>142</v>
      </c>
      <c r="I4" t="s">
        <v>103</v>
      </c>
      <c r="J4" t="s">
        <v>104</v>
      </c>
      <c r="K4" t="s">
        <v>19</v>
      </c>
    </row>
    <row r="5" spans="1:11">
      <c r="A5" t="s">
        <v>25</v>
      </c>
      <c r="B5">
        <v>2250302067</v>
      </c>
      <c r="C5">
        <v>3000</v>
      </c>
      <c r="D5">
        <v>0.028</v>
      </c>
      <c r="E5" t="s">
        <v>22</v>
      </c>
      <c r="F5">
        <v>84</v>
      </c>
      <c r="G5" t="s">
        <v>23</v>
      </c>
      <c r="H5">
        <f>VLOOKUP(G5,[1]国家代码!$A$1:$B$65536,2,0)</f>
        <v>142</v>
      </c>
      <c r="I5" t="s">
        <v>103</v>
      </c>
      <c r="J5" t="s">
        <v>104</v>
      </c>
      <c r="K5" t="s">
        <v>19</v>
      </c>
    </row>
    <row r="6" spans="1:11">
      <c r="A6" t="s">
        <v>29</v>
      </c>
      <c r="B6">
        <v>2250501304</v>
      </c>
      <c r="C6">
        <v>9000</v>
      </c>
      <c r="D6">
        <v>0.028</v>
      </c>
      <c r="E6" t="s">
        <v>22</v>
      </c>
      <c r="F6">
        <v>252</v>
      </c>
      <c r="G6" t="s">
        <v>23</v>
      </c>
      <c r="H6">
        <f>VLOOKUP(G6,[1]国家代码!$A$1:$B$65536,2,0)</f>
        <v>142</v>
      </c>
      <c r="I6" t="s">
        <v>103</v>
      </c>
      <c r="J6" t="s">
        <v>104</v>
      </c>
      <c r="K6" t="s">
        <v>19</v>
      </c>
    </row>
    <row r="7" spans="1:11">
      <c r="A7" t="s">
        <v>32</v>
      </c>
      <c r="B7">
        <v>2250102340</v>
      </c>
      <c r="C7">
        <v>6000</v>
      </c>
      <c r="D7">
        <v>0.0385</v>
      </c>
      <c r="E7" t="s">
        <v>22</v>
      </c>
      <c r="F7">
        <v>231</v>
      </c>
      <c r="G7" t="s">
        <v>35</v>
      </c>
      <c r="H7">
        <f>VLOOKUP(G7,[1]国家代码!$A$1:$B$65536,2,0)</f>
        <v>136</v>
      </c>
      <c r="I7" t="s">
        <v>103</v>
      </c>
      <c r="J7" t="s">
        <v>104</v>
      </c>
      <c r="K7" t="s">
        <v>33</v>
      </c>
    </row>
    <row r="8" spans="1:11">
      <c r="A8" t="s">
        <v>32</v>
      </c>
      <c r="B8">
        <v>2250102513</v>
      </c>
      <c r="C8">
        <v>3000</v>
      </c>
      <c r="D8">
        <v>0.0385</v>
      </c>
      <c r="E8" t="s">
        <v>22</v>
      </c>
      <c r="F8">
        <v>115.5</v>
      </c>
      <c r="G8" t="s">
        <v>35</v>
      </c>
      <c r="H8">
        <f>VLOOKUP(G8,[1]国家代码!$A$1:$B$65536,2,0)</f>
        <v>136</v>
      </c>
      <c r="I8" t="s">
        <v>103</v>
      </c>
      <c r="J8" t="s">
        <v>104</v>
      </c>
      <c r="K8" t="s">
        <v>33</v>
      </c>
    </row>
    <row r="9" spans="1:11">
      <c r="A9" t="s">
        <v>32</v>
      </c>
      <c r="B9">
        <v>2250102986</v>
      </c>
      <c r="C9">
        <v>18000</v>
      </c>
      <c r="D9">
        <v>0.0385</v>
      </c>
      <c r="E9" t="s">
        <v>22</v>
      </c>
      <c r="F9">
        <v>693</v>
      </c>
      <c r="G9" t="s">
        <v>35</v>
      </c>
      <c r="H9">
        <f>VLOOKUP(G9,[1]国家代码!$A$1:$B$65536,2,0)</f>
        <v>136</v>
      </c>
      <c r="I9" t="s">
        <v>103</v>
      </c>
      <c r="J9" t="s">
        <v>104</v>
      </c>
      <c r="K9" t="s">
        <v>33</v>
      </c>
    </row>
    <row r="10" spans="1:11">
      <c r="A10" t="s">
        <v>39</v>
      </c>
      <c r="B10">
        <v>2250300844</v>
      </c>
      <c r="C10">
        <v>9000</v>
      </c>
      <c r="D10">
        <v>0.031</v>
      </c>
      <c r="E10" t="s">
        <v>22</v>
      </c>
      <c r="F10">
        <v>279</v>
      </c>
      <c r="G10" t="s">
        <v>23</v>
      </c>
      <c r="H10">
        <f>VLOOKUP(G10,[1]国家代码!$A$1:$B$65536,2,0)</f>
        <v>142</v>
      </c>
      <c r="I10" t="s">
        <v>103</v>
      </c>
      <c r="J10" t="s">
        <v>104</v>
      </c>
      <c r="K10" t="s">
        <v>19</v>
      </c>
    </row>
    <row r="11" spans="1:11">
      <c r="A11" t="s">
        <v>39</v>
      </c>
      <c r="B11">
        <v>2250302067</v>
      </c>
      <c r="C11">
        <v>3000</v>
      </c>
      <c r="D11">
        <v>0.031</v>
      </c>
      <c r="E11" t="s">
        <v>22</v>
      </c>
      <c r="F11">
        <v>93</v>
      </c>
      <c r="G11" t="s">
        <v>23</v>
      </c>
      <c r="H11">
        <f>VLOOKUP(G11,[1]国家代码!$A$1:$B$65536,2,0)</f>
        <v>142</v>
      </c>
      <c r="I11" t="s">
        <v>103</v>
      </c>
      <c r="J11" t="s">
        <v>104</v>
      </c>
      <c r="K11" t="s">
        <v>19</v>
      </c>
    </row>
    <row r="12" spans="1:11">
      <c r="A12" t="s">
        <v>43</v>
      </c>
      <c r="B12">
        <v>2250302882</v>
      </c>
      <c r="C12">
        <v>12000</v>
      </c>
      <c r="D12">
        <v>0.0295</v>
      </c>
      <c r="E12" t="s">
        <v>22</v>
      </c>
      <c r="F12">
        <v>354</v>
      </c>
      <c r="G12" t="s">
        <v>23</v>
      </c>
      <c r="H12">
        <f>VLOOKUP(G12,[1]国家代码!$A$1:$B$65536,2,0)</f>
        <v>142</v>
      </c>
      <c r="I12" t="s">
        <v>103</v>
      </c>
      <c r="J12" t="s">
        <v>104</v>
      </c>
      <c r="K12" t="s">
        <v>19</v>
      </c>
    </row>
    <row r="13" spans="1:11">
      <c r="A13" t="s">
        <v>43</v>
      </c>
      <c r="B13">
        <v>2250302882</v>
      </c>
      <c r="C13">
        <v>3000</v>
      </c>
      <c r="D13">
        <v>0.0295</v>
      </c>
      <c r="E13" t="s">
        <v>22</v>
      </c>
      <c r="F13">
        <v>88.5</v>
      </c>
      <c r="G13" t="s">
        <v>23</v>
      </c>
      <c r="H13">
        <f>VLOOKUP(G13,[1]国家代码!$A$1:$B$65536,2,0)</f>
        <v>142</v>
      </c>
      <c r="I13" t="s">
        <v>103</v>
      </c>
      <c r="J13" t="s">
        <v>104</v>
      </c>
      <c r="K13" t="s">
        <v>19</v>
      </c>
    </row>
    <row r="14" spans="1:11">
      <c r="A14" t="s">
        <v>43</v>
      </c>
      <c r="B14">
        <v>2250400450</v>
      </c>
      <c r="C14">
        <v>6000</v>
      </c>
      <c r="D14">
        <v>0.0295</v>
      </c>
      <c r="E14" t="s">
        <v>22</v>
      </c>
      <c r="F14">
        <v>177</v>
      </c>
      <c r="G14" t="s">
        <v>23</v>
      </c>
      <c r="H14">
        <f>VLOOKUP(G14,[1]国家代码!$A$1:$B$65536,2,0)</f>
        <v>142</v>
      </c>
      <c r="I14" t="s">
        <v>103</v>
      </c>
      <c r="J14" t="s">
        <v>104</v>
      </c>
      <c r="K14" t="s">
        <v>19</v>
      </c>
    </row>
    <row r="15" spans="1:11">
      <c r="A15" t="s">
        <v>47</v>
      </c>
      <c r="B15">
        <v>2250702505</v>
      </c>
      <c r="C15">
        <v>500</v>
      </c>
      <c r="D15">
        <v>0.35</v>
      </c>
      <c r="E15" t="s">
        <v>22</v>
      </c>
      <c r="F15">
        <v>175</v>
      </c>
      <c r="G15" t="s">
        <v>50</v>
      </c>
      <c r="H15">
        <f>VLOOKUP(G15,[1]国家代码!$A$1:$B$65536,2,0)</f>
        <v>116</v>
      </c>
      <c r="I15" t="s">
        <v>118</v>
      </c>
      <c r="J15" t="s">
        <v>104</v>
      </c>
      <c r="K15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mis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INVOICE</vt:lpstr>
      <vt:lpstr>PACKING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Anco Zhang</dc:creator>
  <cp:lastModifiedBy>D000208</cp:lastModifiedBy>
  <dcterms:created xsi:type="dcterms:W3CDTF">2016-11-17T05:34:00Z</dcterms:created>
  <cp:lastPrinted>2023-12-18T08:50:00Z</cp:lastPrinted>
  <dcterms:modified xsi:type="dcterms:W3CDTF">2025-08-20T14:46:04Z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2052-11.8.2.12118</vt:lpwstr>
  </property>
  <property fmtid="{D5CDD505-2E9C-101B-9397-08002B2CF9AE}" pid="3" name="ICV">
    <vt:lpwstr>DE5E37D2B907478781A02BC119C02DEB</vt:lpwstr>
  </property>
</Properties>
</file>