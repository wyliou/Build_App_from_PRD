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490" windowHeight="7860"/>
  </bookViews>
  <sheets>
    <sheet name="INVOICE" sheetId="1" r:id="rId1"/>
    <sheet name="PACKING" sheetId="2" r:id="rId2"/>
    <sheet name="Sheet1" sheetId="3" r:id="rId3"/>
  </sheets>
  <definedNames>
    <definedName name="_xlnm._FilterDatabase" localSheetId="0" hidden="1">INVOICE!$A$19:$O$57</definedName>
  </definedNames>
  <calcPr calcId="144525"/>
</workbook>
</file>

<file path=xl/comments1.xml><?xml version="1.0" encoding="utf-8"?>
<comments xmlns="http://schemas.openxmlformats.org/spreadsheetml/2006/main">
  <authors>
    <author>D000208</author>
  </authors>
  <commentList>
    <comment ref="K19" authorId="0">
      <text>
        <r>
          <rPr>
            <sz val="14"/>
            <rFont val="宋体"/>
            <charset val="134"/>
          </rPr>
          <t>若是集成电路，需提供晶圆制造地,非集成电路,无需晶圆制造地</t>
        </r>
      </text>
    </comment>
  </commentList>
</comments>
</file>

<file path=xl/comments2.xml><?xml version="1.0" encoding="utf-8"?>
<comments xmlns="http://schemas.openxmlformats.org/spreadsheetml/2006/main">
  <authors>
    <author>D000208</author>
  </authors>
  <commentList>
    <comment ref="E65" authorId="0">
      <text>
        <r>
          <rPr>
            <sz val="10"/>
            <rFont val="宋体"/>
            <charset val="134"/>
          </rPr>
          <t xml:space="preserve">若是托盘，则需要注明托盘材质
</t>
        </r>
      </text>
    </comment>
  </commentList>
</comments>
</file>

<file path=xl/sharedStrings.xml><?xml version="1.0" encoding="utf-8"?>
<sst xmlns="http://schemas.openxmlformats.org/spreadsheetml/2006/main" count="528" uniqueCount="152">
  <si>
    <t>COMMERCIAL INVOICE</t>
  </si>
  <si>
    <t>Shipper/Exporter</t>
  </si>
  <si>
    <t>No. &amp; Date of Invoice</t>
  </si>
  <si>
    <t>Walsin Technology Corporation</t>
  </si>
  <si>
    <t>910245525, 910245527, 910245524</t>
  </si>
  <si>
    <t>YANG-MEIPLANT NO.566-1,Kao-Shi Road,Yang-Mei,TaoYuan,32668 Taiwan
TEL: +886-3-475-8711
FAX:+886-3-475-7130</t>
  </si>
  <si>
    <t>Bill To:</t>
  </si>
  <si>
    <t xml:space="preserve"> Payment Term</t>
  </si>
  <si>
    <t>中磊電子（蘇州）有限公司</t>
  </si>
  <si>
    <r>
      <rPr>
        <sz val="10"/>
        <rFont val="Arial"/>
        <charset val="134"/>
      </rPr>
      <t>120daysAMS,</t>
    </r>
    <r>
      <rPr>
        <sz val="10"/>
        <rFont val="細明體"/>
        <charset val="136"/>
      </rPr>
      <t>次月一日起</t>
    </r>
    <r>
      <rPr>
        <sz val="10"/>
        <rFont val="Arial"/>
        <charset val="134"/>
      </rPr>
      <t>120</t>
    </r>
    <r>
      <rPr>
        <sz val="10"/>
        <rFont val="細明體"/>
        <charset val="136"/>
      </rPr>
      <t>天匯款</t>
    </r>
  </si>
  <si>
    <r>
      <rPr>
        <sz val="10"/>
        <rFont val="細明體"/>
        <charset val="136"/>
      </rPr>
      <t>蘇州工業園區唐莊路</t>
    </r>
    <r>
      <rPr>
        <sz val="10"/>
        <rFont val="Arial"/>
        <charset val="134"/>
      </rPr>
      <t>8</t>
    </r>
    <r>
      <rPr>
        <sz val="10"/>
        <rFont val="細明體"/>
        <charset val="136"/>
      </rPr>
      <t xml:space="preserve">號
</t>
    </r>
    <r>
      <rPr>
        <sz val="10"/>
        <rFont val="Arial"/>
        <charset val="134"/>
      </rPr>
      <t>China</t>
    </r>
  </si>
  <si>
    <t>Ship To:</t>
  </si>
  <si>
    <t xml:space="preserve"> Trade Term</t>
  </si>
  <si>
    <t>FOB  Taiwan,China</t>
  </si>
  <si>
    <t>Port of Loading</t>
  </si>
  <si>
    <t>Port of Discharge</t>
  </si>
  <si>
    <t xml:space="preserve"> Remarks:</t>
  </si>
  <si>
    <t>Carrier</t>
  </si>
  <si>
    <t>Sailing on/or About</t>
  </si>
  <si>
    <t>贸易国：</t>
  </si>
  <si>
    <t>中國台灣</t>
  </si>
  <si>
    <t>ITEM</t>
  </si>
  <si>
    <t>Part No.</t>
  </si>
  <si>
    <t>PO No.</t>
  </si>
  <si>
    <t>Description of Goods</t>
  </si>
  <si>
    <t>Quantity</t>
  </si>
  <si>
    <t>Unit</t>
  </si>
  <si>
    <t>Unit Price</t>
  </si>
  <si>
    <t>Currency</t>
  </si>
  <si>
    <t>Amount</t>
  </si>
  <si>
    <t>COO</t>
  </si>
  <si>
    <t>COD</t>
  </si>
  <si>
    <t>品牌</t>
  </si>
  <si>
    <t>品牌类型</t>
  </si>
  <si>
    <t>型号</t>
  </si>
  <si>
    <t>Net WT(KGS)</t>
  </si>
  <si>
    <t>1</t>
  </si>
  <si>
    <t>3601550ZIQ</t>
  </si>
  <si>
    <t>2250600998-12.1</t>
  </si>
  <si>
    <t>PCS</t>
  </si>
  <si>
    <t>USD</t>
  </si>
  <si>
    <t>無</t>
  </si>
  <si>
    <t>2</t>
  </si>
  <si>
    <t>55214113WS0</t>
  </si>
  <si>
    <t>2250703108-2.1</t>
  </si>
  <si>
    <t>3</t>
  </si>
  <si>
    <t>55216086WS0</t>
  </si>
  <si>
    <t>2250301682-5.1</t>
  </si>
  <si>
    <t>4</t>
  </si>
  <si>
    <t>5521608HWS0</t>
  </si>
  <si>
    <t>2250500875-1.1</t>
  </si>
  <si>
    <t>5</t>
  </si>
  <si>
    <t>2250500274-4.1</t>
  </si>
  <si>
    <t>6</t>
  </si>
  <si>
    <t>2250402947-2.1</t>
  </si>
  <si>
    <t>7</t>
  </si>
  <si>
    <t>2250402037-12.1</t>
  </si>
  <si>
    <t>8</t>
  </si>
  <si>
    <t>2250403348-3.1</t>
  </si>
  <si>
    <t>9</t>
  </si>
  <si>
    <t>10</t>
  </si>
  <si>
    <t>55225200WS0</t>
  </si>
  <si>
    <t>2250703591-1.1</t>
  </si>
  <si>
    <t>11</t>
  </si>
  <si>
    <t>2250702472-1.3</t>
  </si>
  <si>
    <t>12</t>
  </si>
  <si>
    <t>2250702472-1.2</t>
  </si>
  <si>
    <t>13</t>
  </si>
  <si>
    <t>2250702472-1.1</t>
  </si>
  <si>
    <t>14</t>
  </si>
  <si>
    <t>55216061WS0</t>
  </si>
  <si>
    <t>2250401252-6.1</t>
  </si>
  <si>
    <t>15</t>
  </si>
  <si>
    <t>2250401591-3.1</t>
  </si>
  <si>
    <t>16</t>
  </si>
  <si>
    <t>2250402037-9.1</t>
  </si>
  <si>
    <t>17</t>
  </si>
  <si>
    <t>2250402037-10.1</t>
  </si>
  <si>
    <t>18</t>
  </si>
  <si>
    <t>55216062WS0</t>
  </si>
  <si>
    <t>2250500978-2.1</t>
  </si>
  <si>
    <t>19</t>
  </si>
  <si>
    <t>55216068WS0</t>
  </si>
  <si>
    <t>2250800230-2.1</t>
  </si>
  <si>
    <t>20</t>
  </si>
  <si>
    <t>55216089WS0</t>
  </si>
  <si>
    <t>2250103096-9.1</t>
  </si>
  <si>
    <t>21</t>
  </si>
  <si>
    <t>2250201936-12.1</t>
  </si>
  <si>
    <t>22</t>
  </si>
  <si>
    <t>552000F0WS0</t>
  </si>
  <si>
    <t>2250501204-1.3</t>
  </si>
  <si>
    <t>23</t>
  </si>
  <si>
    <t>5521608NWS0</t>
  </si>
  <si>
    <t>2250501504-2.1</t>
  </si>
  <si>
    <t>24</t>
  </si>
  <si>
    <t>2250502890-2.1</t>
  </si>
  <si>
    <t>25</t>
  </si>
  <si>
    <t>3040000GIQ</t>
  </si>
  <si>
    <t>2250600460-2.1</t>
  </si>
  <si>
    <t>26</t>
  </si>
  <si>
    <t>2250601355-2.1</t>
  </si>
  <si>
    <t>27</t>
  </si>
  <si>
    <t>3620009KIQ</t>
  </si>
  <si>
    <t>2250402085-8.1</t>
  </si>
  <si>
    <t>28</t>
  </si>
  <si>
    <t>362002R0IQ</t>
  </si>
  <si>
    <t>2250402085-3.1</t>
  </si>
  <si>
    <t>29</t>
  </si>
  <si>
    <t>3620060HIQ</t>
  </si>
  <si>
    <t>2250402085-4.2</t>
  </si>
  <si>
    <t>30</t>
  </si>
  <si>
    <t>2250400164-2.1</t>
  </si>
  <si>
    <t>31</t>
  </si>
  <si>
    <t>2250303938-3.1</t>
  </si>
  <si>
    <t>32</t>
  </si>
  <si>
    <t>3601053YIQ</t>
  </si>
  <si>
    <t>2250402085-11.1</t>
  </si>
  <si>
    <t>33</t>
  </si>
  <si>
    <t>2250502014-10.1</t>
  </si>
  <si>
    <t>34</t>
  </si>
  <si>
    <t>36047436IQ</t>
  </si>
  <si>
    <t>2250502014-11.1</t>
  </si>
  <si>
    <t>35</t>
  </si>
  <si>
    <t>3601052MIQ</t>
  </si>
  <si>
    <t>2250402085-10.1</t>
  </si>
  <si>
    <t>36</t>
  </si>
  <si>
    <t>2250402924-6.1</t>
  </si>
  <si>
    <t>37</t>
  </si>
  <si>
    <t>3601053RIQ</t>
  </si>
  <si>
    <t>2250501413-7.1</t>
  </si>
  <si>
    <t>38</t>
  </si>
  <si>
    <t>2250501413-8.1</t>
  </si>
  <si>
    <t xml:space="preserve">                  TOTAL</t>
  </si>
  <si>
    <t>PACKING LIST</t>
  </si>
  <si>
    <t>No &amp; Date of Invoice</t>
  </si>
  <si>
    <t>Remarks:</t>
  </si>
  <si>
    <r>
      <rPr>
        <sz val="10"/>
        <rFont val="細明體"/>
        <charset val="136"/>
      </rPr>
      <t>蘇州工業園區唐莊路</t>
    </r>
    <r>
      <rPr>
        <sz val="10"/>
        <rFont val="Arial"/>
        <charset val="134"/>
      </rPr>
      <t>8</t>
    </r>
    <r>
      <rPr>
        <sz val="10"/>
        <rFont val="細明體"/>
        <charset val="136"/>
      </rPr>
      <t>號</t>
    </r>
  </si>
  <si>
    <t>China</t>
  </si>
  <si>
    <t>Port of Departure</t>
  </si>
  <si>
    <t>Port of Arrival</t>
  </si>
  <si>
    <t>CTNS</t>
  </si>
  <si>
    <t>Net WT</t>
  </si>
  <si>
    <t>Gross WT</t>
  </si>
  <si>
    <t>MEASUREMENT  L*W*H(CM)</t>
  </si>
  <si>
    <t>KGS</t>
  </si>
  <si>
    <t>39*36*21</t>
  </si>
  <si>
    <t>TOTAL</t>
  </si>
  <si>
    <t>0.44m³</t>
  </si>
  <si>
    <t>件数</t>
  </si>
  <si>
    <t>包装种类</t>
  </si>
  <si>
    <r>
      <rPr>
        <sz val="10"/>
        <rFont val="宋体"/>
        <charset val="134"/>
      </rPr>
      <t>纸箱</t>
    </r>
  </si>
</sst>
</file>

<file path=xl/styles.xml><?xml version="1.0" encoding="utf-8"?>
<styleSheet xmlns="http://schemas.openxmlformats.org/spreadsheetml/2006/main">
  <numFmts count="11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0.00_ "/>
    <numFmt numFmtId="177" formatCode="_ * #,##0_ ;_ * \-#,##0_ ;_ * &quot;-&quot;_ ;_ @_ "/>
    <numFmt numFmtId="178" formatCode="_ * #,##0.00_ ;_ * \-#,##0.00_ ;_ * &quot;-&quot;??_ ;_ @_ "/>
    <numFmt numFmtId="179" formatCode="yyyy/m/d;@"/>
    <numFmt numFmtId="180" formatCode="0_ "/>
    <numFmt numFmtId="181" formatCode="0.000_ "/>
    <numFmt numFmtId="182" formatCode="0.00_);[Red]\(0.00\)"/>
    <numFmt numFmtId="183" formatCode="#,##0.00_ "/>
    <numFmt numFmtId="184" formatCode="0.0000_);[Red]\(0.0000\)"/>
  </numFmts>
  <fonts count="38">
    <font>
      <sz val="11"/>
      <color theme="1"/>
      <name val="宋体"/>
      <charset val="134"/>
      <scheme val="minor"/>
    </font>
    <font>
      <b/>
      <sz val="10"/>
      <name val="Arial"/>
      <charset val="134"/>
    </font>
    <font>
      <sz val="10"/>
      <color theme="1"/>
      <name val="宋体"/>
      <charset val="136"/>
      <scheme val="minor"/>
    </font>
    <font>
      <sz val="10"/>
      <name val="Arial"/>
      <charset val="134"/>
    </font>
    <font>
      <sz val="10"/>
      <color rgb="FFFF0000"/>
      <name val="宋体"/>
      <charset val="134"/>
    </font>
    <font>
      <sz val="10"/>
      <name val="宋体"/>
      <charset val="134"/>
    </font>
    <font>
      <sz val="10"/>
      <name val="細明體"/>
      <charset val="136"/>
    </font>
    <font>
      <sz val="10"/>
      <name val="Times New Roman"/>
      <charset val="134"/>
    </font>
    <font>
      <sz val="10"/>
      <name val="微软雅黑"/>
      <charset val="134"/>
    </font>
    <font>
      <sz val="10"/>
      <color rgb="FFFF0000"/>
      <name val="Arial"/>
      <charset val="134"/>
    </font>
    <font>
      <sz val="10"/>
      <name val="新細明體"/>
      <charset val="136"/>
    </font>
    <font>
      <b/>
      <sz val="10"/>
      <name val="宋体"/>
      <charset val="134"/>
    </font>
    <font>
      <b/>
      <sz val="10"/>
      <name val="新細明體"/>
      <charset val="136"/>
    </font>
    <font>
      <sz val="18"/>
      <color theme="1"/>
      <name val="宋体"/>
      <charset val="136"/>
      <scheme val="minor"/>
    </font>
    <font>
      <b/>
      <sz val="18"/>
      <name val="Arial"/>
      <charset val="134"/>
    </font>
    <font>
      <sz val="10"/>
      <color indexed="12"/>
      <name val="新細明體"/>
      <charset val="136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4"/>
      <name val="宋体"/>
      <charset val="134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7" fillId="3" borderId="1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11" borderId="19" applyNumberFormat="0" applyAlignment="0" applyProtection="0">
      <alignment vertical="center"/>
    </xf>
    <xf numFmtId="0" fontId="29" fillId="11" borderId="15" applyNumberFormat="0" applyAlignment="0" applyProtection="0">
      <alignment vertical="center"/>
    </xf>
    <xf numFmtId="0" fontId="30" fillId="12" borderId="20" applyNumberForma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31" fillId="0" borderId="21" applyNumberFormat="0" applyFill="0" applyAlignment="0" applyProtection="0">
      <alignment vertical="center"/>
    </xf>
    <xf numFmtId="0" fontId="32" fillId="0" borderId="22" applyNumberFormat="0" applyFill="0" applyAlignment="0" applyProtection="0">
      <alignment vertical="center"/>
    </xf>
    <xf numFmtId="0" fontId="33" fillId="0" borderId="0"/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33" fillId="0" borderId="0"/>
    <xf numFmtId="0" fontId="33" fillId="0" borderId="0"/>
  </cellStyleXfs>
  <cellXfs count="158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1" xfId="31" applyFont="1" applyFill="1" applyBorder="1" applyAlignment="1">
      <alignment horizontal="center" vertical="center"/>
    </xf>
    <xf numFmtId="0" fontId="1" fillId="0" borderId="2" xfId="31" applyFont="1" applyFill="1" applyBorder="1" applyAlignment="1">
      <alignment horizontal="center" vertical="center"/>
    </xf>
    <xf numFmtId="0" fontId="2" fillId="0" borderId="3" xfId="0" applyFont="1" applyFill="1" applyBorder="1">
      <alignment vertical="center"/>
    </xf>
    <xf numFmtId="0" fontId="2" fillId="0" borderId="4" xfId="0" applyFont="1" applyFill="1" applyBorder="1">
      <alignment vertical="center"/>
    </xf>
    <xf numFmtId="0" fontId="1" fillId="0" borderId="5" xfId="31" applyFont="1" applyFill="1" applyBorder="1"/>
    <xf numFmtId="0" fontId="1" fillId="0" borderId="0" xfId="31" applyFont="1" applyFill="1" applyBorder="1"/>
    <xf numFmtId="0" fontId="3" fillId="0" borderId="0" xfId="31" applyFont="1" applyFill="1" applyBorder="1"/>
    <xf numFmtId="0" fontId="4" fillId="0" borderId="6" xfId="31" applyFont="1" applyFill="1" applyBorder="1"/>
    <xf numFmtId="0" fontId="5" fillId="0" borderId="5" xfId="0" applyFont="1" applyFill="1" applyBorder="1" applyAlignment="1"/>
    <xf numFmtId="0" fontId="3" fillId="0" borderId="0" xfId="31" applyFont="1" applyFill="1" applyBorder="1" applyAlignment="1">
      <alignment horizontal="left"/>
    </xf>
    <xf numFmtId="0" fontId="3" fillId="0" borderId="6" xfId="31" applyFont="1" applyFill="1" applyBorder="1"/>
    <xf numFmtId="0" fontId="3" fillId="0" borderId="5" xfId="0" applyFont="1" applyFill="1" applyBorder="1" applyAlignment="1"/>
    <xf numFmtId="0" fontId="3" fillId="0" borderId="5" xfId="50" applyFont="1" applyFill="1" applyBorder="1" applyAlignment="1">
      <alignment vertical="top" wrapText="1"/>
    </xf>
    <xf numFmtId="0" fontId="3" fillId="0" borderId="0" xfId="50" applyFont="1" applyFill="1" applyBorder="1" applyAlignment="1">
      <alignment vertical="top" wrapText="1"/>
    </xf>
    <xf numFmtId="0" fontId="3" fillId="0" borderId="6" xfId="50" applyFont="1" applyFill="1" applyBorder="1" applyAlignment="1">
      <alignment vertical="top" wrapText="1"/>
    </xf>
    <xf numFmtId="179" fontId="3" fillId="0" borderId="5" xfId="0" applyNumberFormat="1" applyFont="1" applyFill="1" applyBorder="1" applyAlignment="1"/>
    <xf numFmtId="0" fontId="3" fillId="0" borderId="5" xfId="31" applyFont="1" applyFill="1" applyBorder="1"/>
    <xf numFmtId="0" fontId="3" fillId="0" borderId="3" xfId="50" applyFont="1" applyFill="1" applyBorder="1" applyAlignment="1">
      <alignment vertical="top" wrapText="1"/>
    </xf>
    <xf numFmtId="0" fontId="3" fillId="0" borderId="4" xfId="50" applyFont="1" applyFill="1" applyBorder="1" applyAlignment="1">
      <alignment vertical="top" wrapText="1"/>
    </xf>
    <xf numFmtId="0" fontId="3" fillId="0" borderId="7" xfId="50" applyFont="1" applyFill="1" applyBorder="1" applyAlignment="1">
      <alignment vertical="top" wrapText="1"/>
    </xf>
    <xf numFmtId="0" fontId="3" fillId="0" borderId="3" xfId="31" applyFont="1" applyFill="1" applyBorder="1"/>
    <xf numFmtId="0" fontId="3" fillId="0" borderId="4" xfId="31" applyFont="1" applyFill="1" applyBorder="1"/>
    <xf numFmtId="0" fontId="1" fillId="0" borderId="1" xfId="50" applyFont="1" applyFill="1" applyBorder="1"/>
    <xf numFmtId="0" fontId="1" fillId="0" borderId="2" xfId="31" applyFont="1" applyFill="1" applyBorder="1"/>
    <xf numFmtId="0" fontId="3" fillId="0" borderId="2" xfId="31" applyFont="1" applyFill="1" applyBorder="1"/>
    <xf numFmtId="0" fontId="3" fillId="0" borderId="8" xfId="31" applyFont="1" applyFill="1" applyBorder="1"/>
    <xf numFmtId="0" fontId="6" fillId="0" borderId="5" xfId="31" applyFont="1" applyFill="1" applyBorder="1" applyAlignment="1">
      <alignment horizontal="left"/>
    </xf>
    <xf numFmtId="0" fontId="3" fillId="0" borderId="0" xfId="50" applyFont="1" applyFill="1" applyBorder="1"/>
    <xf numFmtId="0" fontId="3" fillId="0" borderId="5" xfId="31" applyFont="1" applyFill="1" applyBorder="1" applyAlignment="1">
      <alignment vertical="top" wrapText="1"/>
    </xf>
    <xf numFmtId="0" fontId="3" fillId="0" borderId="0" xfId="31" applyFont="1" applyFill="1" applyBorder="1" applyAlignment="1">
      <alignment vertical="top" wrapText="1"/>
    </xf>
    <xf numFmtId="0" fontId="3" fillId="0" borderId="6" xfId="31" applyFont="1" applyFill="1" applyBorder="1" applyAlignment="1">
      <alignment vertical="top" wrapText="1"/>
    </xf>
    <xf numFmtId="0" fontId="3" fillId="0" borderId="3" xfId="0" applyFont="1" applyFill="1" applyBorder="1" applyAlignment="1"/>
    <xf numFmtId="0" fontId="3" fillId="0" borderId="4" xfId="0" applyFont="1" applyFill="1" applyBorder="1" applyAlignment="1"/>
    <xf numFmtId="0" fontId="3" fillId="0" borderId="7" xfId="31" applyFont="1" applyFill="1" applyBorder="1"/>
    <xf numFmtId="0" fontId="7" fillId="0" borderId="0" xfId="31" applyFont="1" applyFill="1" applyBorder="1"/>
    <xf numFmtId="0" fontId="8" fillId="0" borderId="0" xfId="31" applyFont="1" applyFill="1" applyBorder="1"/>
    <xf numFmtId="0" fontId="3" fillId="0" borderId="0" xfId="0" applyFont="1" applyFill="1" applyBorder="1" applyAlignment="1"/>
    <xf numFmtId="0" fontId="3" fillId="0" borderId="5" xfId="31" applyFont="1" applyFill="1" applyBorder="1" applyAlignment="1">
      <alignment horizontal="left"/>
    </xf>
    <xf numFmtId="0" fontId="3" fillId="0" borderId="6" xfId="31" applyFont="1" applyFill="1" applyBorder="1" applyAlignment="1">
      <alignment horizontal="left"/>
    </xf>
    <xf numFmtId="0" fontId="1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1" xfId="31" applyFont="1" applyFill="1" applyBorder="1"/>
    <xf numFmtId="0" fontId="4" fillId="0" borderId="8" xfId="31" applyFont="1" applyFill="1" applyBorder="1"/>
    <xf numFmtId="0" fontId="4" fillId="0" borderId="8" xfId="50" applyFont="1" applyFill="1" applyBorder="1" applyAlignment="1"/>
    <xf numFmtId="176" fontId="3" fillId="0" borderId="0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left"/>
    </xf>
    <xf numFmtId="0" fontId="3" fillId="0" borderId="4" xfId="0" applyFont="1" applyFill="1" applyBorder="1" applyAlignment="1">
      <alignment horizontal="left"/>
    </xf>
    <xf numFmtId="0" fontId="3" fillId="0" borderId="7" xfId="0" applyFont="1" applyFill="1" applyBorder="1" applyAlignment="1">
      <alignment horizontal="left"/>
    </xf>
    <xf numFmtId="0" fontId="9" fillId="0" borderId="6" xfId="31" applyFont="1" applyFill="1" applyBorder="1" applyAlignment="1">
      <alignment horizontal="right"/>
    </xf>
    <xf numFmtId="179" fontId="3" fillId="0" borderId="3" xfId="0" applyNumberFormat="1" applyFont="1" applyFill="1" applyBorder="1" applyAlignment="1">
      <alignment horizontal="left"/>
    </xf>
    <xf numFmtId="179" fontId="3" fillId="0" borderId="7" xfId="0" applyNumberFormat="1" applyFont="1" applyFill="1" applyBorder="1" applyAlignment="1">
      <alignment horizontal="left"/>
    </xf>
    <xf numFmtId="0" fontId="1" fillId="0" borderId="5" xfId="50" applyFont="1" applyFill="1" applyBorder="1" applyAlignment="1">
      <alignment horizontal="center" vertical="center"/>
    </xf>
    <xf numFmtId="0" fontId="1" fillId="0" borderId="0" xfId="50" applyFont="1" applyFill="1" applyBorder="1" applyAlignment="1">
      <alignment horizontal="center" vertical="center"/>
    </xf>
    <xf numFmtId="0" fontId="1" fillId="0" borderId="0" xfId="31" applyFont="1" applyFill="1" applyBorder="1" applyAlignment="1">
      <alignment horizontal="center" vertical="center"/>
    </xf>
    <xf numFmtId="0" fontId="1" fillId="0" borderId="0" xfId="31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 vertical="center" wrapText="1" shrinkToFit="1"/>
    </xf>
    <xf numFmtId="0" fontId="3" fillId="0" borderId="0" xfId="0" applyFont="1" applyFill="1" applyBorder="1" applyAlignment="1">
      <alignment horizontal="center" vertical="center" wrapText="1" shrinkToFit="1"/>
    </xf>
    <xf numFmtId="0" fontId="3" fillId="0" borderId="0" xfId="0" applyFont="1" applyFill="1" applyBorder="1" applyAlignment="1">
      <alignment horizontal="left" vertical="center" shrinkToFit="1"/>
    </xf>
    <xf numFmtId="180" fontId="3" fillId="0" borderId="0" xfId="0" applyNumberFormat="1" applyFont="1" applyFill="1" applyBorder="1" applyAlignment="1">
      <alignment horizontal="center" vertical="center" shrinkToFit="1"/>
    </xf>
    <xf numFmtId="181" fontId="3" fillId="0" borderId="0" xfId="0" applyNumberFormat="1" applyFont="1" applyFill="1" applyBorder="1" applyAlignment="1">
      <alignment horizontal="center" vertical="center" wrapText="1" shrinkToFit="1"/>
    </xf>
    <xf numFmtId="182" fontId="3" fillId="0" borderId="0" xfId="0" applyNumberFormat="1" applyFont="1" applyFill="1" applyBorder="1" applyAlignment="1">
      <alignment horizontal="center" vertical="center" wrapText="1" shrinkToFit="1"/>
    </xf>
    <xf numFmtId="0" fontId="3" fillId="0" borderId="9" xfId="51" applyFont="1" applyFill="1" applyBorder="1" applyAlignment="1">
      <alignment horizontal="center" vertical="center" wrapText="1" shrinkToFit="1"/>
    </xf>
    <xf numFmtId="0" fontId="3" fillId="0" borderId="10" xfId="51" applyFont="1" applyFill="1" applyBorder="1" applyAlignment="1">
      <alignment horizontal="center" vertical="center" wrapText="1" shrinkToFit="1"/>
    </xf>
    <xf numFmtId="0" fontId="3" fillId="0" borderId="10" xfId="31" applyFont="1" applyFill="1" applyBorder="1" applyAlignment="1">
      <alignment horizontal="center" vertical="center" wrapText="1" shrinkToFit="1"/>
    </xf>
    <xf numFmtId="181" fontId="4" fillId="0" borderId="10" xfId="31" applyNumberFormat="1" applyFont="1" applyFill="1" applyBorder="1" applyAlignment="1">
      <alignment horizontal="center" vertical="center" wrapText="1" shrinkToFit="1"/>
    </xf>
    <xf numFmtId="182" fontId="3" fillId="0" borderId="10" xfId="31" applyNumberFormat="1" applyFont="1" applyFill="1" applyBorder="1" applyAlignment="1">
      <alignment horizontal="center" vertical="center" wrapText="1" shrinkToFit="1"/>
    </xf>
    <xf numFmtId="180" fontId="1" fillId="0" borderId="5" xfId="31" applyNumberFormat="1" applyFont="1" applyFill="1" applyBorder="1" applyAlignment="1">
      <alignment horizontal="center"/>
    </xf>
    <xf numFmtId="0" fontId="1" fillId="0" borderId="0" xfId="31" applyFont="1" applyFill="1" applyBorder="1" applyAlignment="1">
      <alignment horizontal="left"/>
    </xf>
    <xf numFmtId="180" fontId="1" fillId="0" borderId="0" xfId="31" applyNumberFormat="1" applyFont="1" applyFill="1" applyBorder="1" applyAlignment="1">
      <alignment horizontal="center"/>
    </xf>
    <xf numFmtId="182" fontId="1" fillId="0" borderId="0" xfId="31" applyNumberFormat="1" applyFont="1" applyFill="1" applyBorder="1" applyAlignment="1">
      <alignment horizontal="center"/>
    </xf>
    <xf numFmtId="0" fontId="0" fillId="0" borderId="5" xfId="0" applyFill="1" applyBorder="1">
      <alignment vertical="center"/>
    </xf>
    <xf numFmtId="0" fontId="0" fillId="0" borderId="0" xfId="0" applyFill="1" applyBorder="1">
      <alignment vertical="center"/>
    </xf>
    <xf numFmtId="0" fontId="5" fillId="0" borderId="0" xfId="31" applyFont="1" applyFill="1" applyBorder="1" applyAlignment="1">
      <alignment horizontal="center" vertical="center"/>
    </xf>
    <xf numFmtId="0" fontId="5" fillId="0" borderId="0" xfId="31" applyFont="1" applyFill="1" applyBorder="1"/>
    <xf numFmtId="0" fontId="1" fillId="0" borderId="8" xfId="31" applyFont="1" applyFill="1" applyBorder="1" applyAlignment="1">
      <alignment horizontal="center" vertical="center"/>
    </xf>
    <xf numFmtId="0" fontId="2" fillId="0" borderId="7" xfId="0" applyFont="1" applyFill="1" applyBorder="1">
      <alignment vertical="center"/>
    </xf>
    <xf numFmtId="0" fontId="10" fillId="0" borderId="6" xfId="0" applyFont="1" applyFill="1" applyBorder="1" applyAlignment="1"/>
    <xf numFmtId="0" fontId="3" fillId="0" borderId="0" xfId="31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182" fontId="1" fillId="0" borderId="10" xfId="31" applyNumberFormat="1" applyFont="1" applyFill="1" applyBorder="1" applyAlignment="1">
      <alignment horizontal="center" vertical="center" wrapText="1" shrinkToFit="1"/>
    </xf>
    <xf numFmtId="182" fontId="1" fillId="0" borderId="11" xfId="31" applyNumberFormat="1" applyFont="1" applyFill="1" applyBorder="1" applyAlignment="1">
      <alignment horizontal="center" vertical="center" wrapText="1" shrinkToFit="1"/>
    </xf>
    <xf numFmtId="182" fontId="1" fillId="0" borderId="6" xfId="31" applyNumberFormat="1" applyFont="1" applyFill="1" applyBorder="1" applyAlignment="1">
      <alignment horizontal="center"/>
    </xf>
    <xf numFmtId="0" fontId="0" fillId="0" borderId="6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4" xfId="0" applyFill="1" applyBorder="1">
      <alignment vertical="center"/>
    </xf>
    <xf numFmtId="0" fontId="0" fillId="0" borderId="7" xfId="0" applyFill="1" applyBorder="1">
      <alignment vertical="center"/>
    </xf>
    <xf numFmtId="0" fontId="13" fillId="0" borderId="0" xfId="0" applyFont="1" applyFill="1">
      <alignment vertical="center"/>
    </xf>
    <xf numFmtId="0" fontId="14" fillId="0" borderId="12" xfId="50" applyFont="1" applyFill="1" applyBorder="1" applyAlignment="1">
      <alignment horizontal="center"/>
    </xf>
    <xf numFmtId="0" fontId="14" fillId="0" borderId="13" xfId="50" applyFont="1" applyFill="1" applyBorder="1" applyAlignment="1">
      <alignment horizontal="center"/>
    </xf>
    <xf numFmtId="0" fontId="1" fillId="0" borderId="5" xfId="50" applyFont="1" applyFill="1" applyBorder="1"/>
    <xf numFmtId="0" fontId="1" fillId="0" borderId="0" xfId="50" applyFont="1" applyFill="1" applyBorder="1"/>
    <xf numFmtId="0" fontId="3" fillId="0" borderId="6" xfId="50" applyFont="1" applyFill="1" applyBorder="1"/>
    <xf numFmtId="49" fontId="3" fillId="0" borderId="0" xfId="50" applyNumberFormat="1" applyFont="1" applyFill="1" applyBorder="1" applyAlignment="1">
      <alignment horizontal="center"/>
    </xf>
    <xf numFmtId="0" fontId="3" fillId="0" borderId="5" xfId="0" applyFont="1" applyFill="1" applyBorder="1" applyAlignment="1">
      <alignment vertical="top" wrapText="1"/>
    </xf>
    <xf numFmtId="0" fontId="3" fillId="0" borderId="0" xfId="0" applyFont="1" applyFill="1" applyBorder="1" applyAlignment="1">
      <alignment vertical="top" wrapText="1"/>
    </xf>
    <xf numFmtId="0" fontId="3" fillId="0" borderId="6" xfId="0" applyFont="1" applyFill="1" applyBorder="1" applyAlignment="1">
      <alignment vertical="top" wrapText="1"/>
    </xf>
    <xf numFmtId="179" fontId="3" fillId="0" borderId="0" xfId="0" applyNumberFormat="1" applyFont="1" applyFill="1" applyBorder="1" applyAlignment="1"/>
    <xf numFmtId="179" fontId="3" fillId="0" borderId="0" xfId="0" applyNumberFormat="1" applyFont="1" applyFill="1" applyBorder="1" applyAlignment="1">
      <alignment horizontal="left"/>
    </xf>
    <xf numFmtId="0" fontId="3" fillId="0" borderId="5" xfId="50" applyFont="1" applyFill="1" applyBorder="1"/>
    <xf numFmtId="0" fontId="3" fillId="0" borderId="3" xfId="50" applyFont="1" applyFill="1" applyBorder="1" applyAlignment="1">
      <alignment horizontal="left"/>
    </xf>
    <xf numFmtId="0" fontId="3" fillId="0" borderId="4" xfId="50" applyFont="1" applyFill="1" applyBorder="1" applyAlignment="1">
      <alignment horizontal="left"/>
    </xf>
    <xf numFmtId="0" fontId="3" fillId="0" borderId="4" xfId="50" applyFont="1" applyFill="1" applyBorder="1"/>
    <xf numFmtId="0" fontId="3" fillId="0" borderId="7" xfId="50" applyFont="1" applyFill="1" applyBorder="1"/>
    <xf numFmtId="0" fontId="3" fillId="0" borderId="3" xfId="50" applyFont="1" applyFill="1" applyBorder="1"/>
    <xf numFmtId="0" fontId="1" fillId="0" borderId="2" xfId="50" applyFont="1" applyFill="1" applyBorder="1"/>
    <xf numFmtId="0" fontId="3" fillId="0" borderId="2" xfId="50" applyFont="1" applyFill="1" applyBorder="1"/>
    <xf numFmtId="0" fontId="3" fillId="0" borderId="8" xfId="50" applyFont="1" applyFill="1" applyBorder="1"/>
    <xf numFmtId="0" fontId="1" fillId="0" borderId="6" xfId="31" applyFont="1" applyFill="1" applyBorder="1" applyAlignment="1">
      <alignment horizontal="left"/>
    </xf>
    <xf numFmtId="0" fontId="3" fillId="0" borderId="5" xfId="50" applyFont="1" applyFill="1" applyBorder="1" applyAlignment="1">
      <alignment horizontal="center"/>
    </xf>
    <xf numFmtId="0" fontId="3" fillId="0" borderId="0" xfId="50" applyFont="1" applyFill="1" applyBorder="1" applyAlignment="1">
      <alignment horizontal="center"/>
    </xf>
    <xf numFmtId="0" fontId="3" fillId="0" borderId="3" xfId="31" applyFont="1" applyFill="1" applyBorder="1" applyAlignment="1">
      <alignment vertical="center" wrapText="1"/>
    </xf>
    <xf numFmtId="0" fontId="3" fillId="0" borderId="4" xfId="31" applyFont="1" applyFill="1" applyBorder="1" applyAlignment="1">
      <alignment vertical="center" wrapText="1"/>
    </xf>
    <xf numFmtId="0" fontId="3" fillId="0" borderId="7" xfId="31" applyFont="1" applyFill="1" applyBorder="1" applyAlignment="1">
      <alignment vertical="center" wrapText="1"/>
    </xf>
    <xf numFmtId="0" fontId="3" fillId="0" borderId="5" xfId="0" applyFont="1" applyFill="1" applyBorder="1" applyAlignment="1">
      <alignment horizontal="left"/>
    </xf>
    <xf numFmtId="0" fontId="3" fillId="0" borderId="6" xfId="0" applyFont="1" applyFill="1" applyBorder="1" applyAlignment="1">
      <alignment horizontal="left"/>
    </xf>
    <xf numFmtId="0" fontId="5" fillId="0" borderId="0" xfId="50" applyFont="1" applyFill="1" applyBorder="1"/>
    <xf numFmtId="0" fontId="5" fillId="0" borderId="3" xfId="0" applyFont="1" applyFill="1" applyBorder="1" applyAlignment="1"/>
    <xf numFmtId="0" fontId="3" fillId="0" borderId="7" xfId="50" applyFont="1" applyFill="1" applyBorder="1" applyAlignment="1"/>
    <xf numFmtId="0" fontId="3" fillId="0" borderId="7" xfId="0" applyFont="1" applyFill="1" applyBorder="1" applyAlignment="1">
      <alignment horizontal="center"/>
    </xf>
    <xf numFmtId="0" fontId="5" fillId="0" borderId="3" xfId="50" applyFont="1" applyFill="1" applyBorder="1"/>
    <xf numFmtId="0" fontId="6" fillId="0" borderId="4" xfId="50" applyFont="1" applyFill="1" applyBorder="1"/>
    <xf numFmtId="0" fontId="1" fillId="0" borderId="0" xfId="50" applyFont="1" applyFill="1" applyBorder="1" applyAlignment="1">
      <alignment horizontal="center" vertical="center" wrapText="1"/>
    </xf>
    <xf numFmtId="183" fontId="3" fillId="0" borderId="0" xfId="0" applyNumberFormat="1" applyFont="1" applyFill="1" applyBorder="1" applyAlignment="1">
      <alignment horizontal="center" vertical="center" wrapText="1" shrinkToFit="1"/>
    </xf>
    <xf numFmtId="184" fontId="3" fillId="0" borderId="0" xfId="0" applyNumberFormat="1" applyFont="1" applyFill="1" applyBorder="1" applyAlignment="1">
      <alignment horizontal="center" vertical="center" wrapText="1" shrinkToFit="1"/>
    </xf>
    <xf numFmtId="0" fontId="3" fillId="0" borderId="0" xfId="0" applyNumberFormat="1" applyFont="1" applyFill="1" applyBorder="1" applyAlignment="1">
      <alignment horizontal="center" vertical="center" wrapText="1" shrinkToFit="1"/>
    </xf>
    <xf numFmtId="0" fontId="13" fillId="0" borderId="5" xfId="0" applyFont="1" applyFill="1" applyBorder="1">
      <alignment vertical="center"/>
    </xf>
    <xf numFmtId="0" fontId="13" fillId="0" borderId="0" xfId="0" applyFont="1" applyFill="1" applyBorder="1">
      <alignment vertical="center"/>
    </xf>
    <xf numFmtId="0" fontId="3" fillId="0" borderId="12" xfId="50" applyFont="1" applyFill="1" applyBorder="1"/>
    <xf numFmtId="0" fontId="3" fillId="0" borderId="13" xfId="50" applyFont="1" applyFill="1" applyBorder="1"/>
    <xf numFmtId="0" fontId="3" fillId="0" borderId="13" xfId="50" applyFont="1" applyFill="1" applyBorder="1" applyAlignment="1">
      <alignment horizontal="left"/>
    </xf>
    <xf numFmtId="180" fontId="1" fillId="0" borderId="13" xfId="50" applyNumberFormat="1" applyFont="1" applyFill="1" applyBorder="1" applyAlignment="1">
      <alignment horizontal="center"/>
    </xf>
    <xf numFmtId="0" fontId="1" fillId="0" borderId="13" xfId="50" applyFont="1" applyFill="1" applyBorder="1"/>
    <xf numFmtId="184" fontId="1" fillId="0" borderId="13" xfId="50" applyNumberFormat="1" applyFont="1" applyFill="1" applyBorder="1" applyAlignment="1">
      <alignment horizontal="center"/>
    </xf>
    <xf numFmtId="0" fontId="14" fillId="0" borderId="14" xfId="50" applyFont="1" applyFill="1" applyBorder="1" applyAlignment="1">
      <alignment horizontal="center"/>
    </xf>
    <xf numFmtId="0" fontId="10" fillId="0" borderId="0" xfId="0" applyFont="1" applyFill="1" applyBorder="1" applyAlignment="1"/>
    <xf numFmtId="0" fontId="10" fillId="0" borderId="4" xfId="0" applyFont="1" applyFill="1" applyBorder="1" applyAlignment="1">
      <alignment vertical="center"/>
    </xf>
    <xf numFmtId="0" fontId="15" fillId="0" borderId="7" xfId="0" applyFont="1" applyFill="1" applyBorder="1" applyAlignment="1">
      <alignment vertical="center"/>
    </xf>
    <xf numFmtId="0" fontId="10" fillId="0" borderId="2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10" fillId="0" borderId="6" xfId="0" applyFont="1" applyFill="1" applyBorder="1" applyAlignment="1">
      <alignment vertical="center"/>
    </xf>
    <xf numFmtId="0" fontId="15" fillId="0" borderId="0" xfId="0" applyFont="1" applyFill="1" applyBorder="1" applyAlignment="1">
      <alignment vertical="center"/>
    </xf>
    <xf numFmtId="0" fontId="15" fillId="0" borderId="6" xfId="0" applyFont="1" applyFill="1" applyBorder="1" applyAlignment="1">
      <alignment vertical="center"/>
    </xf>
    <xf numFmtId="0" fontId="4" fillId="0" borderId="4" xfId="31" applyFont="1" applyFill="1" applyBorder="1"/>
    <xf numFmtId="0" fontId="10" fillId="0" borderId="2" xfId="0" applyFont="1" applyFill="1" applyBorder="1" applyAlignment="1"/>
    <xf numFmtId="0" fontId="10" fillId="0" borderId="4" xfId="0" applyFont="1" applyFill="1" applyBorder="1" applyAlignment="1"/>
    <xf numFmtId="0" fontId="12" fillId="0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 shrinkToFit="1"/>
    </xf>
    <xf numFmtId="0" fontId="3" fillId="0" borderId="6" xfId="0" applyFont="1" applyFill="1" applyBorder="1" applyAlignment="1">
      <alignment horizontal="center" vertical="center" wrapText="1" shrinkToFit="1"/>
    </xf>
    <xf numFmtId="0" fontId="13" fillId="0" borderId="4" xfId="0" applyFont="1" applyFill="1" applyBorder="1">
      <alignment vertical="center"/>
    </xf>
    <xf numFmtId="0" fontId="13" fillId="0" borderId="7" xfId="0" applyFont="1" applyFill="1" applyBorder="1">
      <alignment vertical="center"/>
    </xf>
    <xf numFmtId="182" fontId="1" fillId="0" borderId="13" xfId="50" applyNumberFormat="1" applyFont="1" applyFill="1" applyBorder="1" applyAlignment="1">
      <alignment horizontal="center"/>
    </xf>
    <xf numFmtId="0" fontId="12" fillId="0" borderId="4" xfId="0" applyFont="1" applyFill="1" applyBorder="1" applyAlignment="1"/>
    <xf numFmtId="182" fontId="1" fillId="0" borderId="14" xfId="50" applyNumberFormat="1" applyFont="1" applyFill="1" applyBorder="1" applyAlignment="1">
      <alignment horizont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一般_OMRON海運出口" xfId="31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一般_OMRON" xfId="50"/>
    <cellStyle name="常规_Sheet1_1" xfId="51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O59"/>
  <sheetViews>
    <sheetView tabSelected="1" zoomScale="90" zoomScaleNormal="90" workbookViewId="0">
      <selection activeCell="A1" sqref="A1:O1"/>
    </sheetView>
  </sheetViews>
  <sheetFormatPr defaultColWidth="9" defaultRowHeight="22.5"/>
  <cols>
    <col min="1" max="1" width="9" style="90"/>
    <col min="2" max="2" width="18.7083333333333" style="90" customWidth="1"/>
    <col min="3" max="3" width="16.575" style="90" customWidth="1"/>
    <col min="4" max="4" width="9" style="90"/>
    <col min="5" max="5" width="14.7083333333333" style="90" customWidth="1"/>
    <col min="6" max="16384" width="9" style="90"/>
  </cols>
  <sheetData>
    <row r="1" ht="23.25" spans="1:15">
      <c r="A1" s="91" t="s">
        <v>0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137"/>
    </row>
    <row r="2" ht="13.5" spans="1:15">
      <c r="A2" s="93" t="s">
        <v>1</v>
      </c>
      <c r="B2" s="94"/>
      <c r="C2" s="29"/>
      <c r="D2" s="9"/>
      <c r="E2" s="93" t="s">
        <v>2</v>
      </c>
      <c r="F2" s="29"/>
      <c r="G2" s="29"/>
      <c r="H2" s="29"/>
      <c r="I2" s="29"/>
      <c r="J2" s="138"/>
      <c r="K2" s="138"/>
      <c r="L2" s="138"/>
      <c r="M2" s="138"/>
      <c r="N2" s="138"/>
      <c r="O2" s="78"/>
    </row>
    <row r="3" ht="13.5" spans="1:15">
      <c r="A3" s="10" t="s">
        <v>3</v>
      </c>
      <c r="B3" s="11"/>
      <c r="C3" s="29"/>
      <c r="D3" s="95"/>
      <c r="E3" s="13" t="s">
        <v>4</v>
      </c>
      <c r="F3" s="29"/>
      <c r="G3" s="96"/>
      <c r="H3" s="96"/>
      <c r="I3" s="29"/>
      <c r="J3" s="138"/>
      <c r="K3" s="138"/>
      <c r="L3" s="138"/>
      <c r="M3" s="138"/>
      <c r="N3" s="138"/>
      <c r="O3" s="78"/>
    </row>
    <row r="4" ht="13.5" spans="1:15">
      <c r="A4" s="97" t="s">
        <v>5</v>
      </c>
      <c r="B4" s="98"/>
      <c r="C4" s="98"/>
      <c r="D4" s="99"/>
      <c r="E4" s="17">
        <v>45884</v>
      </c>
      <c r="F4" s="100"/>
      <c r="G4" s="100"/>
      <c r="H4" s="101"/>
      <c r="I4" s="29"/>
      <c r="J4" s="138"/>
      <c r="K4" s="138"/>
      <c r="L4" s="138"/>
      <c r="M4" s="138"/>
      <c r="N4" s="138"/>
      <c r="O4" s="78"/>
    </row>
    <row r="5" ht="13.5" spans="1:15">
      <c r="A5" s="97"/>
      <c r="B5" s="98"/>
      <c r="C5" s="98"/>
      <c r="D5" s="99"/>
      <c r="E5" s="102"/>
      <c r="F5" s="29"/>
      <c r="G5" s="29"/>
      <c r="H5" s="29"/>
      <c r="I5" s="29"/>
      <c r="J5" s="138"/>
      <c r="K5" s="138"/>
      <c r="L5" s="138"/>
      <c r="M5" s="138"/>
      <c r="N5" s="138"/>
      <c r="O5" s="78"/>
    </row>
    <row r="6" ht="13.5" spans="1:15">
      <c r="A6" s="103"/>
      <c r="B6" s="104"/>
      <c r="C6" s="105"/>
      <c r="D6" s="106"/>
      <c r="E6" s="107"/>
      <c r="F6" s="105"/>
      <c r="G6" s="105"/>
      <c r="H6" s="105"/>
      <c r="I6" s="105"/>
      <c r="J6" s="139"/>
      <c r="K6" s="139"/>
      <c r="L6" s="139"/>
      <c r="M6" s="139"/>
      <c r="N6" s="139"/>
      <c r="O6" s="140"/>
    </row>
    <row r="7" ht="13.5" spans="1:15">
      <c r="A7" s="24" t="s">
        <v>6</v>
      </c>
      <c r="B7" s="108"/>
      <c r="C7" s="109"/>
      <c r="D7" s="110"/>
      <c r="E7" s="24" t="s">
        <v>7</v>
      </c>
      <c r="F7" s="109"/>
      <c r="G7" s="109"/>
      <c r="H7" s="109"/>
      <c r="I7" s="109"/>
      <c r="J7" s="141"/>
      <c r="K7" s="142"/>
      <c r="L7" s="142"/>
      <c r="M7" s="142"/>
      <c r="N7" s="142"/>
      <c r="O7" s="143"/>
    </row>
    <row r="8" ht="13.5" spans="1:15">
      <c r="A8" s="28" t="s">
        <v>8</v>
      </c>
      <c r="B8" s="11"/>
      <c r="C8" s="69"/>
      <c r="D8" s="111"/>
      <c r="E8" s="102" t="s">
        <v>9</v>
      </c>
      <c r="F8" s="29"/>
      <c r="G8" s="29"/>
      <c r="H8" s="29"/>
      <c r="I8" s="29"/>
      <c r="J8" s="142"/>
      <c r="K8" s="142"/>
      <c r="L8" s="142"/>
      <c r="M8" s="142"/>
      <c r="N8" s="142"/>
      <c r="O8" s="143"/>
    </row>
    <row r="9" ht="13.5" spans="1:15">
      <c r="A9" s="97" t="s">
        <v>10</v>
      </c>
      <c r="B9" s="98"/>
      <c r="C9" s="98"/>
      <c r="D9" s="99"/>
      <c r="E9" s="112"/>
      <c r="F9" s="113"/>
      <c r="G9" s="113"/>
      <c r="H9" s="113"/>
      <c r="I9" s="113"/>
      <c r="J9" s="144"/>
      <c r="K9" s="144"/>
      <c r="L9" s="144"/>
      <c r="M9" s="144"/>
      <c r="N9" s="144"/>
      <c r="O9" s="145"/>
    </row>
    <row r="10" ht="13.5" spans="1:15">
      <c r="A10" s="97"/>
      <c r="B10" s="98"/>
      <c r="C10" s="98"/>
      <c r="D10" s="99"/>
      <c r="E10" s="102"/>
      <c r="F10" s="29"/>
      <c r="G10" s="29"/>
      <c r="H10" s="29"/>
      <c r="I10" s="29"/>
      <c r="J10" s="144"/>
      <c r="K10" s="144"/>
      <c r="L10" s="144"/>
      <c r="M10" s="144"/>
      <c r="N10" s="144"/>
      <c r="O10" s="145"/>
    </row>
    <row r="11" ht="13.5" spans="1:15">
      <c r="A11" s="24" t="s">
        <v>11</v>
      </c>
      <c r="B11" s="109"/>
      <c r="C11" s="109"/>
      <c r="D11" s="110"/>
      <c r="E11" s="24" t="s">
        <v>12</v>
      </c>
      <c r="F11" s="109"/>
      <c r="G11" s="109"/>
      <c r="H11" s="109"/>
      <c r="I11" s="109"/>
      <c r="J11" s="109"/>
      <c r="K11" s="109"/>
      <c r="L11" s="109"/>
      <c r="M11" s="109"/>
      <c r="N11" s="109"/>
      <c r="O11" s="110"/>
    </row>
    <row r="12" ht="13.5" spans="1:15">
      <c r="A12" s="28" t="s">
        <v>8</v>
      </c>
      <c r="B12" s="11"/>
      <c r="C12" s="11"/>
      <c r="D12" s="95"/>
      <c r="E12" s="13" t="s">
        <v>13</v>
      </c>
      <c r="F12" s="38"/>
      <c r="G12" s="38"/>
      <c r="H12" s="38"/>
      <c r="I12" s="38"/>
      <c r="J12" s="138"/>
      <c r="K12" s="138"/>
      <c r="L12" s="138"/>
      <c r="M12" s="138"/>
      <c r="N12" s="138"/>
      <c r="O12" s="78"/>
    </row>
    <row r="13" ht="56.25" customHeight="1" spans="1:15">
      <c r="A13" s="114" t="s">
        <v>10</v>
      </c>
      <c r="B13" s="115"/>
      <c r="C13" s="115"/>
      <c r="D13" s="116"/>
      <c r="E13" s="107"/>
      <c r="F13" s="105"/>
      <c r="G13" s="105"/>
      <c r="H13" s="105"/>
      <c r="I13" s="146"/>
      <c r="J13" s="138"/>
      <c r="K13" s="138"/>
      <c r="L13" s="138"/>
      <c r="M13" s="138"/>
      <c r="N13" s="138"/>
      <c r="O13" s="140"/>
    </row>
    <row r="14" ht="13.5" spans="1:15">
      <c r="A14" s="24" t="s">
        <v>14</v>
      </c>
      <c r="B14" s="109"/>
      <c r="C14" s="24" t="s">
        <v>15</v>
      </c>
      <c r="D14" s="110"/>
      <c r="E14" s="94" t="s">
        <v>16</v>
      </c>
      <c r="F14" s="8"/>
      <c r="G14" s="8"/>
      <c r="H14" s="8"/>
      <c r="I14" s="29"/>
      <c r="J14" s="147"/>
      <c r="K14" s="147"/>
      <c r="L14" s="147"/>
      <c r="M14" s="147"/>
      <c r="N14" s="147"/>
      <c r="O14" s="78"/>
    </row>
    <row r="15" ht="13.5" spans="1:15">
      <c r="A15" s="117"/>
      <c r="B15" s="118"/>
      <c r="C15" s="117"/>
      <c r="D15" s="118"/>
      <c r="E15" s="119"/>
      <c r="F15" s="29"/>
      <c r="G15" s="29"/>
      <c r="H15" s="29"/>
      <c r="I15" s="29"/>
      <c r="J15" s="138"/>
      <c r="K15" s="138"/>
      <c r="L15" s="138"/>
      <c r="M15" s="138"/>
      <c r="N15" s="138"/>
      <c r="O15" s="78"/>
    </row>
    <row r="16" ht="13.5" spans="1:15">
      <c r="A16" s="33"/>
      <c r="B16" s="34"/>
      <c r="C16" s="120"/>
      <c r="D16" s="121"/>
      <c r="E16" s="119"/>
      <c r="F16" s="38"/>
      <c r="G16" s="29"/>
      <c r="H16" s="29"/>
      <c r="I16" s="29"/>
      <c r="J16" s="138"/>
      <c r="K16" s="138"/>
      <c r="L16" s="138"/>
      <c r="M16" s="138"/>
      <c r="N16" s="138"/>
      <c r="O16" s="78"/>
    </row>
    <row r="17" ht="13.5" spans="1:15">
      <c r="A17" s="24" t="s">
        <v>17</v>
      </c>
      <c r="B17" s="110"/>
      <c r="C17" s="93" t="s">
        <v>18</v>
      </c>
      <c r="D17" s="50"/>
      <c r="E17" s="119"/>
      <c r="F17" s="38"/>
      <c r="G17" s="29"/>
      <c r="H17" s="29"/>
      <c r="I17" s="29"/>
      <c r="J17" s="138"/>
      <c r="K17" s="138"/>
      <c r="L17" s="138"/>
      <c r="M17" s="138"/>
      <c r="N17" s="138"/>
      <c r="O17" s="78"/>
    </row>
    <row r="18" ht="13.5" spans="1:15">
      <c r="A18" s="47"/>
      <c r="B18" s="122"/>
      <c r="C18" s="51"/>
      <c r="D18" s="52"/>
      <c r="E18" s="123" t="s">
        <v>19</v>
      </c>
      <c r="F18" s="124" t="s">
        <v>20</v>
      </c>
      <c r="G18" s="105"/>
      <c r="H18" s="105"/>
      <c r="I18" s="105"/>
      <c r="J18" s="148"/>
      <c r="K18" s="138"/>
      <c r="L18" s="138"/>
      <c r="M18" s="138"/>
      <c r="N18" s="138"/>
      <c r="O18" s="78"/>
    </row>
    <row r="19" ht="38.25" spans="1:15">
      <c r="A19" s="53" t="s">
        <v>21</v>
      </c>
      <c r="B19" s="54" t="s">
        <v>22</v>
      </c>
      <c r="C19" s="54" t="s">
        <v>23</v>
      </c>
      <c r="D19" s="125" t="s">
        <v>24</v>
      </c>
      <c r="E19" s="54" t="s">
        <v>25</v>
      </c>
      <c r="F19" s="54" t="s">
        <v>26</v>
      </c>
      <c r="G19" s="54" t="s">
        <v>27</v>
      </c>
      <c r="H19" s="54" t="s">
        <v>28</v>
      </c>
      <c r="I19" s="54" t="s">
        <v>29</v>
      </c>
      <c r="J19" s="149" t="s">
        <v>30</v>
      </c>
      <c r="K19" s="149" t="s">
        <v>31</v>
      </c>
      <c r="L19" s="150" t="s">
        <v>32</v>
      </c>
      <c r="M19" s="150" t="s">
        <v>33</v>
      </c>
      <c r="N19" s="150" t="s">
        <v>34</v>
      </c>
      <c r="O19" s="80" t="s">
        <v>35</v>
      </c>
    </row>
    <row r="20" ht="13.5" spans="1:15">
      <c r="A20" s="57" t="s">
        <v>36</v>
      </c>
      <c r="B20" s="58" t="s">
        <v>37</v>
      </c>
      <c r="C20" s="58" t="s">
        <v>38</v>
      </c>
      <c r="D20" s="58"/>
      <c r="E20" s="58">
        <v>9000</v>
      </c>
      <c r="F20" s="126" t="s">
        <v>39</v>
      </c>
      <c r="G20" s="127">
        <v>0.0085</v>
      </c>
      <c r="H20" s="128" t="s">
        <v>40</v>
      </c>
      <c r="I20" s="62">
        <f>ROUND(E20*G20,2)</f>
        <v>76.5</v>
      </c>
      <c r="J20" s="58"/>
      <c r="K20" s="58"/>
      <c r="L20" s="151" t="s">
        <v>41</v>
      </c>
      <c r="M20" s="151" t="s">
        <v>41</v>
      </c>
      <c r="N20" s="151" t="s">
        <v>41</v>
      </c>
      <c r="O20" s="152">
        <v>0.221</v>
      </c>
    </row>
    <row r="21" ht="13.5" spans="1:15">
      <c r="A21" s="57" t="s">
        <v>42</v>
      </c>
      <c r="B21" s="58" t="s">
        <v>43</v>
      </c>
      <c r="C21" s="58" t="s">
        <v>44</v>
      </c>
      <c r="D21" s="58"/>
      <c r="E21" s="58">
        <v>3000</v>
      </c>
      <c r="F21" s="126" t="s">
        <v>39</v>
      </c>
      <c r="G21" s="127">
        <v>0.00696</v>
      </c>
      <c r="H21" s="128" t="s">
        <v>40</v>
      </c>
      <c r="I21" s="62">
        <f t="shared" ref="I21:I57" si="0">ROUND(E21*G21,2)</f>
        <v>20.88</v>
      </c>
      <c r="J21" s="58"/>
      <c r="K21" s="58"/>
      <c r="L21" s="151" t="s">
        <v>41</v>
      </c>
      <c r="M21" s="151" t="s">
        <v>41</v>
      </c>
      <c r="N21" s="151" t="s">
        <v>41</v>
      </c>
      <c r="O21" s="152">
        <v>0.015</v>
      </c>
    </row>
    <row r="22" ht="13.5" spans="1:15">
      <c r="A22" s="57" t="s">
        <v>45</v>
      </c>
      <c r="B22" s="58" t="s">
        <v>46</v>
      </c>
      <c r="C22" s="58" t="s">
        <v>47</v>
      </c>
      <c r="D22" s="58"/>
      <c r="E22" s="58">
        <v>8000</v>
      </c>
      <c r="F22" s="126" t="s">
        <v>39</v>
      </c>
      <c r="G22" s="127">
        <v>0.0064</v>
      </c>
      <c r="H22" s="128" t="s">
        <v>40</v>
      </c>
      <c r="I22" s="62">
        <f t="shared" si="0"/>
        <v>51.2</v>
      </c>
      <c r="J22" s="58"/>
      <c r="K22" s="58"/>
      <c r="L22" s="151" t="s">
        <v>41</v>
      </c>
      <c r="M22" s="151" t="s">
        <v>41</v>
      </c>
      <c r="N22" s="151" t="s">
        <v>41</v>
      </c>
      <c r="O22" s="152">
        <v>0.038</v>
      </c>
    </row>
    <row r="23" ht="13.5" spans="1:15">
      <c r="A23" s="57" t="s">
        <v>48</v>
      </c>
      <c r="B23" s="58" t="s">
        <v>49</v>
      </c>
      <c r="C23" s="58" t="s">
        <v>50</v>
      </c>
      <c r="D23" s="58"/>
      <c r="E23" s="58">
        <v>36000</v>
      </c>
      <c r="F23" s="126" t="s">
        <v>39</v>
      </c>
      <c r="G23" s="127">
        <v>0.00653</v>
      </c>
      <c r="H23" s="128" t="s">
        <v>40</v>
      </c>
      <c r="I23" s="62">
        <f t="shared" si="0"/>
        <v>235.08</v>
      </c>
      <c r="J23" s="58"/>
      <c r="K23" s="58"/>
      <c r="L23" s="151" t="s">
        <v>41</v>
      </c>
      <c r="M23" s="151" t="s">
        <v>41</v>
      </c>
      <c r="N23" s="151" t="s">
        <v>41</v>
      </c>
      <c r="O23" s="152">
        <v>0.188</v>
      </c>
    </row>
    <row r="24" ht="13.5" spans="1:15">
      <c r="A24" s="57" t="s">
        <v>51</v>
      </c>
      <c r="B24" s="58" t="s">
        <v>49</v>
      </c>
      <c r="C24" s="58" t="s">
        <v>52</v>
      </c>
      <c r="D24" s="58"/>
      <c r="E24" s="58">
        <v>4000</v>
      </c>
      <c r="F24" s="126" t="s">
        <v>39</v>
      </c>
      <c r="G24" s="127">
        <v>0.00653</v>
      </c>
      <c r="H24" s="128" t="s">
        <v>40</v>
      </c>
      <c r="I24" s="62">
        <f t="shared" si="0"/>
        <v>26.12</v>
      </c>
      <c r="J24" s="58"/>
      <c r="K24" s="58"/>
      <c r="L24" s="151" t="s">
        <v>41</v>
      </c>
      <c r="M24" s="151" t="s">
        <v>41</v>
      </c>
      <c r="N24" s="151" t="s">
        <v>41</v>
      </c>
      <c r="O24" s="152">
        <v>0.021</v>
      </c>
    </row>
    <row r="25" ht="13.5" spans="1:15">
      <c r="A25" s="57" t="s">
        <v>53</v>
      </c>
      <c r="B25" s="58" t="s">
        <v>49</v>
      </c>
      <c r="C25" s="58" t="s">
        <v>54</v>
      </c>
      <c r="D25" s="58"/>
      <c r="E25" s="58">
        <v>28000</v>
      </c>
      <c r="F25" s="126" t="s">
        <v>39</v>
      </c>
      <c r="G25" s="127">
        <v>0.00653</v>
      </c>
      <c r="H25" s="128" t="s">
        <v>40</v>
      </c>
      <c r="I25" s="62">
        <f t="shared" si="0"/>
        <v>182.84</v>
      </c>
      <c r="J25" s="58"/>
      <c r="K25" s="58"/>
      <c r="L25" s="151" t="s">
        <v>41</v>
      </c>
      <c r="M25" s="151" t="s">
        <v>41</v>
      </c>
      <c r="N25" s="151" t="s">
        <v>41</v>
      </c>
      <c r="O25" s="152">
        <v>0.146</v>
      </c>
    </row>
    <row r="26" ht="13.5" spans="1:15">
      <c r="A26" s="57" t="s">
        <v>55</v>
      </c>
      <c r="B26" s="58" t="s">
        <v>49</v>
      </c>
      <c r="C26" s="58" t="s">
        <v>56</v>
      </c>
      <c r="D26" s="58"/>
      <c r="E26" s="58">
        <v>8000</v>
      </c>
      <c r="F26" s="126" t="s">
        <v>39</v>
      </c>
      <c r="G26" s="127">
        <v>0.00653</v>
      </c>
      <c r="H26" s="128" t="s">
        <v>40</v>
      </c>
      <c r="I26" s="62">
        <f t="shared" si="0"/>
        <v>52.24</v>
      </c>
      <c r="J26" s="58"/>
      <c r="K26" s="58"/>
      <c r="L26" s="151" t="s">
        <v>41</v>
      </c>
      <c r="M26" s="151" t="s">
        <v>41</v>
      </c>
      <c r="N26" s="151" t="s">
        <v>41</v>
      </c>
      <c r="O26" s="152">
        <v>0.042</v>
      </c>
    </row>
    <row r="27" ht="13.5" spans="1:15">
      <c r="A27" s="57" t="s">
        <v>57</v>
      </c>
      <c r="B27" s="58" t="s">
        <v>49</v>
      </c>
      <c r="C27" s="58" t="s">
        <v>58</v>
      </c>
      <c r="D27" s="58"/>
      <c r="E27" s="58">
        <v>4000</v>
      </c>
      <c r="F27" s="126" t="s">
        <v>39</v>
      </c>
      <c r="G27" s="127">
        <v>0.00653</v>
      </c>
      <c r="H27" s="128" t="s">
        <v>40</v>
      </c>
      <c r="I27" s="62">
        <f t="shared" si="0"/>
        <v>26.12</v>
      </c>
      <c r="J27" s="58"/>
      <c r="K27" s="58"/>
      <c r="L27" s="151" t="s">
        <v>41</v>
      </c>
      <c r="M27" s="151" t="s">
        <v>41</v>
      </c>
      <c r="N27" s="151" t="s">
        <v>41</v>
      </c>
      <c r="O27" s="152">
        <v>0.021</v>
      </c>
    </row>
    <row r="28" ht="13.5" spans="1:15">
      <c r="A28" s="57" t="s">
        <v>59</v>
      </c>
      <c r="B28" s="58" t="s">
        <v>49</v>
      </c>
      <c r="C28" s="58" t="s">
        <v>54</v>
      </c>
      <c r="D28" s="58"/>
      <c r="E28" s="58">
        <v>28000</v>
      </c>
      <c r="F28" s="126" t="s">
        <v>39</v>
      </c>
      <c r="G28" s="127">
        <v>0.00653</v>
      </c>
      <c r="H28" s="128" t="s">
        <v>40</v>
      </c>
      <c r="I28" s="62">
        <f t="shared" si="0"/>
        <v>182.84</v>
      </c>
      <c r="J28" s="58"/>
      <c r="K28" s="58"/>
      <c r="L28" s="151" t="s">
        <v>41</v>
      </c>
      <c r="M28" s="151" t="s">
        <v>41</v>
      </c>
      <c r="N28" s="151" t="s">
        <v>41</v>
      </c>
      <c r="O28" s="152">
        <v>0.146</v>
      </c>
    </row>
    <row r="29" ht="13.5" spans="1:15">
      <c r="A29" s="57" t="s">
        <v>60</v>
      </c>
      <c r="B29" s="58" t="s">
        <v>61</v>
      </c>
      <c r="C29" s="58" t="s">
        <v>62</v>
      </c>
      <c r="D29" s="58"/>
      <c r="E29" s="58">
        <v>6000</v>
      </c>
      <c r="F29" s="126" t="s">
        <v>39</v>
      </c>
      <c r="G29" s="127">
        <v>0.0297</v>
      </c>
      <c r="H29" s="128" t="s">
        <v>40</v>
      </c>
      <c r="I29" s="62">
        <f t="shared" si="0"/>
        <v>178.2</v>
      </c>
      <c r="J29" s="58"/>
      <c r="K29" s="58"/>
      <c r="L29" s="151" t="s">
        <v>41</v>
      </c>
      <c r="M29" s="151" t="s">
        <v>41</v>
      </c>
      <c r="N29" s="151" t="s">
        <v>41</v>
      </c>
      <c r="O29" s="152">
        <v>0.086</v>
      </c>
    </row>
    <row r="30" ht="13.5" spans="1:15">
      <c r="A30" s="57" t="s">
        <v>63</v>
      </c>
      <c r="B30" s="58" t="s">
        <v>61</v>
      </c>
      <c r="C30" s="58" t="s">
        <v>64</v>
      </c>
      <c r="D30" s="58"/>
      <c r="E30" s="58">
        <v>2000</v>
      </c>
      <c r="F30" s="126" t="s">
        <v>39</v>
      </c>
      <c r="G30" s="127">
        <v>0.0297</v>
      </c>
      <c r="H30" s="128" t="s">
        <v>40</v>
      </c>
      <c r="I30" s="62">
        <f t="shared" si="0"/>
        <v>59.4</v>
      </c>
      <c r="J30" s="58"/>
      <c r="K30" s="58"/>
      <c r="L30" s="151" t="s">
        <v>41</v>
      </c>
      <c r="M30" s="151" t="s">
        <v>41</v>
      </c>
      <c r="N30" s="151" t="s">
        <v>41</v>
      </c>
      <c r="O30" s="152">
        <v>0.029</v>
      </c>
    </row>
    <row r="31" ht="13.5" spans="1:15">
      <c r="A31" s="57" t="s">
        <v>65</v>
      </c>
      <c r="B31" s="58" t="s">
        <v>61</v>
      </c>
      <c r="C31" s="58" t="s">
        <v>66</v>
      </c>
      <c r="D31" s="58"/>
      <c r="E31" s="58">
        <v>6000</v>
      </c>
      <c r="F31" s="126" t="s">
        <v>39</v>
      </c>
      <c r="G31" s="127">
        <v>0.0297</v>
      </c>
      <c r="H31" s="128" t="s">
        <v>40</v>
      </c>
      <c r="I31" s="62">
        <f t="shared" si="0"/>
        <v>178.2</v>
      </c>
      <c r="J31" s="58"/>
      <c r="K31" s="58"/>
      <c r="L31" s="151" t="s">
        <v>41</v>
      </c>
      <c r="M31" s="151" t="s">
        <v>41</v>
      </c>
      <c r="N31" s="151" t="s">
        <v>41</v>
      </c>
      <c r="O31" s="152">
        <v>0.086</v>
      </c>
    </row>
    <row r="32" ht="13.5" spans="1:15">
      <c r="A32" s="57" t="s">
        <v>67</v>
      </c>
      <c r="B32" s="58" t="s">
        <v>61</v>
      </c>
      <c r="C32" s="58" t="s">
        <v>68</v>
      </c>
      <c r="D32" s="58"/>
      <c r="E32" s="58">
        <v>10000</v>
      </c>
      <c r="F32" s="126" t="s">
        <v>39</v>
      </c>
      <c r="G32" s="127">
        <v>0.0297</v>
      </c>
      <c r="H32" s="128" t="s">
        <v>40</v>
      </c>
      <c r="I32" s="62">
        <f t="shared" si="0"/>
        <v>297</v>
      </c>
      <c r="J32" s="58"/>
      <c r="K32" s="58"/>
      <c r="L32" s="151" t="s">
        <v>41</v>
      </c>
      <c r="M32" s="151" t="s">
        <v>41</v>
      </c>
      <c r="N32" s="151" t="s">
        <v>41</v>
      </c>
      <c r="O32" s="152">
        <v>0.144</v>
      </c>
    </row>
    <row r="33" ht="13.5" spans="1:15">
      <c r="A33" s="57" t="s">
        <v>69</v>
      </c>
      <c r="B33" s="58" t="s">
        <v>70</v>
      </c>
      <c r="C33" s="58" t="s">
        <v>71</v>
      </c>
      <c r="D33" s="58"/>
      <c r="E33" s="58">
        <v>12000</v>
      </c>
      <c r="F33" s="126" t="s">
        <v>39</v>
      </c>
      <c r="G33" s="127">
        <v>0.00673</v>
      </c>
      <c r="H33" s="128" t="s">
        <v>40</v>
      </c>
      <c r="I33" s="62">
        <f t="shared" si="0"/>
        <v>80.76</v>
      </c>
      <c r="J33" s="58"/>
      <c r="K33" s="58"/>
      <c r="L33" s="151" t="s">
        <v>41</v>
      </c>
      <c r="M33" s="151" t="s">
        <v>41</v>
      </c>
      <c r="N33" s="151" t="s">
        <v>41</v>
      </c>
      <c r="O33" s="152">
        <v>0.032</v>
      </c>
    </row>
    <row r="34" ht="13.5" spans="1:15">
      <c r="A34" s="57" t="s">
        <v>72</v>
      </c>
      <c r="B34" s="58" t="s">
        <v>70</v>
      </c>
      <c r="C34" s="58" t="s">
        <v>73</v>
      </c>
      <c r="D34" s="58"/>
      <c r="E34" s="58">
        <v>4000</v>
      </c>
      <c r="F34" s="126" t="s">
        <v>39</v>
      </c>
      <c r="G34" s="127">
        <v>0.00673</v>
      </c>
      <c r="H34" s="128" t="s">
        <v>40</v>
      </c>
      <c r="I34" s="62">
        <f t="shared" si="0"/>
        <v>26.92</v>
      </c>
      <c r="J34" s="58"/>
      <c r="K34" s="58"/>
      <c r="L34" s="151" t="s">
        <v>41</v>
      </c>
      <c r="M34" s="151" t="s">
        <v>41</v>
      </c>
      <c r="N34" s="151" t="s">
        <v>41</v>
      </c>
      <c r="O34" s="152">
        <v>0.011</v>
      </c>
    </row>
    <row r="35" ht="13.5" spans="1:15">
      <c r="A35" s="57" t="s">
        <v>74</v>
      </c>
      <c r="B35" s="58" t="s">
        <v>70</v>
      </c>
      <c r="C35" s="58" t="s">
        <v>75</v>
      </c>
      <c r="D35" s="58"/>
      <c r="E35" s="58">
        <v>12000</v>
      </c>
      <c r="F35" s="126" t="s">
        <v>39</v>
      </c>
      <c r="G35" s="127">
        <v>0.00673</v>
      </c>
      <c r="H35" s="128" t="s">
        <v>40</v>
      </c>
      <c r="I35" s="62">
        <f t="shared" si="0"/>
        <v>80.76</v>
      </c>
      <c r="J35" s="58"/>
      <c r="K35" s="58"/>
      <c r="L35" s="151" t="s">
        <v>41</v>
      </c>
      <c r="M35" s="151" t="s">
        <v>41</v>
      </c>
      <c r="N35" s="151" t="s">
        <v>41</v>
      </c>
      <c r="O35" s="152">
        <v>0.032</v>
      </c>
    </row>
    <row r="36" ht="13.5" spans="1:15">
      <c r="A36" s="57" t="s">
        <v>76</v>
      </c>
      <c r="B36" s="58" t="s">
        <v>70</v>
      </c>
      <c r="C36" s="58" t="s">
        <v>77</v>
      </c>
      <c r="D36" s="58"/>
      <c r="E36" s="58">
        <v>4000</v>
      </c>
      <c r="F36" s="126" t="s">
        <v>39</v>
      </c>
      <c r="G36" s="127">
        <v>0.00673</v>
      </c>
      <c r="H36" s="128" t="s">
        <v>40</v>
      </c>
      <c r="I36" s="62">
        <f t="shared" si="0"/>
        <v>26.92</v>
      </c>
      <c r="J36" s="58"/>
      <c r="K36" s="58"/>
      <c r="L36" s="151" t="s">
        <v>41</v>
      </c>
      <c r="M36" s="151" t="s">
        <v>41</v>
      </c>
      <c r="N36" s="151" t="s">
        <v>41</v>
      </c>
      <c r="O36" s="152">
        <v>0.011</v>
      </c>
    </row>
    <row r="37" ht="13.5" spans="1:15">
      <c r="A37" s="57" t="s">
        <v>78</v>
      </c>
      <c r="B37" s="58" t="s">
        <v>79</v>
      </c>
      <c r="C37" s="58" t="s">
        <v>80</v>
      </c>
      <c r="D37" s="58"/>
      <c r="E37" s="58">
        <v>36000</v>
      </c>
      <c r="F37" s="126" t="s">
        <v>39</v>
      </c>
      <c r="G37" s="127">
        <v>0.00673</v>
      </c>
      <c r="H37" s="128" t="s">
        <v>40</v>
      </c>
      <c r="I37" s="62">
        <f t="shared" si="0"/>
        <v>242.28</v>
      </c>
      <c r="J37" s="58"/>
      <c r="K37" s="58"/>
      <c r="L37" s="151" t="s">
        <v>41</v>
      </c>
      <c r="M37" s="151" t="s">
        <v>41</v>
      </c>
      <c r="N37" s="151" t="s">
        <v>41</v>
      </c>
      <c r="O37" s="152">
        <v>0.097</v>
      </c>
    </row>
    <row r="38" ht="13.5" spans="1:15">
      <c r="A38" s="57" t="s">
        <v>81</v>
      </c>
      <c r="B38" s="58" t="s">
        <v>82</v>
      </c>
      <c r="C38" s="58" t="s">
        <v>83</v>
      </c>
      <c r="D38" s="58"/>
      <c r="E38" s="58">
        <v>4000</v>
      </c>
      <c r="F38" s="126" t="s">
        <v>39</v>
      </c>
      <c r="G38" s="127">
        <v>0.008</v>
      </c>
      <c r="H38" s="128" t="s">
        <v>40</v>
      </c>
      <c r="I38" s="62">
        <f t="shared" si="0"/>
        <v>32</v>
      </c>
      <c r="J38" s="58"/>
      <c r="K38" s="58"/>
      <c r="L38" s="151" t="s">
        <v>41</v>
      </c>
      <c r="M38" s="151" t="s">
        <v>41</v>
      </c>
      <c r="N38" s="151" t="s">
        <v>41</v>
      </c>
      <c r="O38" s="152">
        <v>0.034</v>
      </c>
    </row>
    <row r="39" ht="13.5" spans="1:15">
      <c r="A39" s="57" t="s">
        <v>84</v>
      </c>
      <c r="B39" s="58" t="s">
        <v>85</v>
      </c>
      <c r="C39" s="58" t="s">
        <v>86</v>
      </c>
      <c r="D39" s="58"/>
      <c r="E39" s="58">
        <v>8000</v>
      </c>
      <c r="F39" s="126" t="s">
        <v>39</v>
      </c>
      <c r="G39" s="127">
        <v>0.00693</v>
      </c>
      <c r="H39" s="128" t="s">
        <v>40</v>
      </c>
      <c r="I39" s="62">
        <f t="shared" si="0"/>
        <v>55.44</v>
      </c>
      <c r="J39" s="58"/>
      <c r="K39" s="58"/>
      <c r="L39" s="151" t="s">
        <v>41</v>
      </c>
      <c r="M39" s="151" t="s">
        <v>41</v>
      </c>
      <c r="N39" s="151" t="s">
        <v>41</v>
      </c>
      <c r="O39" s="152">
        <v>0.021</v>
      </c>
    </row>
    <row r="40" ht="13.5" spans="1:15">
      <c r="A40" s="57" t="s">
        <v>87</v>
      </c>
      <c r="B40" s="58" t="s">
        <v>85</v>
      </c>
      <c r="C40" s="58" t="s">
        <v>88</v>
      </c>
      <c r="D40" s="58"/>
      <c r="E40" s="58">
        <v>36000</v>
      </c>
      <c r="F40" s="126" t="s">
        <v>39</v>
      </c>
      <c r="G40" s="127">
        <v>0.00693</v>
      </c>
      <c r="H40" s="128" t="s">
        <v>40</v>
      </c>
      <c r="I40" s="62">
        <f t="shared" si="0"/>
        <v>249.48</v>
      </c>
      <c r="J40" s="58"/>
      <c r="K40" s="58"/>
      <c r="L40" s="151" t="s">
        <v>41</v>
      </c>
      <c r="M40" s="151" t="s">
        <v>41</v>
      </c>
      <c r="N40" s="151" t="s">
        <v>41</v>
      </c>
      <c r="O40" s="152">
        <v>0.096</v>
      </c>
    </row>
    <row r="41" ht="13.5" spans="1:15">
      <c r="A41" s="57" t="s">
        <v>89</v>
      </c>
      <c r="B41" s="58" t="s">
        <v>90</v>
      </c>
      <c r="C41" s="58" t="s">
        <v>91</v>
      </c>
      <c r="D41" s="58"/>
      <c r="E41" s="58">
        <v>8000</v>
      </c>
      <c r="F41" s="126" t="s">
        <v>39</v>
      </c>
      <c r="G41" s="127">
        <v>0.00693</v>
      </c>
      <c r="H41" s="128" t="s">
        <v>40</v>
      </c>
      <c r="I41" s="62">
        <f t="shared" si="0"/>
        <v>55.44</v>
      </c>
      <c r="J41" s="58"/>
      <c r="K41" s="58"/>
      <c r="L41" s="151" t="s">
        <v>41</v>
      </c>
      <c r="M41" s="151" t="s">
        <v>41</v>
      </c>
      <c r="N41" s="151" t="s">
        <v>41</v>
      </c>
      <c r="O41" s="152">
        <v>0.02</v>
      </c>
    </row>
    <row r="42" ht="13.5" spans="1:15">
      <c r="A42" s="57" t="s">
        <v>92</v>
      </c>
      <c r="B42" s="58" t="s">
        <v>93</v>
      </c>
      <c r="C42" s="58" t="s">
        <v>94</v>
      </c>
      <c r="D42" s="58"/>
      <c r="E42" s="58">
        <v>12000</v>
      </c>
      <c r="F42" s="126" t="s">
        <v>39</v>
      </c>
      <c r="G42" s="127">
        <v>0.00696</v>
      </c>
      <c r="H42" s="128" t="s">
        <v>40</v>
      </c>
      <c r="I42" s="62">
        <f t="shared" si="0"/>
        <v>83.52</v>
      </c>
      <c r="J42" s="58"/>
      <c r="K42" s="58"/>
      <c r="L42" s="151" t="s">
        <v>41</v>
      </c>
      <c r="M42" s="151" t="s">
        <v>41</v>
      </c>
      <c r="N42" s="151" t="s">
        <v>41</v>
      </c>
      <c r="O42" s="152">
        <v>0.037</v>
      </c>
    </row>
    <row r="43" ht="13.5" spans="1:15">
      <c r="A43" s="57" t="s">
        <v>95</v>
      </c>
      <c r="B43" s="58" t="s">
        <v>93</v>
      </c>
      <c r="C43" s="58" t="s">
        <v>96</v>
      </c>
      <c r="D43" s="58"/>
      <c r="E43" s="58">
        <v>4000</v>
      </c>
      <c r="F43" s="126" t="s">
        <v>39</v>
      </c>
      <c r="G43" s="127">
        <v>0.00696</v>
      </c>
      <c r="H43" s="128" t="s">
        <v>40</v>
      </c>
      <c r="I43" s="62">
        <f t="shared" si="0"/>
        <v>27.84</v>
      </c>
      <c r="J43" s="58"/>
      <c r="K43" s="58"/>
      <c r="L43" s="151" t="s">
        <v>41</v>
      </c>
      <c r="M43" s="151" t="s">
        <v>41</v>
      </c>
      <c r="N43" s="151" t="s">
        <v>41</v>
      </c>
      <c r="O43" s="152">
        <v>0.012</v>
      </c>
    </row>
    <row r="44" ht="13.5" spans="1:15">
      <c r="A44" s="57" t="s">
        <v>97</v>
      </c>
      <c r="B44" s="58" t="s">
        <v>98</v>
      </c>
      <c r="C44" s="58" t="s">
        <v>99</v>
      </c>
      <c r="D44" s="58"/>
      <c r="E44" s="58">
        <v>30000</v>
      </c>
      <c r="F44" s="126" t="s">
        <v>39</v>
      </c>
      <c r="G44" s="127">
        <v>0.00822</v>
      </c>
      <c r="H44" s="128" t="s">
        <v>40</v>
      </c>
      <c r="I44" s="62">
        <f t="shared" si="0"/>
        <v>246.6</v>
      </c>
      <c r="J44" s="58"/>
      <c r="K44" s="58"/>
      <c r="L44" s="151" t="s">
        <v>41</v>
      </c>
      <c r="M44" s="151" t="s">
        <v>41</v>
      </c>
      <c r="N44" s="151" t="s">
        <v>41</v>
      </c>
      <c r="O44" s="152">
        <v>0.24</v>
      </c>
    </row>
    <row r="45" ht="13.5" spans="1:15">
      <c r="A45" s="57" t="s">
        <v>100</v>
      </c>
      <c r="B45" s="58" t="s">
        <v>98</v>
      </c>
      <c r="C45" s="58" t="s">
        <v>101</v>
      </c>
      <c r="D45" s="58"/>
      <c r="E45" s="58">
        <v>15000</v>
      </c>
      <c r="F45" s="126" t="s">
        <v>39</v>
      </c>
      <c r="G45" s="127">
        <v>0.00822</v>
      </c>
      <c r="H45" s="128" t="s">
        <v>40</v>
      </c>
      <c r="I45" s="62">
        <f t="shared" si="0"/>
        <v>123.3</v>
      </c>
      <c r="J45" s="58"/>
      <c r="K45" s="58"/>
      <c r="L45" s="151" t="s">
        <v>41</v>
      </c>
      <c r="M45" s="151" t="s">
        <v>41</v>
      </c>
      <c r="N45" s="151" t="s">
        <v>41</v>
      </c>
      <c r="O45" s="152">
        <v>0.12</v>
      </c>
    </row>
    <row r="46" ht="13.5" spans="1:15">
      <c r="A46" s="57" t="s">
        <v>102</v>
      </c>
      <c r="B46" s="58" t="s">
        <v>103</v>
      </c>
      <c r="C46" s="58" t="s">
        <v>104</v>
      </c>
      <c r="D46" s="58"/>
      <c r="E46" s="58">
        <v>20000</v>
      </c>
      <c r="F46" s="126" t="s">
        <v>39</v>
      </c>
      <c r="G46" s="127">
        <v>0.0027</v>
      </c>
      <c r="H46" s="128" t="s">
        <v>40</v>
      </c>
      <c r="I46" s="62">
        <f t="shared" si="0"/>
        <v>54</v>
      </c>
      <c r="J46" s="58"/>
      <c r="K46" s="58"/>
      <c r="L46" s="151" t="s">
        <v>41</v>
      </c>
      <c r="M46" s="151" t="s">
        <v>41</v>
      </c>
      <c r="N46" s="151" t="s">
        <v>41</v>
      </c>
      <c r="O46" s="152">
        <v>0.308</v>
      </c>
    </row>
    <row r="47" ht="13.5" spans="1:15">
      <c r="A47" s="57" t="s">
        <v>105</v>
      </c>
      <c r="B47" s="58" t="s">
        <v>106</v>
      </c>
      <c r="C47" s="58" t="s">
        <v>107</v>
      </c>
      <c r="D47" s="58"/>
      <c r="E47" s="58">
        <v>4000</v>
      </c>
      <c r="F47" s="126" t="s">
        <v>39</v>
      </c>
      <c r="G47" s="127">
        <v>0.001</v>
      </c>
      <c r="H47" s="128" t="s">
        <v>40</v>
      </c>
      <c r="I47" s="62">
        <f t="shared" si="0"/>
        <v>4</v>
      </c>
      <c r="J47" s="58"/>
      <c r="K47" s="58"/>
      <c r="L47" s="151" t="s">
        <v>41</v>
      </c>
      <c r="M47" s="151" t="s">
        <v>41</v>
      </c>
      <c r="N47" s="151" t="s">
        <v>41</v>
      </c>
      <c r="O47" s="152">
        <v>0.18</v>
      </c>
    </row>
    <row r="48" ht="13.5" spans="1:15">
      <c r="A48" s="57" t="s">
        <v>108</v>
      </c>
      <c r="B48" s="58" t="s">
        <v>109</v>
      </c>
      <c r="C48" s="58" t="s">
        <v>110</v>
      </c>
      <c r="D48" s="58"/>
      <c r="E48" s="58">
        <v>12000</v>
      </c>
      <c r="F48" s="126" t="s">
        <v>39</v>
      </c>
      <c r="G48" s="127">
        <v>0.001</v>
      </c>
      <c r="H48" s="128" t="s">
        <v>40</v>
      </c>
      <c r="I48" s="62">
        <f t="shared" si="0"/>
        <v>12</v>
      </c>
      <c r="J48" s="58"/>
      <c r="K48" s="58"/>
      <c r="L48" s="151" t="s">
        <v>41</v>
      </c>
      <c r="M48" s="151" t="s">
        <v>41</v>
      </c>
      <c r="N48" s="151" t="s">
        <v>41</v>
      </c>
      <c r="O48" s="152">
        <v>0.54</v>
      </c>
    </row>
    <row r="49" ht="13.5" spans="1:15">
      <c r="A49" s="57" t="s">
        <v>111</v>
      </c>
      <c r="B49" s="58" t="s">
        <v>109</v>
      </c>
      <c r="C49" s="58" t="s">
        <v>112</v>
      </c>
      <c r="D49" s="58"/>
      <c r="E49" s="58">
        <v>36000</v>
      </c>
      <c r="F49" s="126" t="s">
        <v>39</v>
      </c>
      <c r="G49" s="127">
        <v>0.001</v>
      </c>
      <c r="H49" s="128" t="s">
        <v>40</v>
      </c>
      <c r="I49" s="62">
        <f t="shared" si="0"/>
        <v>36</v>
      </c>
      <c r="J49" s="58"/>
      <c r="K49" s="58"/>
      <c r="L49" s="151" t="s">
        <v>41</v>
      </c>
      <c r="M49" s="151" t="s">
        <v>41</v>
      </c>
      <c r="N49" s="151" t="s">
        <v>41</v>
      </c>
      <c r="O49" s="152">
        <v>1.62</v>
      </c>
    </row>
    <row r="50" ht="13.5" spans="1:15">
      <c r="A50" s="57" t="s">
        <v>113</v>
      </c>
      <c r="B50" s="58" t="s">
        <v>109</v>
      </c>
      <c r="C50" s="58" t="s">
        <v>114</v>
      </c>
      <c r="D50" s="58"/>
      <c r="E50" s="58">
        <v>12000</v>
      </c>
      <c r="F50" s="126" t="s">
        <v>39</v>
      </c>
      <c r="G50" s="127">
        <v>0.001</v>
      </c>
      <c r="H50" s="128" t="s">
        <v>40</v>
      </c>
      <c r="I50" s="62">
        <f t="shared" si="0"/>
        <v>12</v>
      </c>
      <c r="J50" s="58"/>
      <c r="K50" s="58"/>
      <c r="L50" s="151" t="s">
        <v>41</v>
      </c>
      <c r="M50" s="151" t="s">
        <v>41</v>
      </c>
      <c r="N50" s="151" t="s">
        <v>41</v>
      </c>
      <c r="O50" s="152">
        <v>0.54</v>
      </c>
    </row>
    <row r="51" ht="13.5" spans="1:15">
      <c r="A51" s="57" t="s">
        <v>115</v>
      </c>
      <c r="B51" s="58" t="s">
        <v>116</v>
      </c>
      <c r="C51" s="58" t="s">
        <v>117</v>
      </c>
      <c r="D51" s="58"/>
      <c r="E51" s="58">
        <v>27000</v>
      </c>
      <c r="F51" s="126" t="s">
        <v>39</v>
      </c>
      <c r="G51" s="127">
        <v>0.0083</v>
      </c>
      <c r="H51" s="128" t="s">
        <v>40</v>
      </c>
      <c r="I51" s="62">
        <f t="shared" si="0"/>
        <v>224.1</v>
      </c>
      <c r="J51" s="58"/>
      <c r="K51" s="58"/>
      <c r="L51" s="151" t="s">
        <v>41</v>
      </c>
      <c r="M51" s="151" t="s">
        <v>41</v>
      </c>
      <c r="N51" s="151" t="s">
        <v>41</v>
      </c>
      <c r="O51" s="152">
        <v>1</v>
      </c>
    </row>
    <row r="52" ht="13.5" spans="1:15">
      <c r="A52" s="57" t="s">
        <v>118</v>
      </c>
      <c r="B52" s="58" t="s">
        <v>116</v>
      </c>
      <c r="C52" s="58" t="s">
        <v>119</v>
      </c>
      <c r="D52" s="58"/>
      <c r="E52" s="58">
        <v>48000</v>
      </c>
      <c r="F52" s="126" t="s">
        <v>39</v>
      </c>
      <c r="G52" s="127">
        <v>0.0083</v>
      </c>
      <c r="H52" s="128" t="s">
        <v>40</v>
      </c>
      <c r="I52" s="62">
        <f t="shared" si="0"/>
        <v>398.4</v>
      </c>
      <c r="J52" s="58"/>
      <c r="K52" s="58"/>
      <c r="L52" s="151" t="s">
        <v>41</v>
      </c>
      <c r="M52" s="151" t="s">
        <v>41</v>
      </c>
      <c r="N52" s="151" t="s">
        <v>41</v>
      </c>
      <c r="O52" s="152">
        <v>1.775</v>
      </c>
    </row>
    <row r="53" ht="13.5" spans="1:15">
      <c r="A53" s="57" t="s">
        <v>120</v>
      </c>
      <c r="B53" s="58" t="s">
        <v>121</v>
      </c>
      <c r="C53" s="58" t="s">
        <v>122</v>
      </c>
      <c r="D53" s="58"/>
      <c r="E53" s="58">
        <v>39000</v>
      </c>
      <c r="F53" s="126" t="s">
        <v>39</v>
      </c>
      <c r="G53" s="127">
        <v>0.0085</v>
      </c>
      <c r="H53" s="128" t="s">
        <v>40</v>
      </c>
      <c r="I53" s="62">
        <f t="shared" si="0"/>
        <v>331.5</v>
      </c>
      <c r="J53" s="58"/>
      <c r="K53" s="58"/>
      <c r="L53" s="151" t="s">
        <v>41</v>
      </c>
      <c r="M53" s="151" t="s">
        <v>41</v>
      </c>
      <c r="N53" s="151" t="s">
        <v>41</v>
      </c>
      <c r="O53" s="152">
        <v>1.919</v>
      </c>
    </row>
    <row r="54" ht="13.5" spans="1:15">
      <c r="A54" s="57" t="s">
        <v>123</v>
      </c>
      <c r="B54" s="58" t="s">
        <v>124</v>
      </c>
      <c r="C54" s="58" t="s">
        <v>125</v>
      </c>
      <c r="D54" s="58"/>
      <c r="E54" s="58">
        <v>33000</v>
      </c>
      <c r="F54" s="126" t="s">
        <v>39</v>
      </c>
      <c r="G54" s="127">
        <v>0.0085</v>
      </c>
      <c r="H54" s="128" t="s">
        <v>40</v>
      </c>
      <c r="I54" s="62">
        <f t="shared" si="0"/>
        <v>280.5</v>
      </c>
      <c r="J54" s="58"/>
      <c r="K54" s="58"/>
      <c r="L54" s="151" t="s">
        <v>41</v>
      </c>
      <c r="M54" s="151" t="s">
        <v>41</v>
      </c>
      <c r="N54" s="151" t="s">
        <v>41</v>
      </c>
      <c r="O54" s="152">
        <v>1.623</v>
      </c>
    </row>
    <row r="55" ht="13.5" spans="1:15">
      <c r="A55" s="57" t="s">
        <v>126</v>
      </c>
      <c r="B55" s="58" t="s">
        <v>37</v>
      </c>
      <c r="C55" s="58" t="s">
        <v>127</v>
      </c>
      <c r="D55" s="58"/>
      <c r="E55" s="58">
        <v>27000</v>
      </c>
      <c r="F55" s="126" t="s">
        <v>39</v>
      </c>
      <c r="G55" s="127">
        <v>0.0085</v>
      </c>
      <c r="H55" s="128" t="s">
        <v>40</v>
      </c>
      <c r="I55" s="62">
        <f t="shared" si="0"/>
        <v>229.5</v>
      </c>
      <c r="J55" s="58"/>
      <c r="K55" s="58"/>
      <c r="L55" s="151" t="s">
        <v>41</v>
      </c>
      <c r="M55" s="151" t="s">
        <v>41</v>
      </c>
      <c r="N55" s="151" t="s">
        <v>41</v>
      </c>
      <c r="O55" s="152">
        <v>1.329</v>
      </c>
    </row>
    <row r="56" ht="13.5" spans="1:15">
      <c r="A56" s="57" t="s">
        <v>128</v>
      </c>
      <c r="B56" s="58" t="s">
        <v>129</v>
      </c>
      <c r="C56" s="58" t="s">
        <v>130</v>
      </c>
      <c r="D56" s="58"/>
      <c r="E56" s="58">
        <v>30000</v>
      </c>
      <c r="F56" s="126" t="s">
        <v>39</v>
      </c>
      <c r="G56" s="127">
        <v>0.0085</v>
      </c>
      <c r="H56" s="128" t="s">
        <v>40</v>
      </c>
      <c r="I56" s="62">
        <f t="shared" si="0"/>
        <v>255</v>
      </c>
      <c r="J56" s="58"/>
      <c r="K56" s="58"/>
      <c r="L56" s="151" t="s">
        <v>41</v>
      </c>
      <c r="M56" s="151" t="s">
        <v>41</v>
      </c>
      <c r="N56" s="151" t="s">
        <v>41</v>
      </c>
      <c r="O56" s="152">
        <v>1.477</v>
      </c>
    </row>
    <row r="57" ht="13.5" spans="1:15">
      <c r="A57" s="57" t="s">
        <v>131</v>
      </c>
      <c r="B57" s="58" t="s">
        <v>129</v>
      </c>
      <c r="C57" s="58" t="s">
        <v>132</v>
      </c>
      <c r="D57" s="58"/>
      <c r="E57" s="58">
        <v>9000</v>
      </c>
      <c r="F57" s="126" t="s">
        <v>39</v>
      </c>
      <c r="G57" s="127">
        <v>0.0085</v>
      </c>
      <c r="H57" s="128" t="s">
        <v>40</v>
      </c>
      <c r="I57" s="62">
        <f t="shared" si="0"/>
        <v>76.5</v>
      </c>
      <c r="J57" s="58"/>
      <c r="K57" s="58"/>
      <c r="L57" s="151" t="s">
        <v>41</v>
      </c>
      <c r="M57" s="151" t="s">
        <v>41</v>
      </c>
      <c r="N57" s="151" t="s">
        <v>41</v>
      </c>
      <c r="O57" s="152">
        <v>0.442</v>
      </c>
    </row>
    <row r="58" spans="1:15">
      <c r="A58" s="129"/>
      <c r="B58" s="130"/>
      <c r="C58" s="130"/>
      <c r="D58" s="130"/>
      <c r="E58" s="130"/>
      <c r="F58" s="130"/>
      <c r="G58" s="130"/>
      <c r="H58" s="130"/>
      <c r="I58" s="130"/>
      <c r="J58" s="153"/>
      <c r="K58" s="153"/>
      <c r="L58" s="153"/>
      <c r="M58" s="153"/>
      <c r="N58" s="153"/>
      <c r="O58" s="154"/>
    </row>
    <row r="59" ht="13.5" spans="1:15">
      <c r="A59" s="131"/>
      <c r="B59" s="132"/>
      <c r="C59" s="133" t="s">
        <v>133</v>
      </c>
      <c r="D59" s="133"/>
      <c r="E59" s="134">
        <f>SUM(E20:E58)</f>
        <v>634000</v>
      </c>
      <c r="F59" s="135"/>
      <c r="G59" s="136"/>
      <c r="H59" s="136"/>
      <c r="I59" s="155">
        <f>SUM(I20:I58)</f>
        <v>4811.38</v>
      </c>
      <c r="J59" s="156"/>
      <c r="K59" s="156"/>
      <c r="L59" s="156"/>
      <c r="M59" s="156"/>
      <c r="N59" s="156"/>
      <c r="O59" s="157">
        <f>SUM(O20:O58)</f>
        <v>14.699</v>
      </c>
    </row>
  </sheetData>
  <mergeCells count="9">
    <mergeCell ref="A1:O1"/>
    <mergeCell ref="E9:I9"/>
    <mergeCell ref="A13:D13"/>
    <mergeCell ref="A15:B15"/>
    <mergeCell ref="C15:D15"/>
    <mergeCell ref="C18:D18"/>
    <mergeCell ref="C59:D59"/>
    <mergeCell ref="A4:D5"/>
    <mergeCell ref="A9:D10"/>
  </mergeCells>
  <pageMargins left="0.75" right="0.75" top="1" bottom="1" header="0.5" footer="0.5"/>
  <pageSetup paperSize="9" scale="65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J66"/>
  <sheetViews>
    <sheetView topLeftCell="A15" workbookViewId="0">
      <selection activeCell="N15" sqref="N15"/>
    </sheetView>
  </sheetViews>
  <sheetFormatPr defaultColWidth="9" defaultRowHeight="13.5"/>
  <cols>
    <col min="1" max="1" width="9" style="1"/>
    <col min="2" max="2" width="15.7083333333333" style="1" customWidth="1"/>
    <col min="3" max="3" width="14.2833333333333" style="1" customWidth="1"/>
    <col min="4" max="5" width="9" style="1"/>
    <col min="6" max="6" width="10.425" style="1" customWidth="1"/>
    <col min="7" max="9" width="9" style="1"/>
    <col min="10" max="10" width="13.425" style="1" customWidth="1"/>
    <col min="11" max="16384" width="9" style="1"/>
  </cols>
  <sheetData>
    <row r="1" spans="1:10">
      <c r="A1" s="2" t="s">
        <v>134</v>
      </c>
      <c r="B1" s="3"/>
      <c r="C1" s="3"/>
      <c r="D1" s="3"/>
      <c r="E1" s="3"/>
      <c r="F1" s="3"/>
      <c r="G1" s="3"/>
      <c r="H1" s="3"/>
      <c r="I1" s="3"/>
      <c r="J1" s="76"/>
    </row>
    <row r="2" spans="1:10">
      <c r="A2" s="4"/>
      <c r="B2" s="5"/>
      <c r="C2" s="5"/>
      <c r="D2" s="5"/>
      <c r="E2" s="5"/>
      <c r="F2" s="5"/>
      <c r="G2" s="5"/>
      <c r="H2" s="5"/>
      <c r="I2" s="5"/>
      <c r="J2" s="77"/>
    </row>
    <row r="3" spans="1:10">
      <c r="A3" s="6" t="s">
        <v>1</v>
      </c>
      <c r="B3" s="7"/>
      <c r="C3" s="8"/>
      <c r="D3" s="8"/>
      <c r="E3" s="9"/>
      <c r="F3" s="7" t="s">
        <v>135</v>
      </c>
      <c r="G3" s="8"/>
      <c r="H3" s="8"/>
      <c r="I3" s="8"/>
      <c r="J3" s="78"/>
    </row>
    <row r="4" spans="1:10">
      <c r="A4" s="10" t="s">
        <v>3</v>
      </c>
      <c r="B4" s="11"/>
      <c r="C4" s="8"/>
      <c r="D4" s="8"/>
      <c r="E4" s="12"/>
      <c r="F4" s="13" t="str">
        <f>INVOICE!E3</f>
        <v>910245525, 910245527, 910245524</v>
      </c>
      <c r="G4" s="8"/>
      <c r="H4" s="8"/>
      <c r="I4" s="8"/>
      <c r="J4" s="78"/>
    </row>
    <row r="5" ht="17.25" customHeight="1" spans="1:10">
      <c r="A5" s="14" t="s">
        <v>5</v>
      </c>
      <c r="B5" s="15"/>
      <c r="C5" s="15"/>
      <c r="D5" s="15"/>
      <c r="E5" s="16"/>
      <c r="F5" s="17">
        <f>INVOICE!E4</f>
        <v>45884</v>
      </c>
      <c r="G5" s="8"/>
      <c r="H5" s="8"/>
      <c r="I5" s="8"/>
      <c r="J5" s="78"/>
    </row>
    <row r="6" ht="17.25" customHeight="1" spans="1:10">
      <c r="A6" s="14"/>
      <c r="B6" s="15"/>
      <c r="C6" s="15"/>
      <c r="D6" s="15"/>
      <c r="E6" s="16"/>
      <c r="F6" s="18"/>
      <c r="G6" s="8"/>
      <c r="H6" s="8"/>
      <c r="I6" s="8"/>
      <c r="J6" s="78"/>
    </row>
    <row r="7" ht="17.25" customHeight="1" spans="1:10">
      <c r="A7" s="19"/>
      <c r="B7" s="20"/>
      <c r="C7" s="20"/>
      <c r="D7" s="20"/>
      <c r="E7" s="21"/>
      <c r="F7" s="22"/>
      <c r="G7" s="23"/>
      <c r="H7" s="23"/>
      <c r="I7" s="23"/>
      <c r="J7" s="35"/>
    </row>
    <row r="8" spans="1:10">
      <c r="A8" s="24" t="s">
        <v>6</v>
      </c>
      <c r="B8" s="25"/>
      <c r="C8" s="26"/>
      <c r="D8" s="26"/>
      <c r="E8" s="27"/>
      <c r="F8" s="25" t="s">
        <v>136</v>
      </c>
      <c r="G8" s="8"/>
      <c r="H8" s="8"/>
      <c r="I8" s="8"/>
      <c r="J8" s="78"/>
    </row>
    <row r="9" spans="1:10">
      <c r="A9" s="28" t="s">
        <v>8</v>
      </c>
      <c r="B9" s="11"/>
      <c r="C9" s="8"/>
      <c r="D9" s="8"/>
      <c r="E9" s="12"/>
      <c r="F9" s="7"/>
      <c r="G9" s="29"/>
      <c r="H9" s="29"/>
      <c r="I9" s="29"/>
      <c r="J9" s="78"/>
    </row>
    <row r="10" spans="1:10">
      <c r="A10" s="30" t="s">
        <v>10</v>
      </c>
      <c r="B10" s="31"/>
      <c r="C10" s="31"/>
      <c r="D10" s="31"/>
      <c r="E10" s="32"/>
      <c r="F10" s="7"/>
      <c r="G10" s="8"/>
      <c r="H10" s="8"/>
      <c r="I10" s="29"/>
      <c r="J10" s="78"/>
    </row>
    <row r="11" spans="1:10">
      <c r="A11" s="30"/>
      <c r="B11" s="31"/>
      <c r="C11" s="31"/>
      <c r="D11" s="31"/>
      <c r="E11" s="32"/>
      <c r="F11" s="7"/>
      <c r="G11" s="8"/>
      <c r="H11" s="8"/>
      <c r="I11" s="29"/>
      <c r="J11" s="78"/>
    </row>
    <row r="12" spans="1:10">
      <c r="A12" s="33"/>
      <c r="B12" s="34"/>
      <c r="C12" s="23"/>
      <c r="D12" s="23"/>
      <c r="E12" s="35"/>
      <c r="F12" s="8"/>
      <c r="G12" s="36"/>
      <c r="H12" s="36"/>
      <c r="I12" s="8"/>
      <c r="J12" s="78"/>
    </row>
    <row r="13" ht="16.5" spans="1:10">
      <c r="A13" s="24" t="s">
        <v>11</v>
      </c>
      <c r="B13" s="7"/>
      <c r="C13" s="8"/>
      <c r="D13" s="8"/>
      <c r="E13" s="12"/>
      <c r="F13" s="37"/>
      <c r="G13" s="38"/>
      <c r="H13" s="8"/>
      <c r="I13" s="8"/>
      <c r="J13" s="78"/>
    </row>
    <row r="14" ht="16.5" spans="1:10">
      <c r="A14" s="28" t="s">
        <v>8</v>
      </c>
      <c r="B14" s="11"/>
      <c r="C14" s="11"/>
      <c r="D14" s="11"/>
      <c r="E14" s="12"/>
      <c r="F14" s="37"/>
      <c r="G14" s="38"/>
      <c r="H14" s="8"/>
      <c r="I14" s="8"/>
      <c r="J14" s="78"/>
    </row>
    <row r="15" spans="1:10">
      <c r="A15" s="39" t="s">
        <v>137</v>
      </c>
      <c r="B15" s="11"/>
      <c r="C15" s="8"/>
      <c r="D15" s="8"/>
      <c r="E15" s="40"/>
      <c r="F15" s="8"/>
      <c r="G15" s="8"/>
      <c r="H15" s="8"/>
      <c r="I15" s="8"/>
      <c r="J15" s="78"/>
    </row>
    <row r="16" spans="1:10">
      <c r="A16" s="22" t="s">
        <v>138</v>
      </c>
      <c r="B16" s="23"/>
      <c r="C16" s="23"/>
      <c r="D16" s="23"/>
      <c r="E16" s="35"/>
      <c r="F16" s="41"/>
      <c r="G16" s="41"/>
      <c r="H16" s="42"/>
      <c r="I16" s="79"/>
      <c r="J16" s="78"/>
    </row>
    <row r="17" spans="1:10">
      <c r="A17" s="43" t="s">
        <v>139</v>
      </c>
      <c r="B17" s="25"/>
      <c r="C17" s="44"/>
      <c r="D17" s="25" t="s">
        <v>140</v>
      </c>
      <c r="E17" s="45"/>
      <c r="F17" s="41"/>
      <c r="G17" s="41"/>
      <c r="H17" s="46"/>
      <c r="I17" s="8"/>
      <c r="J17" s="78"/>
    </row>
    <row r="18" spans="1:10">
      <c r="A18" s="47"/>
      <c r="B18" s="48"/>
      <c r="C18" s="49"/>
      <c r="D18" s="47"/>
      <c r="E18" s="49"/>
      <c r="F18" s="41"/>
      <c r="G18" s="41"/>
      <c r="H18" s="46"/>
      <c r="I18" s="8"/>
      <c r="J18" s="78"/>
    </row>
    <row r="19" spans="1:10">
      <c r="A19" s="43" t="s">
        <v>17</v>
      </c>
      <c r="B19" s="7"/>
      <c r="C19" s="9"/>
      <c r="D19" s="25" t="s">
        <v>18</v>
      </c>
      <c r="E19" s="50"/>
      <c r="F19" s="8"/>
      <c r="G19" s="8"/>
      <c r="H19" s="8"/>
      <c r="I19" s="8"/>
      <c r="J19" s="78"/>
    </row>
    <row r="20" spans="1:10">
      <c r="A20" s="47"/>
      <c r="B20" s="48"/>
      <c r="C20" s="49"/>
      <c r="D20" s="51"/>
      <c r="E20" s="52"/>
      <c r="F20" s="23"/>
      <c r="G20" s="23"/>
      <c r="H20" s="23"/>
      <c r="I20" s="23"/>
      <c r="J20" s="78"/>
    </row>
    <row r="21" spans="1:10">
      <c r="A21" s="53" t="s">
        <v>141</v>
      </c>
      <c r="B21" s="54" t="s">
        <v>23</v>
      </c>
      <c r="C21" s="54" t="s">
        <v>22</v>
      </c>
      <c r="D21" s="54" t="s">
        <v>24</v>
      </c>
      <c r="E21" s="54"/>
      <c r="F21" s="55" t="s">
        <v>25</v>
      </c>
      <c r="G21" s="55" t="s">
        <v>26</v>
      </c>
      <c r="H21" s="56" t="s">
        <v>142</v>
      </c>
      <c r="I21" s="56" t="s">
        <v>143</v>
      </c>
      <c r="J21" s="80" t="s">
        <v>144</v>
      </c>
    </row>
    <row r="22" spans="1:10">
      <c r="A22" s="53"/>
      <c r="B22" s="54"/>
      <c r="C22" s="54"/>
      <c r="D22" s="54"/>
      <c r="E22" s="54"/>
      <c r="F22" s="55"/>
      <c r="G22" s="55"/>
      <c r="H22" s="56" t="s">
        <v>145</v>
      </c>
      <c r="I22" s="56" t="s">
        <v>145</v>
      </c>
      <c r="J22" s="81"/>
    </row>
    <row r="23" spans="1:10">
      <c r="A23" s="57" t="s">
        <v>36</v>
      </c>
      <c r="B23" s="58" t="str">
        <f>INVOICE!C20</f>
        <v>2250600998-12.1</v>
      </c>
      <c r="C23" s="58" t="str">
        <f>INVOICE!B20</f>
        <v>3601550ZIQ</v>
      </c>
      <c r="D23" s="59"/>
      <c r="E23" s="59"/>
      <c r="F23" s="60">
        <f>INVOICE!E20</f>
        <v>9000</v>
      </c>
      <c r="G23" s="61" t="s">
        <v>39</v>
      </c>
      <c r="H23" s="62">
        <f>INVOICE!O20</f>
        <v>0.221</v>
      </c>
      <c r="I23" s="62">
        <v>1.193</v>
      </c>
      <c r="J23" s="82" t="s">
        <v>146</v>
      </c>
    </row>
    <row r="24" spans="1:10">
      <c r="A24" s="57" t="s">
        <v>42</v>
      </c>
      <c r="B24" s="58" t="str">
        <f>INVOICE!C21</f>
        <v>2250703108-2.1</v>
      </c>
      <c r="C24" s="58" t="str">
        <f>INVOICE!B21</f>
        <v>55214113WS0</v>
      </c>
      <c r="D24" s="59"/>
      <c r="E24" s="59"/>
      <c r="F24" s="60">
        <f>INVOICE!E21</f>
        <v>3000</v>
      </c>
      <c r="G24" s="61" t="s">
        <v>39</v>
      </c>
      <c r="H24" s="62">
        <f>INVOICE!O21</f>
        <v>0.015</v>
      </c>
      <c r="I24" s="62">
        <v>0.835</v>
      </c>
      <c r="J24" s="82" t="s">
        <v>146</v>
      </c>
    </row>
    <row r="25" spans="1:10">
      <c r="A25" s="57" t="s">
        <v>45</v>
      </c>
      <c r="B25" s="58" t="str">
        <f>INVOICE!C22</f>
        <v>2250301682-5.1</v>
      </c>
      <c r="C25" s="58" t="str">
        <f>INVOICE!B22</f>
        <v>55216086WS0</v>
      </c>
      <c r="D25" s="59"/>
      <c r="E25" s="59"/>
      <c r="F25" s="60">
        <f>INVOICE!E22</f>
        <v>8000</v>
      </c>
      <c r="G25" s="61" t="s">
        <v>39</v>
      </c>
      <c r="H25" s="62">
        <f>INVOICE!O22</f>
        <v>0.038</v>
      </c>
      <c r="I25" s="62">
        <v>1.014</v>
      </c>
      <c r="J25" s="82" t="s">
        <v>146</v>
      </c>
    </row>
    <row r="26" spans="1:10">
      <c r="A26" s="57" t="s">
        <v>48</v>
      </c>
      <c r="B26" s="58" t="str">
        <f>INVOICE!C23</f>
        <v>2250500875-1.1</v>
      </c>
      <c r="C26" s="58" t="str">
        <f>INVOICE!B23</f>
        <v>5521608HWS0</v>
      </c>
      <c r="D26" s="59"/>
      <c r="E26" s="59"/>
      <c r="F26" s="60">
        <f>INVOICE!E23</f>
        <v>36000</v>
      </c>
      <c r="G26" s="61" t="s">
        <v>39</v>
      </c>
      <c r="H26" s="62">
        <f>INVOICE!O23</f>
        <v>0.188</v>
      </c>
      <c r="I26" s="62">
        <v>1.474</v>
      </c>
      <c r="J26" s="82" t="s">
        <v>146</v>
      </c>
    </row>
    <row r="27" spans="1:10">
      <c r="A27" s="57" t="s">
        <v>51</v>
      </c>
      <c r="B27" s="58" t="str">
        <f>INVOICE!C24</f>
        <v>2250500274-4.1</v>
      </c>
      <c r="C27" s="58" t="str">
        <f>INVOICE!B24</f>
        <v>5521608HWS0</v>
      </c>
      <c r="D27" s="59"/>
      <c r="E27" s="59"/>
      <c r="F27" s="60">
        <f>INVOICE!E24</f>
        <v>4000</v>
      </c>
      <c r="G27" s="61" t="s">
        <v>39</v>
      </c>
      <c r="H27" s="62">
        <f>INVOICE!O24</f>
        <v>0.021</v>
      </c>
      <c r="I27" s="62">
        <v>0.164</v>
      </c>
      <c r="J27" s="82" t="s">
        <v>146</v>
      </c>
    </row>
    <row r="28" spans="1:10">
      <c r="A28" s="57" t="s">
        <v>53</v>
      </c>
      <c r="B28" s="58" t="str">
        <f>INVOICE!C25</f>
        <v>2250402947-2.1</v>
      </c>
      <c r="C28" s="58" t="str">
        <f>INVOICE!B25</f>
        <v>5521608HWS0</v>
      </c>
      <c r="D28" s="59"/>
      <c r="E28" s="59"/>
      <c r="F28" s="60">
        <f>INVOICE!E25</f>
        <v>28000</v>
      </c>
      <c r="G28" s="61" t="s">
        <v>39</v>
      </c>
      <c r="H28" s="62">
        <f>INVOICE!O25</f>
        <v>0.146</v>
      </c>
      <c r="I28" s="62">
        <v>1.146</v>
      </c>
      <c r="J28" s="82" t="s">
        <v>146</v>
      </c>
    </row>
    <row r="29" spans="1:10">
      <c r="A29" s="57" t="s">
        <v>55</v>
      </c>
      <c r="B29" s="58" t="str">
        <f>INVOICE!C26</f>
        <v>2250402037-12.1</v>
      </c>
      <c r="C29" s="58" t="str">
        <f>INVOICE!B26</f>
        <v>5521608HWS0</v>
      </c>
      <c r="D29" s="59"/>
      <c r="E29" s="59"/>
      <c r="F29" s="60">
        <f>INVOICE!E26</f>
        <v>8000</v>
      </c>
      <c r="G29" s="61" t="s">
        <v>39</v>
      </c>
      <c r="H29" s="62">
        <f>INVOICE!O26</f>
        <v>0.042</v>
      </c>
      <c r="I29" s="62">
        <v>0.328</v>
      </c>
      <c r="J29" s="82" t="s">
        <v>146</v>
      </c>
    </row>
    <row r="30" spans="1:10">
      <c r="A30" s="57" t="s">
        <v>57</v>
      </c>
      <c r="B30" s="58" t="str">
        <f>INVOICE!C27</f>
        <v>2250403348-3.1</v>
      </c>
      <c r="C30" s="58" t="str">
        <f>INVOICE!B27</f>
        <v>5521608HWS0</v>
      </c>
      <c r="D30" s="59"/>
      <c r="E30" s="59"/>
      <c r="F30" s="60">
        <f>INVOICE!E27</f>
        <v>4000</v>
      </c>
      <c r="G30" s="61" t="s">
        <v>39</v>
      </c>
      <c r="H30" s="62">
        <f>INVOICE!O27</f>
        <v>0.021</v>
      </c>
      <c r="I30" s="62">
        <v>0.164</v>
      </c>
      <c r="J30" s="82" t="s">
        <v>146</v>
      </c>
    </row>
    <row r="31" spans="1:10">
      <c r="A31" s="57" t="s">
        <v>59</v>
      </c>
      <c r="B31" s="58" t="str">
        <f>INVOICE!C28</f>
        <v>2250402947-2.1</v>
      </c>
      <c r="C31" s="58" t="str">
        <f>INVOICE!B28</f>
        <v>5521608HWS0</v>
      </c>
      <c r="D31" s="59"/>
      <c r="E31" s="59"/>
      <c r="F31" s="60">
        <f>INVOICE!E28</f>
        <v>28000</v>
      </c>
      <c r="G31" s="61" t="s">
        <v>39</v>
      </c>
      <c r="H31" s="62">
        <f>INVOICE!O28</f>
        <v>0.146</v>
      </c>
      <c r="I31" s="62">
        <v>1.146</v>
      </c>
      <c r="J31" s="82" t="s">
        <v>146</v>
      </c>
    </row>
    <row r="32" spans="1:10">
      <c r="A32" s="57" t="s">
        <v>60</v>
      </c>
      <c r="B32" s="58" t="str">
        <f>INVOICE!C29</f>
        <v>2250703591-1.1</v>
      </c>
      <c r="C32" s="58" t="str">
        <f>INVOICE!B29</f>
        <v>55225200WS0</v>
      </c>
      <c r="D32" s="59"/>
      <c r="E32" s="59"/>
      <c r="F32" s="60">
        <f>INVOICE!E29</f>
        <v>6000</v>
      </c>
      <c r="G32" s="61" t="s">
        <v>39</v>
      </c>
      <c r="H32" s="62">
        <f>INVOICE!O29</f>
        <v>0.086</v>
      </c>
      <c r="I32" s="62">
        <v>0.452</v>
      </c>
      <c r="J32" s="82" t="s">
        <v>146</v>
      </c>
    </row>
    <row r="33" spans="1:10">
      <c r="A33" s="57" t="s">
        <v>63</v>
      </c>
      <c r="B33" s="58" t="str">
        <f>INVOICE!C30</f>
        <v>2250702472-1.3</v>
      </c>
      <c r="C33" s="58" t="str">
        <f>INVOICE!B30</f>
        <v>55225200WS0</v>
      </c>
      <c r="D33" s="59"/>
      <c r="E33" s="59"/>
      <c r="F33" s="60">
        <f>INVOICE!E30</f>
        <v>2000</v>
      </c>
      <c r="G33" s="61" t="s">
        <v>39</v>
      </c>
      <c r="H33" s="62">
        <f>INVOICE!O30</f>
        <v>0.029</v>
      </c>
      <c r="I33" s="62">
        <v>0.151</v>
      </c>
      <c r="J33" s="82" t="s">
        <v>146</v>
      </c>
    </row>
    <row r="34" spans="1:10">
      <c r="A34" s="57" t="s">
        <v>65</v>
      </c>
      <c r="B34" s="58" t="str">
        <f>INVOICE!C31</f>
        <v>2250702472-1.2</v>
      </c>
      <c r="C34" s="58" t="str">
        <f>INVOICE!B31</f>
        <v>55225200WS0</v>
      </c>
      <c r="D34" s="59"/>
      <c r="E34" s="59"/>
      <c r="F34" s="60">
        <f>INVOICE!E31</f>
        <v>6000</v>
      </c>
      <c r="G34" s="61" t="s">
        <v>39</v>
      </c>
      <c r="H34" s="62">
        <f>INVOICE!O31</f>
        <v>0.086</v>
      </c>
      <c r="I34" s="62">
        <v>0.452</v>
      </c>
      <c r="J34" s="82" t="s">
        <v>146</v>
      </c>
    </row>
    <row r="35" spans="1:10">
      <c r="A35" s="57" t="s">
        <v>67</v>
      </c>
      <c r="B35" s="58" t="str">
        <f>INVOICE!C32</f>
        <v>2250702472-1.1</v>
      </c>
      <c r="C35" s="58" t="str">
        <f>INVOICE!B32</f>
        <v>55225200WS0</v>
      </c>
      <c r="D35" s="59"/>
      <c r="E35" s="59"/>
      <c r="F35" s="60">
        <f>INVOICE!E32</f>
        <v>10000</v>
      </c>
      <c r="G35" s="61" t="s">
        <v>39</v>
      </c>
      <c r="H35" s="62">
        <f>INVOICE!O32</f>
        <v>0.144</v>
      </c>
      <c r="I35" s="62">
        <v>0.753</v>
      </c>
      <c r="J35" s="82" t="s">
        <v>146</v>
      </c>
    </row>
    <row r="36" spans="1:10">
      <c r="A36" s="57" t="s">
        <v>69</v>
      </c>
      <c r="B36" s="58" t="str">
        <f>INVOICE!C33</f>
        <v>2250401252-6.1</v>
      </c>
      <c r="C36" s="58" t="str">
        <f>INVOICE!B33</f>
        <v>55216061WS0</v>
      </c>
      <c r="D36" s="59"/>
      <c r="E36" s="59"/>
      <c r="F36" s="60">
        <f>INVOICE!E33</f>
        <v>12000</v>
      </c>
      <c r="G36" s="61" t="s">
        <v>39</v>
      </c>
      <c r="H36" s="62">
        <f>INVOICE!O33</f>
        <v>0.032</v>
      </c>
      <c r="I36" s="62">
        <v>0.654</v>
      </c>
      <c r="J36" s="82" t="s">
        <v>146</v>
      </c>
    </row>
    <row r="37" spans="1:10">
      <c r="A37" s="57" t="s">
        <v>72</v>
      </c>
      <c r="B37" s="58" t="str">
        <f>INVOICE!C34</f>
        <v>2250401591-3.1</v>
      </c>
      <c r="C37" s="58" t="str">
        <f>INVOICE!B34</f>
        <v>55216061WS0</v>
      </c>
      <c r="D37" s="59"/>
      <c r="E37" s="59"/>
      <c r="F37" s="60">
        <f>INVOICE!E34</f>
        <v>4000</v>
      </c>
      <c r="G37" s="61" t="s">
        <v>39</v>
      </c>
      <c r="H37" s="62">
        <f>INVOICE!O34</f>
        <v>0.011</v>
      </c>
      <c r="I37" s="62">
        <v>0.218</v>
      </c>
      <c r="J37" s="82" t="s">
        <v>146</v>
      </c>
    </row>
    <row r="38" spans="1:10">
      <c r="A38" s="57" t="s">
        <v>74</v>
      </c>
      <c r="B38" s="58" t="str">
        <f>INVOICE!C35</f>
        <v>2250402037-9.1</v>
      </c>
      <c r="C38" s="58" t="str">
        <f>INVOICE!B35</f>
        <v>55216061WS0</v>
      </c>
      <c r="D38" s="59"/>
      <c r="E38" s="59"/>
      <c r="F38" s="60">
        <f>INVOICE!E35</f>
        <v>12000</v>
      </c>
      <c r="G38" s="61" t="s">
        <v>39</v>
      </c>
      <c r="H38" s="62">
        <f>INVOICE!O35</f>
        <v>0.032</v>
      </c>
      <c r="I38" s="62">
        <v>0.654</v>
      </c>
      <c r="J38" s="82" t="s">
        <v>146</v>
      </c>
    </row>
    <row r="39" spans="1:10">
      <c r="A39" s="57" t="s">
        <v>76</v>
      </c>
      <c r="B39" s="58" t="str">
        <f>INVOICE!C36</f>
        <v>2250402037-10.1</v>
      </c>
      <c r="C39" s="58" t="str">
        <f>INVOICE!B36</f>
        <v>55216061WS0</v>
      </c>
      <c r="D39" s="59"/>
      <c r="E39" s="59"/>
      <c r="F39" s="60">
        <f>INVOICE!E36</f>
        <v>4000</v>
      </c>
      <c r="G39" s="61" t="s">
        <v>39</v>
      </c>
      <c r="H39" s="62">
        <f>INVOICE!O36</f>
        <v>0.011</v>
      </c>
      <c r="I39" s="62">
        <v>0.218</v>
      </c>
      <c r="J39" s="82" t="s">
        <v>146</v>
      </c>
    </row>
    <row r="40" spans="1:10">
      <c r="A40" s="57" t="s">
        <v>78</v>
      </c>
      <c r="B40" s="58" t="str">
        <f>INVOICE!C37</f>
        <v>2250500978-2.1</v>
      </c>
      <c r="C40" s="58" t="str">
        <f>INVOICE!B37</f>
        <v>55216062WS0</v>
      </c>
      <c r="D40" s="59"/>
      <c r="E40" s="59"/>
      <c r="F40" s="60">
        <f>INVOICE!E37</f>
        <v>36000</v>
      </c>
      <c r="G40" s="61" t="s">
        <v>39</v>
      </c>
      <c r="H40" s="62">
        <f>INVOICE!O37</f>
        <v>0.097</v>
      </c>
      <c r="I40" s="62">
        <v>1.869</v>
      </c>
      <c r="J40" s="82" t="s">
        <v>146</v>
      </c>
    </row>
    <row r="41" spans="1:10">
      <c r="A41" s="57" t="s">
        <v>81</v>
      </c>
      <c r="B41" s="58" t="str">
        <f>INVOICE!C38</f>
        <v>2250800230-2.1</v>
      </c>
      <c r="C41" s="58" t="str">
        <f>INVOICE!B38</f>
        <v>55216068WS0</v>
      </c>
      <c r="D41" s="59"/>
      <c r="E41" s="59"/>
      <c r="F41" s="60">
        <f>INVOICE!E38</f>
        <v>4000</v>
      </c>
      <c r="G41" s="61" t="s">
        <v>39</v>
      </c>
      <c r="H41" s="62">
        <f>INVOICE!O38</f>
        <v>0.034</v>
      </c>
      <c r="I41" s="62">
        <v>0.914</v>
      </c>
      <c r="J41" s="82" t="s">
        <v>146</v>
      </c>
    </row>
    <row r="42" spans="1:10">
      <c r="A42" s="57" t="s">
        <v>84</v>
      </c>
      <c r="B42" s="58" t="str">
        <f>INVOICE!C39</f>
        <v>2250103096-9.1</v>
      </c>
      <c r="C42" s="58" t="str">
        <f>INVOICE!B39</f>
        <v>55216089WS0</v>
      </c>
      <c r="D42" s="59"/>
      <c r="E42" s="59"/>
      <c r="F42" s="60">
        <f>INVOICE!E39</f>
        <v>8000</v>
      </c>
      <c r="G42" s="61" t="s">
        <v>39</v>
      </c>
      <c r="H42" s="62">
        <f>INVOICE!O39</f>
        <v>0.021</v>
      </c>
      <c r="I42" s="62">
        <v>0.385</v>
      </c>
      <c r="J42" s="82" t="s">
        <v>146</v>
      </c>
    </row>
    <row r="43" spans="1:10">
      <c r="A43" s="57" t="s">
        <v>87</v>
      </c>
      <c r="B43" s="58" t="str">
        <f>INVOICE!C40</f>
        <v>2250201936-12.1</v>
      </c>
      <c r="C43" s="58" t="str">
        <f>INVOICE!B40</f>
        <v>55216089WS0</v>
      </c>
      <c r="D43" s="59"/>
      <c r="E43" s="59"/>
      <c r="F43" s="60">
        <f>INVOICE!E40</f>
        <v>36000</v>
      </c>
      <c r="G43" s="61" t="s">
        <v>39</v>
      </c>
      <c r="H43" s="62">
        <f>INVOICE!O40</f>
        <v>0.096</v>
      </c>
      <c r="I43" s="62">
        <v>1.733</v>
      </c>
      <c r="J43" s="82" t="s">
        <v>146</v>
      </c>
    </row>
    <row r="44" spans="1:10">
      <c r="A44" s="57" t="s">
        <v>89</v>
      </c>
      <c r="B44" s="58" t="str">
        <f>INVOICE!C41</f>
        <v>2250501204-1.3</v>
      </c>
      <c r="C44" s="58" t="str">
        <f>INVOICE!B41</f>
        <v>552000F0WS0</v>
      </c>
      <c r="D44" s="59"/>
      <c r="E44" s="59"/>
      <c r="F44" s="60">
        <f>INVOICE!E41</f>
        <v>8000</v>
      </c>
      <c r="G44" s="61" t="s">
        <v>39</v>
      </c>
      <c r="H44" s="62">
        <f>INVOICE!O41</f>
        <v>0.02</v>
      </c>
      <c r="I44" s="62">
        <v>0.998</v>
      </c>
      <c r="J44" s="82" t="s">
        <v>146</v>
      </c>
    </row>
    <row r="45" spans="1:10">
      <c r="A45" s="57" t="s">
        <v>92</v>
      </c>
      <c r="B45" s="58" t="str">
        <f>INVOICE!C42</f>
        <v>2250501504-2.1</v>
      </c>
      <c r="C45" s="58" t="str">
        <f>INVOICE!B42</f>
        <v>5521608NWS0</v>
      </c>
      <c r="D45" s="59"/>
      <c r="E45" s="59"/>
      <c r="F45" s="60">
        <f>INVOICE!E42</f>
        <v>12000</v>
      </c>
      <c r="G45" s="61" t="s">
        <v>39</v>
      </c>
      <c r="H45" s="62">
        <f>INVOICE!O42</f>
        <v>0.037</v>
      </c>
      <c r="I45" s="62">
        <v>0.946</v>
      </c>
      <c r="J45" s="82" t="s">
        <v>146</v>
      </c>
    </row>
    <row r="46" spans="1:10">
      <c r="A46" s="57" t="s">
        <v>95</v>
      </c>
      <c r="B46" s="58" t="str">
        <f>INVOICE!C43</f>
        <v>2250502890-2.1</v>
      </c>
      <c r="C46" s="58" t="str">
        <f>INVOICE!B43</f>
        <v>5521608NWS0</v>
      </c>
      <c r="D46" s="59"/>
      <c r="E46" s="59"/>
      <c r="F46" s="60">
        <f>INVOICE!E43</f>
        <v>4000</v>
      </c>
      <c r="G46" s="61" t="s">
        <v>39</v>
      </c>
      <c r="H46" s="62">
        <f>INVOICE!O43</f>
        <v>0.012</v>
      </c>
      <c r="I46" s="62">
        <v>0.316</v>
      </c>
      <c r="J46" s="82" t="s">
        <v>146</v>
      </c>
    </row>
    <row r="47" spans="1:10">
      <c r="A47" s="57" t="s">
        <v>97</v>
      </c>
      <c r="B47" s="58" t="str">
        <f>INVOICE!C44</f>
        <v>2250600460-2.1</v>
      </c>
      <c r="C47" s="58" t="str">
        <f>INVOICE!B44</f>
        <v>3040000GIQ</v>
      </c>
      <c r="D47" s="59"/>
      <c r="E47" s="59"/>
      <c r="F47" s="60">
        <f>INVOICE!E44</f>
        <v>30000</v>
      </c>
      <c r="G47" s="61" t="s">
        <v>39</v>
      </c>
      <c r="H47" s="62">
        <f>INVOICE!O44</f>
        <v>0.24</v>
      </c>
      <c r="I47" s="62">
        <v>0.74</v>
      </c>
      <c r="J47" s="82" t="s">
        <v>146</v>
      </c>
    </row>
    <row r="48" spans="1:10">
      <c r="A48" s="57" t="s">
        <v>100</v>
      </c>
      <c r="B48" s="58" t="str">
        <f>INVOICE!C45</f>
        <v>2250601355-2.1</v>
      </c>
      <c r="C48" s="58" t="str">
        <f>INVOICE!B45</f>
        <v>3040000GIQ</v>
      </c>
      <c r="D48" s="59"/>
      <c r="E48" s="59"/>
      <c r="F48" s="60">
        <f>INVOICE!E45</f>
        <v>15000</v>
      </c>
      <c r="G48" s="61" t="s">
        <v>39</v>
      </c>
      <c r="H48" s="62">
        <f>INVOICE!O45</f>
        <v>0.12</v>
      </c>
      <c r="I48" s="62">
        <v>0.37</v>
      </c>
      <c r="J48" s="82" t="s">
        <v>146</v>
      </c>
    </row>
    <row r="49" spans="1:10">
      <c r="A49" s="57" t="s">
        <v>102</v>
      </c>
      <c r="B49" s="58" t="str">
        <f>INVOICE!C46</f>
        <v>2250402085-8.1</v>
      </c>
      <c r="C49" s="58" t="str">
        <f>INVOICE!B46</f>
        <v>3620009KIQ</v>
      </c>
      <c r="D49" s="59"/>
      <c r="E49" s="59"/>
      <c r="F49" s="60">
        <f>INVOICE!E46</f>
        <v>20000</v>
      </c>
      <c r="G49" s="61" t="s">
        <v>39</v>
      </c>
      <c r="H49" s="62">
        <f>INVOICE!O46</f>
        <v>0.308</v>
      </c>
      <c r="I49" s="62">
        <v>1.058</v>
      </c>
      <c r="J49" s="82" t="s">
        <v>146</v>
      </c>
    </row>
    <row r="50" spans="1:10">
      <c r="A50" s="57" t="s">
        <v>105</v>
      </c>
      <c r="B50" s="58" t="str">
        <f>INVOICE!C47</f>
        <v>2250402085-3.1</v>
      </c>
      <c r="C50" s="58" t="str">
        <f>INVOICE!B47</f>
        <v>362002R0IQ</v>
      </c>
      <c r="D50" s="59"/>
      <c r="E50" s="59"/>
      <c r="F50" s="60">
        <f>INVOICE!E47</f>
        <v>4000</v>
      </c>
      <c r="G50" s="61" t="s">
        <v>39</v>
      </c>
      <c r="H50" s="62">
        <f>INVOICE!O47</f>
        <v>0.18</v>
      </c>
      <c r="I50" s="62">
        <v>0.93</v>
      </c>
      <c r="J50" s="82" t="s">
        <v>146</v>
      </c>
    </row>
    <row r="51" spans="1:10">
      <c r="A51" s="57" t="s">
        <v>108</v>
      </c>
      <c r="B51" s="58" t="str">
        <f>INVOICE!C48</f>
        <v>2250402085-4.2</v>
      </c>
      <c r="C51" s="58" t="str">
        <f>INVOICE!B48</f>
        <v>3620060HIQ</v>
      </c>
      <c r="D51" s="59"/>
      <c r="E51" s="59"/>
      <c r="F51" s="60">
        <f>INVOICE!E48</f>
        <v>12000</v>
      </c>
      <c r="G51" s="61" t="s">
        <v>39</v>
      </c>
      <c r="H51" s="62">
        <f>INVOICE!O48</f>
        <v>0.54</v>
      </c>
      <c r="I51" s="62">
        <v>0.69</v>
      </c>
      <c r="J51" s="82" t="s">
        <v>146</v>
      </c>
    </row>
    <row r="52" spans="1:10">
      <c r="A52" s="57" t="s">
        <v>111</v>
      </c>
      <c r="B52" s="58" t="str">
        <f>INVOICE!C49</f>
        <v>2250400164-2.1</v>
      </c>
      <c r="C52" s="58" t="str">
        <f>INVOICE!B49</f>
        <v>3620060HIQ</v>
      </c>
      <c r="D52" s="59"/>
      <c r="E52" s="59"/>
      <c r="F52" s="60">
        <f>INVOICE!E49</f>
        <v>36000</v>
      </c>
      <c r="G52" s="61" t="s">
        <v>39</v>
      </c>
      <c r="H52" s="62">
        <f>INVOICE!O49</f>
        <v>1.62</v>
      </c>
      <c r="I52" s="62">
        <v>2.07</v>
      </c>
      <c r="J52" s="82" t="s">
        <v>146</v>
      </c>
    </row>
    <row r="53" spans="1:10">
      <c r="A53" s="57" t="s">
        <v>113</v>
      </c>
      <c r="B53" s="58" t="str">
        <f>INVOICE!C50</f>
        <v>2250303938-3.1</v>
      </c>
      <c r="C53" s="58" t="str">
        <f>INVOICE!B50</f>
        <v>3620060HIQ</v>
      </c>
      <c r="D53" s="59"/>
      <c r="E53" s="59"/>
      <c r="F53" s="60">
        <f>INVOICE!E50</f>
        <v>12000</v>
      </c>
      <c r="G53" s="61" t="s">
        <v>39</v>
      </c>
      <c r="H53" s="62">
        <f>INVOICE!O50</f>
        <v>0.54</v>
      </c>
      <c r="I53" s="62">
        <v>0.69</v>
      </c>
      <c r="J53" s="82" t="s">
        <v>146</v>
      </c>
    </row>
    <row r="54" spans="1:10">
      <c r="A54" s="57" t="s">
        <v>115</v>
      </c>
      <c r="B54" s="58" t="str">
        <f>INVOICE!C51</f>
        <v>2250402085-11.1</v>
      </c>
      <c r="C54" s="58" t="str">
        <f>INVOICE!B51</f>
        <v>3601053YIQ</v>
      </c>
      <c r="D54" s="59"/>
      <c r="E54" s="59"/>
      <c r="F54" s="60">
        <f>INVOICE!E51</f>
        <v>27000</v>
      </c>
      <c r="G54" s="61" t="s">
        <v>39</v>
      </c>
      <c r="H54" s="62">
        <f>INVOICE!O51</f>
        <v>1</v>
      </c>
      <c r="I54" s="62">
        <v>1.27</v>
      </c>
      <c r="J54" s="82" t="s">
        <v>146</v>
      </c>
    </row>
    <row r="55" spans="1:10">
      <c r="A55" s="57" t="s">
        <v>118</v>
      </c>
      <c r="B55" s="58" t="str">
        <f>INVOICE!C52</f>
        <v>2250502014-10.1</v>
      </c>
      <c r="C55" s="58" t="str">
        <f>INVOICE!B52</f>
        <v>3601053YIQ</v>
      </c>
      <c r="D55" s="59"/>
      <c r="E55" s="59"/>
      <c r="F55" s="60">
        <f>INVOICE!E52</f>
        <v>48000</v>
      </c>
      <c r="G55" s="61" t="s">
        <v>39</v>
      </c>
      <c r="H55" s="62">
        <f>INVOICE!O52</f>
        <v>1.775</v>
      </c>
      <c r="I55" s="62">
        <v>2.255</v>
      </c>
      <c r="J55" s="82" t="s">
        <v>146</v>
      </c>
    </row>
    <row r="56" spans="1:10">
      <c r="A56" s="57" t="s">
        <v>120</v>
      </c>
      <c r="B56" s="58" t="str">
        <f>INVOICE!C53</f>
        <v>2250502014-11.1</v>
      </c>
      <c r="C56" s="58" t="str">
        <f>INVOICE!B53</f>
        <v>36047436IQ</v>
      </c>
      <c r="D56" s="59"/>
      <c r="E56" s="59"/>
      <c r="F56" s="60">
        <f>INVOICE!E53</f>
        <v>39000</v>
      </c>
      <c r="G56" s="61" t="s">
        <v>39</v>
      </c>
      <c r="H56" s="62">
        <f>INVOICE!O53</f>
        <v>1.919</v>
      </c>
      <c r="I56" s="62">
        <v>2.669</v>
      </c>
      <c r="J56" s="82" t="s">
        <v>146</v>
      </c>
    </row>
    <row r="57" spans="1:10">
      <c r="A57" s="57" t="s">
        <v>123</v>
      </c>
      <c r="B57" s="58" t="str">
        <f>INVOICE!C54</f>
        <v>2250402085-10.1</v>
      </c>
      <c r="C57" s="58" t="str">
        <f>INVOICE!B54</f>
        <v>3601052MIQ</v>
      </c>
      <c r="D57" s="59"/>
      <c r="E57" s="59"/>
      <c r="F57" s="60">
        <f>INVOICE!E54</f>
        <v>33000</v>
      </c>
      <c r="G57" s="61" t="s">
        <v>39</v>
      </c>
      <c r="H57" s="62">
        <f>INVOICE!O54</f>
        <v>1.623</v>
      </c>
      <c r="I57" s="62">
        <v>2.373</v>
      </c>
      <c r="J57" s="82" t="s">
        <v>146</v>
      </c>
    </row>
    <row r="58" spans="1:10">
      <c r="A58" s="57" t="s">
        <v>126</v>
      </c>
      <c r="B58" s="58" t="str">
        <f>INVOICE!C55</f>
        <v>2250402924-6.1</v>
      </c>
      <c r="C58" s="58" t="str">
        <f>INVOICE!B55</f>
        <v>3601550ZIQ</v>
      </c>
      <c r="D58" s="59"/>
      <c r="E58" s="59"/>
      <c r="F58" s="60">
        <f>INVOICE!E55</f>
        <v>27000</v>
      </c>
      <c r="G58" s="61" t="s">
        <v>39</v>
      </c>
      <c r="H58" s="62">
        <f>INVOICE!O55</f>
        <v>1.329</v>
      </c>
      <c r="I58" s="62">
        <v>2.079</v>
      </c>
      <c r="J58" s="82" t="s">
        <v>146</v>
      </c>
    </row>
    <row r="59" spans="1:10">
      <c r="A59" s="57" t="s">
        <v>128</v>
      </c>
      <c r="B59" s="58" t="str">
        <f>INVOICE!C56</f>
        <v>2250501413-7.1</v>
      </c>
      <c r="C59" s="58" t="str">
        <f>INVOICE!B56</f>
        <v>3601053RIQ</v>
      </c>
      <c r="D59" s="59"/>
      <c r="E59" s="59"/>
      <c r="F59" s="60">
        <f>INVOICE!E56</f>
        <v>30000</v>
      </c>
      <c r="G59" s="61" t="s">
        <v>39</v>
      </c>
      <c r="H59" s="62">
        <f>INVOICE!O56</f>
        <v>1.477</v>
      </c>
      <c r="I59" s="62">
        <v>2.054</v>
      </c>
      <c r="J59" s="82" t="s">
        <v>146</v>
      </c>
    </row>
    <row r="60" spans="1:10">
      <c r="A60" s="57" t="s">
        <v>131</v>
      </c>
      <c r="B60" s="58" t="str">
        <f>INVOICE!C57</f>
        <v>2250501413-8.1</v>
      </c>
      <c r="C60" s="58" t="str">
        <f>INVOICE!B57</f>
        <v>3601053RIQ</v>
      </c>
      <c r="D60" s="59"/>
      <c r="E60" s="59"/>
      <c r="F60" s="60">
        <f>INVOICE!E57</f>
        <v>9000</v>
      </c>
      <c r="G60" s="61" t="s">
        <v>39</v>
      </c>
      <c r="H60" s="62">
        <f>INVOICE!O57</f>
        <v>0.442</v>
      </c>
      <c r="I60" s="62">
        <v>0.615</v>
      </c>
      <c r="J60" s="82" t="s">
        <v>146</v>
      </c>
    </row>
    <row r="61" ht="14.25" spans="1:10">
      <c r="A61" s="63"/>
      <c r="B61" s="64"/>
      <c r="C61" s="65"/>
      <c r="D61" s="65"/>
      <c r="E61" s="65"/>
      <c r="F61" s="66"/>
      <c r="G61" s="65"/>
      <c r="H61" s="67"/>
      <c r="I61" s="83"/>
      <c r="J61" s="84"/>
    </row>
    <row r="62" spans="1:10">
      <c r="A62" s="68"/>
      <c r="B62" s="8"/>
      <c r="C62" s="7"/>
      <c r="D62" s="69"/>
      <c r="E62" s="56" t="s">
        <v>147</v>
      </c>
      <c r="F62" s="70">
        <f>SUM(F23:F61)</f>
        <v>634000</v>
      </c>
      <c r="G62" s="56"/>
      <c r="H62" s="71">
        <f>SUM(H23:H61)</f>
        <v>14.699</v>
      </c>
      <c r="I62" s="71">
        <f>SUM(I23:I61)</f>
        <v>38.04</v>
      </c>
      <c r="J62" s="85" t="s">
        <v>148</v>
      </c>
    </row>
    <row r="63" spans="1:10">
      <c r="A63" s="72"/>
      <c r="B63" s="73"/>
      <c r="C63" s="73"/>
      <c r="D63" s="73"/>
      <c r="E63" s="74" t="s">
        <v>149</v>
      </c>
      <c r="F63" s="8">
        <v>20</v>
      </c>
      <c r="G63" s="73"/>
      <c r="H63" s="73"/>
      <c r="I63" s="73"/>
      <c r="J63" s="86"/>
    </row>
    <row r="64" spans="1:10">
      <c r="A64" s="72"/>
      <c r="B64" s="73"/>
      <c r="C64" s="73"/>
      <c r="D64" s="73"/>
      <c r="E64" s="74" t="s">
        <v>150</v>
      </c>
      <c r="F64" s="75" t="s">
        <v>151</v>
      </c>
      <c r="G64" s="73"/>
      <c r="H64" s="73"/>
      <c r="I64" s="73"/>
      <c r="J64" s="86"/>
    </row>
    <row r="65" spans="1:10">
      <c r="A65" s="72"/>
      <c r="B65" s="73"/>
      <c r="C65" s="73"/>
      <c r="D65" s="73"/>
      <c r="E65" s="74"/>
      <c r="F65" s="75"/>
      <c r="G65" s="73"/>
      <c r="H65" s="73"/>
      <c r="I65" s="73"/>
      <c r="J65" s="86"/>
    </row>
    <row r="66" spans="1:10">
      <c r="A66" s="87"/>
      <c r="B66" s="88"/>
      <c r="C66" s="88"/>
      <c r="D66" s="88"/>
      <c r="E66" s="88"/>
      <c r="F66" s="88"/>
      <c r="G66" s="88"/>
      <c r="H66" s="88"/>
      <c r="I66" s="88"/>
      <c r="J66" s="89"/>
    </row>
  </sheetData>
  <mergeCells count="20">
    <mergeCell ref="A1:J1"/>
    <mergeCell ref="F16:G16"/>
    <mergeCell ref="F17:G17"/>
    <mergeCell ref="A18:C18"/>
    <mergeCell ref="D18:E18"/>
    <mergeCell ref="F18:G18"/>
    <mergeCell ref="A20:C20"/>
    <mergeCell ref="D20:E20"/>
    <mergeCell ref="D23:E23"/>
    <mergeCell ref="D24:E24"/>
    <mergeCell ref="D25:E25"/>
    <mergeCell ref="A21:A22"/>
    <mergeCell ref="B21:B22"/>
    <mergeCell ref="C21:C22"/>
    <mergeCell ref="F21:F22"/>
    <mergeCell ref="G21:G22"/>
    <mergeCell ref="J21:J22"/>
    <mergeCell ref="A5:E7"/>
    <mergeCell ref="A10:E11"/>
    <mergeCell ref="D21:E22"/>
  </mergeCells>
  <pageMargins left="0.75" right="0.75" top="1" bottom="1" header="0.5" footer="0.5"/>
  <pageSetup paperSize="9" scale="96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8"/>
  <sheetViews>
    <sheetView topLeftCell="A16" workbookViewId="0">
      <selection activeCell="A1" sqref="A1:E38"/>
    </sheetView>
  </sheetViews>
  <sheetFormatPr defaultColWidth="8.725" defaultRowHeight="13.5" outlineLevelCol="4"/>
  <sheetData>
    <row r="1" spans="1:5">
      <c r="A1" t="s">
        <v>37</v>
      </c>
      <c r="B1">
        <v>9000</v>
      </c>
      <c r="C1">
        <v>0.0085</v>
      </c>
      <c r="D1">
        <v>76.5</v>
      </c>
      <c r="E1">
        <v>0.221</v>
      </c>
    </row>
    <row r="2" spans="1:5">
      <c r="A2" t="s">
        <v>43</v>
      </c>
      <c r="B2">
        <v>3000</v>
      </c>
      <c r="C2">
        <v>0.00696</v>
      </c>
      <c r="D2">
        <v>20.88</v>
      </c>
      <c r="E2">
        <v>0.015</v>
      </c>
    </row>
    <row r="3" spans="1:5">
      <c r="A3" t="s">
        <v>46</v>
      </c>
      <c r="B3">
        <v>8000</v>
      </c>
      <c r="C3">
        <v>0.0064</v>
      </c>
      <c r="D3">
        <v>51.2</v>
      </c>
      <c r="E3">
        <v>0.038</v>
      </c>
    </row>
    <row r="4" spans="1:5">
      <c r="A4" t="s">
        <v>49</v>
      </c>
      <c r="B4">
        <v>36000</v>
      </c>
      <c r="C4">
        <v>0.00653</v>
      </c>
      <c r="D4">
        <v>235.08</v>
      </c>
      <c r="E4">
        <v>0.188</v>
      </c>
    </row>
    <row r="5" spans="1:5">
      <c r="A5" t="s">
        <v>49</v>
      </c>
      <c r="B5">
        <v>4000</v>
      </c>
      <c r="C5">
        <v>0.00653</v>
      </c>
      <c r="D5">
        <v>26.12</v>
      </c>
      <c r="E5">
        <v>0.021</v>
      </c>
    </row>
    <row r="6" spans="1:5">
      <c r="A6" t="s">
        <v>49</v>
      </c>
      <c r="B6">
        <v>28000</v>
      </c>
      <c r="C6">
        <v>0.00653</v>
      </c>
      <c r="D6">
        <v>182.84</v>
      </c>
      <c r="E6">
        <v>0.146</v>
      </c>
    </row>
    <row r="7" spans="1:5">
      <c r="A7" t="s">
        <v>49</v>
      </c>
      <c r="B7">
        <v>8000</v>
      </c>
      <c r="C7">
        <v>0.00653</v>
      </c>
      <c r="D7">
        <v>52.24</v>
      </c>
      <c r="E7">
        <v>0.042</v>
      </c>
    </row>
    <row r="8" spans="1:5">
      <c r="A8" t="s">
        <v>49</v>
      </c>
      <c r="B8">
        <v>4000</v>
      </c>
      <c r="C8">
        <v>0.00653</v>
      </c>
      <c r="D8">
        <v>26.12</v>
      </c>
      <c r="E8">
        <v>0.021</v>
      </c>
    </row>
    <row r="9" spans="1:5">
      <c r="A9" t="s">
        <v>49</v>
      </c>
      <c r="B9">
        <v>28000</v>
      </c>
      <c r="C9">
        <v>0.00653</v>
      </c>
      <c r="D9">
        <v>182.84</v>
      </c>
      <c r="E9">
        <v>0.146</v>
      </c>
    </row>
    <row r="10" spans="1:5">
      <c r="A10" t="s">
        <v>61</v>
      </c>
      <c r="B10">
        <v>6000</v>
      </c>
      <c r="C10">
        <v>0.0297</v>
      </c>
      <c r="D10">
        <v>178.2</v>
      </c>
      <c r="E10">
        <v>0.086</v>
      </c>
    </row>
    <row r="11" spans="1:5">
      <c r="A11" t="s">
        <v>61</v>
      </c>
      <c r="B11">
        <v>2000</v>
      </c>
      <c r="C11">
        <v>0.0297</v>
      </c>
      <c r="D11">
        <v>59.4</v>
      </c>
      <c r="E11">
        <v>0.029</v>
      </c>
    </row>
    <row r="12" spans="1:5">
      <c r="A12" t="s">
        <v>61</v>
      </c>
      <c r="B12">
        <v>6000</v>
      </c>
      <c r="C12">
        <v>0.0297</v>
      </c>
      <c r="D12">
        <v>178.2</v>
      </c>
      <c r="E12">
        <v>0.086</v>
      </c>
    </row>
    <row r="13" spans="1:5">
      <c r="A13" t="s">
        <v>61</v>
      </c>
      <c r="B13">
        <v>10000</v>
      </c>
      <c r="C13">
        <v>0.0297</v>
      </c>
      <c r="D13">
        <v>297</v>
      </c>
      <c r="E13">
        <v>0.144</v>
      </c>
    </row>
    <row r="14" spans="1:5">
      <c r="A14" t="s">
        <v>70</v>
      </c>
      <c r="B14">
        <v>12000</v>
      </c>
      <c r="C14">
        <v>0.00673</v>
      </c>
      <c r="D14">
        <v>80.76</v>
      </c>
      <c r="E14">
        <v>0.032</v>
      </c>
    </row>
    <row r="15" spans="1:5">
      <c r="A15" t="s">
        <v>70</v>
      </c>
      <c r="B15">
        <v>4000</v>
      </c>
      <c r="C15">
        <v>0.00673</v>
      </c>
      <c r="D15">
        <v>26.92</v>
      </c>
      <c r="E15">
        <v>0.011</v>
      </c>
    </row>
    <row r="16" spans="1:5">
      <c r="A16" t="s">
        <v>70</v>
      </c>
      <c r="B16">
        <v>12000</v>
      </c>
      <c r="C16">
        <v>0.00673</v>
      </c>
      <c r="D16">
        <v>80.76</v>
      </c>
      <c r="E16">
        <v>0.032</v>
      </c>
    </row>
    <row r="17" spans="1:5">
      <c r="A17" t="s">
        <v>70</v>
      </c>
      <c r="B17">
        <v>4000</v>
      </c>
      <c r="C17">
        <v>0.00673</v>
      </c>
      <c r="D17">
        <v>26.92</v>
      </c>
      <c r="E17">
        <v>0.011</v>
      </c>
    </row>
    <row r="18" spans="1:5">
      <c r="A18" t="s">
        <v>79</v>
      </c>
      <c r="B18">
        <v>36000</v>
      </c>
      <c r="C18">
        <v>0.00673</v>
      </c>
      <c r="D18">
        <v>242.28</v>
      </c>
      <c r="E18">
        <v>0.097</v>
      </c>
    </row>
    <row r="19" spans="1:5">
      <c r="A19" t="s">
        <v>82</v>
      </c>
      <c r="B19">
        <v>4000</v>
      </c>
      <c r="C19">
        <v>0.008</v>
      </c>
      <c r="D19">
        <v>32</v>
      </c>
      <c r="E19">
        <v>0.034</v>
      </c>
    </row>
    <row r="20" spans="1:5">
      <c r="A20" t="s">
        <v>85</v>
      </c>
      <c r="B20">
        <v>8000</v>
      </c>
      <c r="C20">
        <v>0.00693</v>
      </c>
      <c r="D20">
        <v>55.44</v>
      </c>
      <c r="E20">
        <v>0.021</v>
      </c>
    </row>
    <row r="21" spans="1:5">
      <c r="A21" t="s">
        <v>85</v>
      </c>
      <c r="B21">
        <v>36000</v>
      </c>
      <c r="C21">
        <v>0.00693</v>
      </c>
      <c r="D21">
        <v>249.48</v>
      </c>
      <c r="E21">
        <v>0.096</v>
      </c>
    </row>
    <row r="22" spans="1:5">
      <c r="A22" t="s">
        <v>90</v>
      </c>
      <c r="B22">
        <v>8000</v>
      </c>
      <c r="C22">
        <v>0.00693</v>
      </c>
      <c r="D22">
        <v>55.44</v>
      </c>
      <c r="E22">
        <v>0.02</v>
      </c>
    </row>
    <row r="23" spans="1:5">
      <c r="A23" t="s">
        <v>93</v>
      </c>
      <c r="B23">
        <v>12000</v>
      </c>
      <c r="C23">
        <v>0.00696</v>
      </c>
      <c r="D23">
        <v>83.52</v>
      </c>
      <c r="E23">
        <v>0.037</v>
      </c>
    </row>
    <row r="24" spans="1:5">
      <c r="A24" t="s">
        <v>93</v>
      </c>
      <c r="B24">
        <v>4000</v>
      </c>
      <c r="C24">
        <v>0.00696</v>
      </c>
      <c r="D24">
        <v>27.84</v>
      </c>
      <c r="E24">
        <v>0.012</v>
      </c>
    </row>
    <row r="25" spans="1:5">
      <c r="A25" t="s">
        <v>98</v>
      </c>
      <c r="B25">
        <v>30000</v>
      </c>
      <c r="C25">
        <v>0.00822</v>
      </c>
      <c r="D25">
        <v>246.6</v>
      </c>
      <c r="E25">
        <v>0.24</v>
      </c>
    </row>
    <row r="26" spans="1:5">
      <c r="A26" t="s">
        <v>98</v>
      </c>
      <c r="B26">
        <v>15000</v>
      </c>
      <c r="C26">
        <v>0.00822</v>
      </c>
      <c r="D26">
        <v>123.3</v>
      </c>
      <c r="E26">
        <v>0.12</v>
      </c>
    </row>
    <row r="27" spans="1:5">
      <c r="A27" t="s">
        <v>103</v>
      </c>
      <c r="B27">
        <v>20000</v>
      </c>
      <c r="C27">
        <v>0.0027</v>
      </c>
      <c r="D27">
        <v>54</v>
      </c>
      <c r="E27">
        <v>0.308</v>
      </c>
    </row>
    <row r="28" spans="1:5">
      <c r="A28" t="s">
        <v>106</v>
      </c>
      <c r="B28">
        <v>4000</v>
      </c>
      <c r="C28">
        <v>0.001</v>
      </c>
      <c r="D28">
        <v>4</v>
      </c>
      <c r="E28">
        <v>0.18</v>
      </c>
    </row>
    <row r="29" spans="1:5">
      <c r="A29" t="s">
        <v>109</v>
      </c>
      <c r="B29">
        <v>12000</v>
      </c>
      <c r="C29">
        <v>0.001</v>
      </c>
      <c r="D29">
        <v>12</v>
      </c>
      <c r="E29">
        <v>0.54</v>
      </c>
    </row>
    <row r="30" spans="1:5">
      <c r="A30" t="s">
        <v>109</v>
      </c>
      <c r="B30">
        <v>36000</v>
      </c>
      <c r="C30">
        <v>0.001</v>
      </c>
      <c r="D30">
        <v>36</v>
      </c>
      <c r="E30">
        <v>1.62</v>
      </c>
    </row>
    <row r="31" spans="1:5">
      <c r="A31" t="s">
        <v>109</v>
      </c>
      <c r="B31">
        <v>12000</v>
      </c>
      <c r="C31">
        <v>0.001</v>
      </c>
      <c r="D31">
        <v>12</v>
      </c>
      <c r="E31">
        <v>0.54</v>
      </c>
    </row>
    <row r="32" spans="1:5">
      <c r="A32" t="s">
        <v>116</v>
      </c>
      <c r="B32">
        <v>27000</v>
      </c>
      <c r="C32">
        <v>0.0083</v>
      </c>
      <c r="D32">
        <v>224.1</v>
      </c>
      <c r="E32">
        <v>1</v>
      </c>
    </row>
    <row r="33" spans="1:5">
      <c r="A33" t="s">
        <v>116</v>
      </c>
      <c r="B33">
        <v>48000</v>
      </c>
      <c r="C33">
        <v>0.0083</v>
      </c>
      <c r="D33">
        <v>398.4</v>
      </c>
      <c r="E33">
        <v>1.775</v>
      </c>
    </row>
    <row r="34" spans="1:5">
      <c r="A34" t="s">
        <v>121</v>
      </c>
      <c r="B34">
        <v>39000</v>
      </c>
      <c r="C34">
        <v>0.0085</v>
      </c>
      <c r="D34">
        <v>331.5</v>
      </c>
      <c r="E34">
        <v>1.919</v>
      </c>
    </row>
    <row r="35" spans="1:5">
      <c r="A35" t="s">
        <v>124</v>
      </c>
      <c r="B35">
        <v>33000</v>
      </c>
      <c r="C35">
        <v>0.0085</v>
      </c>
      <c r="D35">
        <v>280.5</v>
      </c>
      <c r="E35">
        <v>1.623</v>
      </c>
    </row>
    <row r="36" spans="1:5">
      <c r="A36" t="s">
        <v>37</v>
      </c>
      <c r="B36">
        <v>27000</v>
      </c>
      <c r="C36">
        <v>0.0085</v>
      </c>
      <c r="D36">
        <v>229.5</v>
      </c>
      <c r="E36">
        <v>1.329</v>
      </c>
    </row>
    <row r="37" spans="1:5">
      <c r="A37" t="s">
        <v>129</v>
      </c>
      <c r="B37">
        <v>30000</v>
      </c>
      <c r="C37">
        <v>0.0085</v>
      </c>
      <c r="D37">
        <v>255</v>
      </c>
      <c r="E37">
        <v>1.477</v>
      </c>
    </row>
    <row r="38" spans="1:5">
      <c r="A38" t="s">
        <v>129</v>
      </c>
      <c r="B38">
        <v>9000</v>
      </c>
      <c r="C38">
        <v>0.0085</v>
      </c>
      <c r="D38">
        <v>76.5</v>
      </c>
      <c r="E38">
        <v>0.442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INVOICE</vt:lpstr>
      <vt:lpstr>PACKING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D000208</dc:creator>
  <cp:lastModifiedBy>D000208</cp:lastModifiedBy>
  <dcterms:created xsi:type="dcterms:W3CDTF">2025-07-17T08:11:00Z</dcterms:created>
  <dcterms:modified xsi:type="dcterms:W3CDTF">2025-08-21T01:16:33Z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405EDDA453444C6DA6D29C0547ACF2F9</vt:lpwstr>
  </property>
  <property fmtid="{D5CDD505-2E9C-101B-9397-08002B2CF9AE}" pid="3" name="KSOProductBuildVer">
    <vt:lpwstr>2052-11.8.2.12118</vt:lpwstr>
  </property>
</Properties>
</file>