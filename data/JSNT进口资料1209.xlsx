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5.16\业务中心\3. 中磊\三方贸易\25年\1209\"/>
    </mc:Choice>
  </mc:AlternateContent>
  <xr:revisionPtr revIDLastSave="0" documentId="13_ncr:1_{78D33113-62B4-4703-9BA8-C5294E97D3C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VOICE" sheetId="1" r:id="rId1"/>
    <sheet name="PACKING" sheetId="2" r:id="rId2"/>
  </sheets>
  <calcPr calcId="191029"/>
</workbook>
</file>

<file path=xl/calcChain.xml><?xml version="1.0" encoding="utf-8"?>
<calcChain xmlns="http://schemas.openxmlformats.org/spreadsheetml/2006/main">
  <c r="D23" i="2" l="1"/>
  <c r="A30" i="2"/>
  <c r="G23" i="2"/>
  <c r="F23" i="2"/>
  <c r="E23" i="2"/>
  <c r="C23" i="2"/>
  <c r="B23" i="2"/>
  <c r="F5" i="2"/>
  <c r="E5" i="2"/>
  <c r="F4" i="2"/>
  <c r="E4" i="2"/>
  <c r="A15" i="2"/>
  <c r="A14" i="2"/>
  <c r="A10" i="2"/>
  <c r="A9" i="2"/>
  <c r="A5" i="2"/>
  <c r="A4" i="2"/>
  <c r="H30" i="2"/>
  <c r="O27" i="1"/>
  <c r="E27" i="1"/>
  <c r="I20" i="1"/>
  <c r="G30" i="2" l="1"/>
  <c r="E30" i="2"/>
  <c r="I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K19" authorId="0" shapeId="0" xr:uid="{00000000-0006-0000-0000-000001000000}">
      <text>
        <r>
          <rPr>
            <sz val="14"/>
            <rFont val="宋体"/>
            <family val="3"/>
            <charset val="134"/>
          </rPr>
          <t>若是集成电路，需提供晶圆制造地,非集成电路,无需晶圆制造地</t>
        </r>
      </text>
    </comment>
  </commentList>
</comments>
</file>

<file path=xl/sharedStrings.xml><?xml version="1.0" encoding="utf-8"?>
<sst xmlns="http://schemas.openxmlformats.org/spreadsheetml/2006/main" count="83" uniqueCount="68">
  <si>
    <t>COMMERCIAL INVOICE</t>
  </si>
  <si>
    <t>Shipper/Exporter</t>
  </si>
  <si>
    <t>No. &amp; Date of Invoice</t>
  </si>
  <si>
    <t>Bill To:</t>
  </si>
  <si>
    <t xml:space="preserve"> Payment Term</t>
  </si>
  <si>
    <t>Ship To: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</si>
  <si>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</si>
  <si>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</si>
  <si>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</si>
  <si>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</si>
  <si>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</si>
  <si>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</si>
  <si>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</si>
  <si>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</si>
  <si>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</si>
  <si>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</si>
  <si>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</si>
  <si>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</si>
  <si>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</si>
  <si>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</si>
  <si>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</si>
  <si>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</si>
  <si>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</si>
  <si>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</si>
  <si>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</si>
  <si>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</si>
  <si>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</si>
  <si>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</si>
  <si>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PCS</t>
  </si>
  <si>
    <t>USD</t>
  </si>
  <si>
    <t xml:space="preserve">                  TOTAL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</si>
  <si>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</si>
  <si>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</si>
  <si>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</si>
  <si>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</si>
  <si>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</si>
  <si>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</si>
  <si>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</si>
  <si>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</si>
  <si>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</si>
  <si>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</si>
  <si>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HongKong Hope Sun Industrial Limited</t>
    <phoneticPr fontId="18" type="noConversion"/>
  </si>
  <si>
    <t>No. A1, Room 1501, Grand Millennium Plaza, 181 Queen’s Road Central, Hongkong</t>
    <phoneticPr fontId="18" type="noConversion"/>
  </si>
  <si>
    <t>Sernet (Suzhou) Technologies Corporation</t>
    <phoneticPr fontId="18" type="noConversion"/>
  </si>
  <si>
    <t>No.8,Tangzhuang Road, Suzhou Industrial Park, Jiangsu, China</t>
    <phoneticPr fontId="18" type="noConversion"/>
  </si>
  <si>
    <t>Invoice No</t>
    <phoneticPr fontId="18" type="noConversion"/>
  </si>
  <si>
    <t>Invoice Date:</t>
    <phoneticPr fontId="18" type="noConversion"/>
  </si>
  <si>
    <t xml:space="preserve"> Trade Term</t>
    <phoneticPr fontId="18" type="noConversion"/>
  </si>
  <si>
    <t>DDP</t>
    <phoneticPr fontId="18" type="noConversion"/>
  </si>
  <si>
    <t>CN</t>
    <phoneticPr fontId="18" type="noConversion"/>
  </si>
  <si>
    <t>无品牌</t>
    <phoneticPr fontId="18" type="noConversion"/>
  </si>
  <si>
    <t>无型号</t>
  </si>
  <si>
    <t>中国香港</t>
    <phoneticPr fontId="18" type="noConversion"/>
  </si>
  <si>
    <t>进境口岸关别代码</t>
  </si>
  <si>
    <t>申报地口岸关别代码</t>
  </si>
  <si>
    <t>报关行名称及代码</t>
  </si>
  <si>
    <t>关联手册（账册）编码</t>
  </si>
  <si>
    <t>运输方式</t>
  </si>
  <si>
    <t>南通综保（2376）</t>
    <phoneticPr fontId="18" type="noConversion"/>
  </si>
  <si>
    <t>南通煦伟国际货运代理有限公司 3206980081，91320600MA1MH7FP0H</t>
    <phoneticPr fontId="18" type="noConversion"/>
  </si>
  <si>
    <t>T2376W000083</t>
    <phoneticPr fontId="18" type="noConversion"/>
  </si>
  <si>
    <t>保税港区</t>
    <phoneticPr fontId="18" type="noConversion"/>
  </si>
  <si>
    <t>外壳</t>
    <phoneticPr fontId="18" type="noConversion"/>
  </si>
  <si>
    <t>57.5*39*25</t>
  </si>
  <si>
    <t>942CQK14KP</t>
  </si>
  <si>
    <t>NT251209001</t>
    <phoneticPr fontId="18" type="noConversion"/>
  </si>
  <si>
    <r>
      <t>300</t>
    </r>
    <r>
      <rPr>
        <sz val="10"/>
        <rFont val="宋体"/>
        <family val="2"/>
        <charset val="134"/>
      </rPr>
      <t>（</t>
    </r>
    <r>
      <rPr>
        <sz val="10"/>
        <rFont val="Arial"/>
        <family val="2"/>
      </rPr>
      <t>300</t>
    </r>
    <r>
      <rPr>
        <sz val="10"/>
        <rFont val="宋体"/>
        <family val="2"/>
        <charset val="134"/>
      </rPr>
      <t>胶框）</t>
    </r>
    <phoneticPr fontId="18" type="noConversion"/>
  </si>
  <si>
    <t>胶框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</si>
</sst>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/m/d;@"/>
    <numFmt numFmtId="177" formatCode="0.00_ "/>
    <numFmt numFmtId="178" formatCode="0.00_);[Red]\(0.00\)"/>
    <numFmt numFmtId="179" formatCode="0_ "/>
    <numFmt numFmtId="180" formatCode="0.000_ "/>
    <numFmt numFmtId="181" formatCode="#,##0.00_ "/>
    <numFmt numFmtId="182" formatCode="0.0000_);[Red]\(0.0000\)"/>
    <numFmt numFmtId="183" formatCode="yyyy&quot;年&quot;m&quot;月&quot;d&quot;日&quot;;@"/>
  </numFmts>
  <fonts count="21" x14ac:knownFonts="1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name val="微软雅黑"/>
      <family val="2"/>
      <charset val="134"/>
    </font>
    <font>
      <sz val="10"/>
      <color rgb="FFFF0000"/>
      <name val="Arial"/>
      <family val="2"/>
    </font>
    <font>
      <sz val="10"/>
      <name val="新細明體"/>
      <family val="1"/>
    </font>
    <font>
      <b/>
      <sz val="10"/>
      <name val="宋体"/>
      <family val="3"/>
      <charset val="134"/>
    </font>
    <font>
      <b/>
      <sz val="10"/>
      <name val="新細明體"/>
      <family val="1"/>
    </font>
    <font>
      <sz val="18"/>
      <color theme="1"/>
      <name val="宋体"/>
      <family val="3"/>
      <charset val="134"/>
      <scheme val="minor"/>
    </font>
    <font>
      <b/>
      <sz val="18"/>
      <name val="Arial"/>
      <family val="2"/>
    </font>
    <font>
      <sz val="10"/>
      <color indexed="12"/>
      <name val="新細明體"/>
      <family val="1"/>
    </font>
    <font>
      <sz val="12"/>
      <name val="宋体"/>
      <family val="3"/>
      <charset val="134"/>
    </font>
    <font>
      <sz val="12"/>
      <name val="新細明體"/>
      <family val="1"/>
    </font>
    <font>
      <sz val="14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2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6" fillId="0" borderId="0"/>
    <xf numFmtId="0" fontId="20" fillId="0" borderId="0"/>
  </cellStyleXfs>
  <cellXfs count="172">
    <xf numFmtId="0" fontId="0" fillId="0" borderId="0" xfId="0">
      <alignment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1" fillId="2" borderId="1" xfId="1" applyFont="1" applyFill="1" applyBorder="1"/>
    <xf numFmtId="0" fontId="1" fillId="2" borderId="2" xfId="1" applyFont="1" applyFill="1" applyBorder="1"/>
    <xf numFmtId="0" fontId="3" fillId="0" borderId="2" xfId="1" applyFont="1" applyBorder="1"/>
    <xf numFmtId="0" fontId="4" fillId="0" borderId="4" xfId="1" applyFont="1" applyBorder="1"/>
    <xf numFmtId="0" fontId="5" fillId="3" borderId="3" xfId="0" applyFont="1" applyFill="1" applyBorder="1" applyAlignment="1"/>
    <xf numFmtId="0" fontId="3" fillId="2" borderId="0" xfId="1" applyFont="1" applyFill="1" applyAlignment="1">
      <alignment horizontal="left"/>
    </xf>
    <xf numFmtId="0" fontId="3" fillId="0" borderId="0" xfId="1" applyFont="1"/>
    <xf numFmtId="0" fontId="3" fillId="3" borderId="3" xfId="0" applyFont="1" applyFill="1" applyBorder="1" applyAlignment="1"/>
    <xf numFmtId="176" fontId="3" fillId="3" borderId="3" xfId="0" applyNumberFormat="1" applyFont="1" applyFill="1" applyBorder="1" applyAlignment="1"/>
    <xf numFmtId="0" fontId="3" fillId="0" borderId="3" xfId="1" applyFont="1" applyBorder="1"/>
    <xf numFmtId="0" fontId="3" fillId="0" borderId="6" xfId="2" applyFont="1" applyBorder="1" applyAlignment="1">
      <alignment horizontal="left"/>
    </xf>
    <xf numFmtId="0" fontId="3" fillId="0" borderId="7" xfId="2" applyFont="1" applyBorder="1"/>
    <xf numFmtId="0" fontId="3" fillId="0" borderId="7" xfId="4" applyFont="1" applyBorder="1"/>
    <xf numFmtId="0" fontId="3" fillId="0" borderId="6" xfId="1" applyFont="1" applyBorder="1"/>
    <xf numFmtId="0" fontId="3" fillId="0" borderId="7" xfId="1" applyFont="1" applyBorder="1"/>
    <xf numFmtId="0" fontId="1" fillId="2" borderId="1" xfId="2" applyFont="1" applyFill="1" applyBorder="1"/>
    <xf numFmtId="0" fontId="3" fillId="2" borderId="2" xfId="1" applyFont="1" applyFill="1" applyBorder="1"/>
    <xf numFmtId="0" fontId="1" fillId="0" borderId="2" xfId="1" applyFont="1" applyBorder="1"/>
    <xf numFmtId="0" fontId="3" fillId="3" borderId="3" xfId="1" applyFont="1" applyFill="1" applyBorder="1" applyAlignment="1">
      <alignment horizontal="left"/>
    </xf>
    <xf numFmtId="0" fontId="3" fillId="2" borderId="0" xfId="1" applyFont="1" applyFill="1"/>
    <xf numFmtId="0" fontId="1" fillId="0" borderId="0" xfId="1" applyFont="1"/>
    <xf numFmtId="0" fontId="3" fillId="0" borderId="0" xfId="2" applyFo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1" applyFont="1" applyBorder="1"/>
    <xf numFmtId="0" fontId="6" fillId="0" borderId="0" xfId="1" applyFont="1"/>
    <xf numFmtId="0" fontId="7" fillId="0" borderId="0" xfId="1" applyFont="1"/>
    <xf numFmtId="0" fontId="3" fillId="0" borderId="0" xfId="0" applyFont="1" applyAlignment="1"/>
    <xf numFmtId="0" fontId="3" fillId="0" borderId="0" xfId="1" applyFont="1" applyAlignment="1">
      <alignment horizontal="left"/>
    </xf>
    <xf numFmtId="0" fontId="3" fillId="0" borderId="3" xfId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1" fillId="0" borderId="1" xfId="1" applyFont="1" applyBorder="1"/>
    <xf numFmtId="177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4" fillId="0" borderId="5" xfId="1" applyFont="1" applyBorder="1"/>
    <xf numFmtId="0" fontId="8" fillId="0" borderId="5" xfId="1" applyFont="1" applyBorder="1" applyAlignment="1">
      <alignment horizontal="right"/>
    </xf>
    <xf numFmtId="0" fontId="1" fillId="2" borderId="0" xfId="2" applyFont="1" applyFill="1" applyAlignment="1">
      <alignment horizontal="center" vertical="center"/>
    </xf>
    <xf numFmtId="0" fontId="1" fillId="2" borderId="0" xfId="1" applyFont="1" applyFill="1" applyAlignment="1">
      <alignment horizontal="center"/>
    </xf>
    <xf numFmtId="0" fontId="3" fillId="3" borderId="3" xfId="0" applyFont="1" applyFill="1" applyBorder="1" applyAlignment="1">
      <alignment horizontal="center" vertical="center" wrapText="1" shrinkToFit="1"/>
    </xf>
    <xf numFmtId="0" fontId="3" fillId="3" borderId="0" xfId="0" applyFont="1" applyFill="1" applyAlignment="1">
      <alignment horizontal="center" vertical="center" wrapText="1" shrinkToFit="1"/>
    </xf>
    <xf numFmtId="179" fontId="3" fillId="3" borderId="0" xfId="0" applyNumberFormat="1" applyFont="1" applyFill="1" applyAlignment="1">
      <alignment horizontal="center" vertical="center" shrinkToFit="1"/>
    </xf>
    <xf numFmtId="180" fontId="3" fillId="3" borderId="0" xfId="0" applyNumberFormat="1" applyFont="1" applyFill="1" applyAlignment="1">
      <alignment horizontal="center" vertical="center" wrapText="1" shrinkToFit="1"/>
    </xf>
    <xf numFmtId="178" fontId="3" fillId="3" borderId="0" xfId="0" applyNumberFormat="1" applyFont="1" applyFill="1" applyAlignment="1">
      <alignment horizontal="center" vertical="center" wrapText="1" shrinkToFit="1"/>
    </xf>
    <xf numFmtId="0" fontId="3" fillId="0" borderId="9" xfId="3" applyFont="1" applyBorder="1" applyAlignment="1">
      <alignment horizontal="center" vertical="center" wrapText="1" shrinkToFit="1"/>
    </xf>
    <xf numFmtId="0" fontId="3" fillId="0" borderId="10" xfId="3" applyFont="1" applyBorder="1" applyAlignment="1">
      <alignment horizontal="center" vertical="center" wrapText="1" shrinkToFit="1"/>
    </xf>
    <xf numFmtId="0" fontId="3" fillId="0" borderId="10" xfId="1" applyFont="1" applyBorder="1" applyAlignment="1">
      <alignment horizontal="center" vertical="center" wrapText="1" shrinkToFit="1"/>
    </xf>
    <xf numFmtId="180" fontId="4" fillId="0" borderId="10" xfId="1" applyNumberFormat="1" applyFont="1" applyBorder="1" applyAlignment="1">
      <alignment horizontal="center" vertical="center" wrapText="1" shrinkToFit="1"/>
    </xf>
    <xf numFmtId="178" fontId="3" fillId="0" borderId="10" xfId="1" applyNumberFormat="1" applyFont="1" applyBorder="1" applyAlignment="1">
      <alignment horizontal="center" vertical="center" wrapText="1" shrinkToFit="1"/>
    </xf>
    <xf numFmtId="179" fontId="1" fillId="3" borderId="3" xfId="1" applyNumberFormat="1" applyFont="1" applyFill="1" applyBorder="1" applyAlignment="1">
      <alignment horizontal="center"/>
    </xf>
    <xf numFmtId="0" fontId="1" fillId="0" borderId="0" xfId="1" applyFont="1" applyAlignment="1">
      <alignment horizontal="left"/>
    </xf>
    <xf numFmtId="180" fontId="1" fillId="3" borderId="0" xfId="1" applyNumberFormat="1" applyFont="1" applyFill="1" applyAlignment="1">
      <alignment horizontal="center"/>
    </xf>
    <xf numFmtId="0" fontId="1" fillId="3" borderId="0" xfId="1" applyFont="1" applyFill="1" applyAlignment="1">
      <alignment horizontal="center"/>
    </xf>
    <xf numFmtId="178" fontId="1" fillId="3" borderId="0" xfId="1" applyNumberFormat="1" applyFont="1" applyFill="1" applyAlignment="1">
      <alignment horizontal="center"/>
    </xf>
    <xf numFmtId="0" fontId="0" fillId="0" borderId="3" xfId="0" applyBorder="1">
      <alignment vertical="center"/>
    </xf>
    <xf numFmtId="0" fontId="5" fillId="3" borderId="0" xfId="1" applyFont="1" applyFill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5" xfId="0" applyFont="1" applyBorder="1">
      <alignment vertical="center"/>
    </xf>
    <xf numFmtId="0" fontId="9" fillId="0" borderId="5" xfId="0" applyFont="1" applyBorder="1" applyAlignment="1"/>
    <xf numFmtId="0" fontId="3" fillId="0" borderId="0" xfId="1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178" fontId="1" fillId="0" borderId="10" xfId="1" applyNumberFormat="1" applyFont="1" applyBorder="1" applyAlignment="1">
      <alignment horizontal="center" vertical="center" wrapText="1" shrinkToFit="1"/>
    </xf>
    <xf numFmtId="178" fontId="1" fillId="0" borderId="11" xfId="1" applyNumberFormat="1" applyFont="1" applyBorder="1" applyAlignment="1">
      <alignment horizontal="center" vertical="center" wrapText="1" shrinkToFit="1"/>
    </xf>
    <xf numFmtId="178" fontId="1" fillId="3" borderId="5" xfId="1" applyNumberFormat="1" applyFont="1" applyFill="1" applyBorder="1" applyAlignment="1">
      <alignment horizont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12" fillId="0" borderId="0" xfId="0" applyFont="1">
      <alignment vertical="center"/>
    </xf>
    <xf numFmtId="0" fontId="1" fillId="2" borderId="2" xfId="2" applyFont="1" applyFill="1" applyBorder="1"/>
    <xf numFmtId="0" fontId="3" fillId="0" borderId="2" xfId="2" applyFont="1" applyBorder="1"/>
    <xf numFmtId="0" fontId="3" fillId="2" borderId="2" xfId="2" applyFont="1" applyFill="1" applyBorder="1"/>
    <xf numFmtId="0" fontId="3" fillId="2" borderId="0" xfId="2" applyFont="1" applyFill="1"/>
    <xf numFmtId="49" fontId="3" fillId="2" borderId="0" xfId="2" applyNumberFormat="1" applyFont="1" applyFill="1" applyAlignment="1">
      <alignment horizontal="center"/>
    </xf>
    <xf numFmtId="49" fontId="3" fillId="0" borderId="0" xfId="2" applyNumberFormat="1" applyFont="1" applyAlignment="1">
      <alignment horizontal="center"/>
    </xf>
    <xf numFmtId="176" fontId="3" fillId="2" borderId="0" xfId="0" applyNumberFormat="1" applyFont="1" applyFill="1" applyAlignment="1"/>
    <xf numFmtId="176" fontId="3" fillId="0" borderId="0" xfId="0" applyNumberFormat="1" applyFont="1" applyAlignment="1">
      <alignment horizontal="left"/>
    </xf>
    <xf numFmtId="0" fontId="3" fillId="0" borderId="3" xfId="2" applyFont="1" applyBorder="1"/>
    <xf numFmtId="0" fontId="3" fillId="0" borderId="7" xfId="2" applyFont="1" applyBorder="1" applyAlignment="1">
      <alignment horizontal="left"/>
    </xf>
    <xf numFmtId="0" fontId="3" fillId="0" borderId="8" xfId="2" applyFont="1" applyBorder="1"/>
    <xf numFmtId="0" fontId="3" fillId="0" borderId="6" xfId="2" applyFont="1" applyBorder="1"/>
    <xf numFmtId="0" fontId="3" fillId="2" borderId="4" xfId="2" applyFont="1" applyFill="1" applyBorder="1"/>
    <xf numFmtId="0" fontId="1" fillId="0" borderId="1" xfId="2" applyFont="1" applyBorder="1"/>
    <xf numFmtId="0" fontId="3" fillId="0" borderId="4" xfId="2" applyFont="1" applyBorder="1"/>
    <xf numFmtId="0" fontId="3" fillId="2" borderId="0" xfId="0" applyFont="1" applyFill="1" applyAlignment="1"/>
    <xf numFmtId="0" fontId="1" fillId="0" borderId="0" xfId="2" applyFont="1"/>
    <xf numFmtId="0" fontId="5" fillId="0" borderId="0" xfId="2" applyFont="1"/>
    <xf numFmtId="0" fontId="5" fillId="0" borderId="6" xfId="0" applyFont="1" applyBorder="1" applyAlignment="1"/>
    <xf numFmtId="0" fontId="1" fillId="0" borderId="3" xfId="2" applyFont="1" applyBorder="1"/>
    <xf numFmtId="0" fontId="3" fillId="0" borderId="8" xfId="0" applyFont="1" applyBorder="1" applyAlignment="1">
      <alignment horizontal="center"/>
    </xf>
    <xf numFmtId="0" fontId="5" fillId="3" borderId="6" xfId="2" applyFont="1" applyFill="1" applyBorder="1"/>
    <xf numFmtId="0" fontId="1" fillId="0" borderId="3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 shrinkToFit="1"/>
    </xf>
    <xf numFmtId="181" fontId="3" fillId="3" borderId="0" xfId="0" applyNumberFormat="1" applyFont="1" applyFill="1" applyAlignment="1">
      <alignment horizontal="center" vertical="center" wrapText="1" shrinkToFit="1"/>
    </xf>
    <xf numFmtId="182" fontId="3" fillId="3" borderId="0" xfId="0" applyNumberFormat="1" applyFont="1" applyFill="1" applyAlignment="1">
      <alignment horizontal="center" vertical="center" wrapText="1" shrinkToFit="1"/>
    </xf>
    <xf numFmtId="0" fontId="12" fillId="0" borderId="3" xfId="0" applyFont="1" applyBorder="1">
      <alignment vertical="center"/>
    </xf>
    <xf numFmtId="0" fontId="3" fillId="0" borderId="12" xfId="2" applyFont="1" applyBorder="1"/>
    <xf numFmtId="0" fontId="3" fillId="0" borderId="13" xfId="2" applyFont="1" applyBorder="1"/>
    <xf numFmtId="180" fontId="1" fillId="3" borderId="13" xfId="2" applyNumberFormat="1" applyFont="1" applyFill="1" applyBorder="1" applyAlignment="1">
      <alignment horizontal="center"/>
    </xf>
    <xf numFmtId="0" fontId="1" fillId="0" borderId="13" xfId="2" applyFont="1" applyBorder="1"/>
    <xf numFmtId="182" fontId="1" fillId="0" borderId="13" xfId="2" applyNumberFormat="1" applyFont="1" applyBorder="1" applyAlignment="1">
      <alignment horizontal="center"/>
    </xf>
    <xf numFmtId="0" fontId="9" fillId="0" borderId="2" xfId="0" applyFont="1" applyBorder="1" applyAlignment="1"/>
    <xf numFmtId="0" fontId="9" fillId="0" borderId="0" xfId="0" applyFont="1" applyAlignment="1"/>
    <xf numFmtId="0" fontId="9" fillId="0" borderId="7" xfId="0" applyFont="1" applyBorder="1">
      <alignment vertical="center"/>
    </xf>
    <xf numFmtId="0" fontId="14" fillId="0" borderId="8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14" fillId="0" borderId="0" xfId="0" applyFont="1">
      <alignment vertical="center"/>
    </xf>
    <xf numFmtId="0" fontId="14" fillId="0" borderId="5" xfId="0" applyFont="1" applyBorder="1">
      <alignment vertical="center"/>
    </xf>
    <xf numFmtId="0" fontId="4" fillId="0" borderId="7" xfId="1" applyFont="1" applyBorder="1"/>
    <xf numFmtId="0" fontId="9" fillId="0" borderId="7" xfId="0" applyFont="1" applyBorder="1" applyAlignment="1"/>
    <xf numFmtId="0" fontId="11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2" fillId="0" borderId="7" xfId="0" applyFont="1" applyBorder="1">
      <alignment vertical="center"/>
    </xf>
    <xf numFmtId="0" fontId="12" fillId="0" borderId="8" xfId="0" applyFont="1" applyBorder="1">
      <alignment vertical="center"/>
    </xf>
    <xf numFmtId="178" fontId="1" fillId="3" borderId="13" xfId="2" applyNumberFormat="1" applyFont="1" applyFill="1" applyBorder="1" applyAlignment="1">
      <alignment horizontal="center"/>
    </xf>
    <xf numFmtId="0" fontId="11" fillId="0" borderId="7" xfId="0" applyFont="1" applyBorder="1" applyAlignment="1"/>
    <xf numFmtId="183" fontId="3" fillId="2" borderId="0" xfId="0" applyNumberFormat="1" applyFont="1" applyFill="1" applyAlignment="1">
      <alignment horizontal="left"/>
    </xf>
    <xf numFmtId="0" fontId="19" fillId="3" borderId="0" xfId="0" applyFont="1" applyFill="1" applyAlignment="1">
      <alignment horizontal="center" vertical="center" wrapText="1" shrinkToFit="1"/>
    </xf>
    <xf numFmtId="183" fontId="3" fillId="0" borderId="0" xfId="1" applyNumberFormat="1" applyFont="1" applyAlignment="1">
      <alignment horizontal="left"/>
    </xf>
    <xf numFmtId="0" fontId="19" fillId="3" borderId="7" xfId="2" applyFont="1" applyFill="1" applyBorder="1"/>
    <xf numFmtId="0" fontId="12" fillId="0" borderId="0" xfId="0" applyFont="1" applyAlignment="1">
      <alignment horizontal="left" vertical="center"/>
    </xf>
    <xf numFmtId="176" fontId="3" fillId="0" borderId="6" xfId="0" applyNumberFormat="1" applyFont="1" applyBorder="1" applyAlignment="1">
      <alignment horizontal="left"/>
    </xf>
    <xf numFmtId="0" fontId="7" fillId="0" borderId="0" xfId="0" applyFont="1" applyAlignment="1">
      <alignment horizontal="center" vertical="center" wrapText="1" shrinkToFit="1"/>
    </xf>
    <xf numFmtId="0" fontId="3" fillId="2" borderId="0" xfId="0" applyFont="1" applyFill="1" applyAlignment="1">
      <alignment horizontal="center" vertical="center" shrinkToFit="1"/>
    </xf>
    <xf numFmtId="0" fontId="3" fillId="0" borderId="13" xfId="2" applyFont="1" applyBorder="1" applyAlignment="1">
      <alignment horizontal="left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0" borderId="6" xfId="1" applyFont="1" applyBorder="1" applyAlignment="1">
      <alignment wrapText="1"/>
    </xf>
    <xf numFmtId="0" fontId="3" fillId="0" borderId="7" xfId="1" applyFont="1" applyBorder="1" applyAlignment="1">
      <alignment wrapText="1"/>
    </xf>
    <xf numFmtId="0" fontId="3" fillId="0" borderId="8" xfId="1" applyFont="1" applyBorder="1" applyAlignment="1">
      <alignment wrapText="1"/>
    </xf>
    <xf numFmtId="0" fontId="5" fillId="3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3" borderId="5" xfId="1" applyFont="1" applyFill="1" applyBorder="1" applyAlignment="1">
      <alignment horizontal="center"/>
    </xf>
    <xf numFmtId="0" fontId="13" fillId="0" borderId="1" xfId="2" applyFont="1" applyBorder="1" applyAlignment="1">
      <alignment horizontal="center"/>
    </xf>
    <xf numFmtId="0" fontId="13" fillId="0" borderId="2" xfId="2" applyFont="1" applyBorder="1" applyAlignment="1">
      <alignment horizontal="center"/>
    </xf>
    <xf numFmtId="0" fontId="13" fillId="0" borderId="4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76" fontId="3" fillId="0" borderId="6" xfId="0" applyNumberFormat="1" applyFont="1" applyBorder="1" applyAlignment="1">
      <alignment horizontal="left"/>
    </xf>
    <xf numFmtId="176" fontId="3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1" fillId="2" borderId="0" xfId="1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0" borderId="3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3" fillId="2" borderId="3" xfId="1" applyFont="1" applyFill="1" applyBorder="1" applyAlignment="1">
      <alignment vertical="top" wrapText="1"/>
    </xf>
    <xf numFmtId="0" fontId="3" fillId="2" borderId="0" xfId="1" applyFont="1" applyFill="1" applyAlignment="1">
      <alignment vertical="top" wrapText="1"/>
    </xf>
    <xf numFmtId="0" fontId="1" fillId="2" borderId="0" xfId="2" applyFont="1" applyFill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" fillId="2" borderId="3" xfId="2" applyFont="1" applyFill="1" applyBorder="1" applyAlignment="1">
      <alignment horizontal="center" vertical="center"/>
    </xf>
    <xf numFmtId="0" fontId="1" fillId="2" borderId="0" xfId="2" applyFont="1" applyFill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6">
    <cellStyle name="常规" xfId="0" builtinId="0"/>
    <cellStyle name="常规 7" xfId="5" xr:uid="{98B8B6BF-E8F0-4273-8F73-6BDCF11676E2}"/>
    <cellStyle name="常规_Sheet1_1" xfId="3" xr:uid="{00000000-0005-0000-0000-000033000000}"/>
    <cellStyle name="常规_啟德一般貿易" xfId="4" xr:uid="{00000000-0005-0000-0000-000034000000}"/>
    <cellStyle name="一般_OMRON" xfId="2" xr:uid="{00000000-0005-0000-0000-000032000000}"/>
    <cellStyle name="一般_OMRON海運出口" xfId="1" xr:uid="{00000000-0005-0000-0000-00001F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3"/>
  <sheetViews>
    <sheetView topLeftCell="A25" workbookViewId="0">
      <selection activeCell="R38" sqref="R38"/>
    </sheetView>
  </sheetViews>
  <sheetFormatPr defaultColWidth="9" defaultRowHeight="22.5" x14ac:dyDescent="0.15"/>
  <cols>
    <col min="1" max="1" width="5.375" style="69" customWidth="1"/>
    <col min="2" max="2" width="12.125" style="69" customWidth="1"/>
    <col min="3" max="3" width="11.25" style="69" customWidth="1"/>
    <col min="4" max="4" width="9.875" style="69" customWidth="1"/>
    <col min="5" max="5" width="10.75" style="69" customWidth="1"/>
    <col min="6" max="6" width="14.625" style="69" customWidth="1"/>
    <col min="7" max="9" width="9" style="69"/>
    <col min="10" max="10" width="6.375" style="69" customWidth="1"/>
    <col min="11" max="11" width="5.125" style="69" customWidth="1"/>
    <col min="12" max="12" width="7.25" style="69" customWidth="1"/>
    <col min="13" max="13" width="8.125" style="69" customWidth="1"/>
    <col min="14" max="14" width="7.625" style="69" customWidth="1"/>
    <col min="15" max="15" width="7.875" style="69" customWidth="1"/>
    <col min="16" max="16384" width="9" style="69"/>
  </cols>
  <sheetData>
    <row r="1" spans="1:15" ht="23.25" x14ac:dyDescent="0.35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7"/>
    </row>
    <row r="2" spans="1:15" x14ac:dyDescent="0.2">
      <c r="A2" s="18" t="s">
        <v>1</v>
      </c>
      <c r="B2" s="70"/>
      <c r="C2" s="71"/>
      <c r="D2" s="6"/>
      <c r="E2" s="18" t="s">
        <v>2</v>
      </c>
      <c r="F2" s="72"/>
      <c r="G2" s="72"/>
      <c r="H2" s="71"/>
      <c r="I2" s="71"/>
      <c r="J2" s="103"/>
      <c r="K2" s="103"/>
      <c r="L2" s="103"/>
      <c r="M2" s="103"/>
      <c r="N2" s="103"/>
      <c r="O2" s="61"/>
    </row>
    <row r="3" spans="1:15" x14ac:dyDescent="0.2">
      <c r="A3" s="139" t="s">
        <v>41</v>
      </c>
      <c r="B3" s="140"/>
      <c r="C3" s="140"/>
      <c r="D3" s="141"/>
      <c r="E3" s="10" t="s">
        <v>45</v>
      </c>
      <c r="F3" s="73" t="s">
        <v>65</v>
      </c>
      <c r="G3" s="74"/>
      <c r="H3" s="75"/>
      <c r="I3" s="24"/>
      <c r="J3" s="104"/>
      <c r="K3" s="104"/>
      <c r="L3" s="104"/>
      <c r="M3" s="104"/>
      <c r="N3" s="104"/>
      <c r="O3" s="61"/>
    </row>
    <row r="4" spans="1:15" x14ac:dyDescent="0.2">
      <c r="A4" s="130" t="s">
        <v>42</v>
      </c>
      <c r="B4" s="131"/>
      <c r="C4" s="131"/>
      <c r="D4" s="132"/>
      <c r="E4" s="11" t="s">
        <v>46</v>
      </c>
      <c r="F4" s="121">
        <v>46000</v>
      </c>
      <c r="G4" s="76"/>
      <c r="H4" s="77"/>
      <c r="I4" s="24"/>
      <c r="J4" s="104"/>
      <c r="K4" s="104"/>
      <c r="L4" s="104"/>
      <c r="M4" s="104"/>
      <c r="N4" s="104"/>
      <c r="O4" s="61"/>
    </row>
    <row r="5" spans="1:15" x14ac:dyDescent="0.2">
      <c r="A5" s="130"/>
      <c r="B5" s="131"/>
      <c r="C5" s="131"/>
      <c r="D5" s="132"/>
      <c r="E5" s="78"/>
      <c r="F5" s="24"/>
      <c r="G5" s="24"/>
      <c r="H5" s="24"/>
      <c r="I5" s="24"/>
      <c r="J5" s="104"/>
      <c r="K5" s="104"/>
      <c r="L5" s="104"/>
      <c r="M5" s="104"/>
      <c r="N5" s="104"/>
      <c r="O5" s="61"/>
    </row>
    <row r="6" spans="1:15" x14ac:dyDescent="0.2">
      <c r="A6" s="13"/>
      <c r="B6" s="79"/>
      <c r="C6" s="14"/>
      <c r="D6" s="80"/>
      <c r="E6" s="81"/>
      <c r="F6" s="14"/>
      <c r="G6" s="14"/>
      <c r="H6" s="14"/>
      <c r="I6" s="14"/>
      <c r="J6" s="105"/>
      <c r="K6" s="105"/>
      <c r="L6" s="105"/>
      <c r="M6" s="105"/>
      <c r="N6" s="105"/>
      <c r="O6" s="106"/>
    </row>
    <row r="7" spans="1:15" x14ac:dyDescent="0.2">
      <c r="A7" s="18" t="s">
        <v>3</v>
      </c>
      <c r="B7" s="70"/>
      <c r="C7" s="72"/>
      <c r="D7" s="82"/>
      <c r="E7" s="83" t="s">
        <v>4</v>
      </c>
      <c r="F7" s="71"/>
      <c r="G7" s="71"/>
      <c r="H7" s="71"/>
      <c r="I7" s="71"/>
      <c r="J7" s="107"/>
      <c r="K7" s="108"/>
      <c r="L7" s="108"/>
      <c r="M7" s="108"/>
      <c r="N7" s="108"/>
      <c r="O7" s="109"/>
    </row>
    <row r="8" spans="1:15" x14ac:dyDescent="0.2">
      <c r="A8" s="142" t="s">
        <v>43</v>
      </c>
      <c r="B8" s="143"/>
      <c r="C8" s="143"/>
      <c r="D8" s="144"/>
      <c r="E8" s="78"/>
      <c r="F8" s="24"/>
      <c r="G8" s="24"/>
      <c r="H8" s="24"/>
      <c r="I8" s="24"/>
      <c r="J8" s="108"/>
      <c r="K8" s="108"/>
      <c r="L8" s="108"/>
      <c r="M8" s="108"/>
      <c r="N8" s="108"/>
      <c r="O8" s="109"/>
    </row>
    <row r="9" spans="1:15" x14ac:dyDescent="0.2">
      <c r="A9" s="133" t="s">
        <v>44</v>
      </c>
      <c r="B9" s="134"/>
      <c r="C9" s="134"/>
      <c r="D9" s="135"/>
      <c r="E9" s="148"/>
      <c r="F9" s="149"/>
      <c r="G9" s="149"/>
      <c r="H9" s="149"/>
      <c r="I9" s="149"/>
      <c r="J9" s="110"/>
      <c r="K9" s="110"/>
      <c r="L9" s="110"/>
      <c r="M9" s="110"/>
      <c r="N9" s="110"/>
      <c r="O9" s="111"/>
    </row>
    <row r="10" spans="1:15" x14ac:dyDescent="0.2">
      <c r="A10" s="133"/>
      <c r="B10" s="134"/>
      <c r="C10" s="134"/>
      <c r="D10" s="135"/>
      <c r="E10" s="78"/>
      <c r="F10" s="24"/>
      <c r="G10" s="24"/>
      <c r="H10" s="24"/>
      <c r="I10" s="24"/>
      <c r="J10" s="110"/>
      <c r="K10" s="110"/>
      <c r="L10" s="110"/>
      <c r="M10" s="110"/>
      <c r="N10" s="110"/>
      <c r="O10" s="111"/>
    </row>
    <row r="11" spans="1:15" x14ac:dyDescent="0.2">
      <c r="A11" s="18" t="s">
        <v>5</v>
      </c>
      <c r="B11" s="71"/>
      <c r="C11" s="71"/>
      <c r="D11" s="84"/>
      <c r="E11" s="18" t="s">
        <v>47</v>
      </c>
      <c r="F11" s="72"/>
      <c r="G11" s="72"/>
      <c r="H11" s="72"/>
      <c r="I11" s="72"/>
      <c r="J11" s="71"/>
      <c r="K11" s="71"/>
      <c r="L11" s="71"/>
      <c r="M11" s="71"/>
      <c r="N11" s="71"/>
      <c r="O11" s="84"/>
    </row>
    <row r="12" spans="1:15" x14ac:dyDescent="0.2">
      <c r="A12" s="142" t="s">
        <v>43</v>
      </c>
      <c r="B12" s="143"/>
      <c r="C12" s="143"/>
      <c r="D12" s="144"/>
      <c r="E12" s="10" t="s">
        <v>48</v>
      </c>
      <c r="F12" s="85"/>
      <c r="G12" s="85"/>
      <c r="H12" s="85"/>
      <c r="I12" s="85"/>
      <c r="J12" s="104"/>
      <c r="K12" s="104"/>
      <c r="L12" s="104"/>
      <c r="M12" s="104"/>
      <c r="N12" s="104"/>
      <c r="O12" s="61"/>
    </row>
    <row r="13" spans="1:15" ht="36" customHeight="1" x14ac:dyDescent="0.2">
      <c r="A13" s="136" t="s">
        <v>44</v>
      </c>
      <c r="B13" s="137"/>
      <c r="C13" s="137"/>
      <c r="D13" s="138"/>
      <c r="E13" s="81"/>
      <c r="F13" s="14"/>
      <c r="G13" s="14"/>
      <c r="H13" s="14"/>
      <c r="I13" s="112"/>
      <c r="J13" s="104"/>
      <c r="K13" s="104"/>
      <c r="L13" s="104"/>
      <c r="M13" s="104"/>
      <c r="N13" s="104"/>
      <c r="O13" s="106"/>
    </row>
    <row r="14" spans="1:15" x14ac:dyDescent="0.2">
      <c r="A14" s="83" t="s">
        <v>6</v>
      </c>
      <c r="B14" s="71"/>
      <c r="C14" s="83" t="s">
        <v>7</v>
      </c>
      <c r="D14" s="84"/>
      <c r="E14" s="86" t="s">
        <v>8</v>
      </c>
      <c r="F14" s="9"/>
      <c r="G14" s="9"/>
      <c r="H14" s="9"/>
      <c r="I14" s="24"/>
      <c r="J14" s="103"/>
      <c r="K14" s="103"/>
      <c r="L14" s="103"/>
      <c r="M14" s="103"/>
      <c r="N14" s="103"/>
      <c r="O14" s="61"/>
    </row>
    <row r="15" spans="1:15" x14ac:dyDescent="0.2">
      <c r="A15" s="150"/>
      <c r="B15" s="151"/>
      <c r="C15" s="150"/>
      <c r="D15" s="151"/>
      <c r="E15" s="87"/>
      <c r="F15" s="24"/>
      <c r="G15" s="24"/>
      <c r="H15" s="24"/>
      <c r="I15" s="24"/>
      <c r="J15" s="104"/>
      <c r="K15" s="104"/>
      <c r="L15" s="104"/>
      <c r="M15" s="104"/>
      <c r="N15" s="104"/>
      <c r="O15" s="61"/>
    </row>
    <row r="16" spans="1:15" x14ac:dyDescent="0.2">
      <c r="A16" s="25"/>
      <c r="B16" s="26"/>
      <c r="C16" s="88"/>
      <c r="D16" s="80"/>
      <c r="E16" s="87"/>
      <c r="F16" s="30"/>
      <c r="G16" s="24"/>
      <c r="H16" s="24"/>
      <c r="I16" s="24"/>
      <c r="J16" s="104"/>
      <c r="K16" s="104"/>
      <c r="L16" s="104"/>
      <c r="M16" s="104"/>
      <c r="N16" s="104"/>
      <c r="O16" s="61"/>
    </row>
    <row r="17" spans="1:15" x14ac:dyDescent="0.2">
      <c r="A17" s="83" t="s">
        <v>9</v>
      </c>
      <c r="B17" s="84"/>
      <c r="C17" s="89" t="s">
        <v>10</v>
      </c>
      <c r="D17" s="38"/>
      <c r="E17" s="87"/>
      <c r="F17" s="30"/>
      <c r="G17" s="24"/>
      <c r="H17" s="24"/>
      <c r="I17" s="24"/>
      <c r="J17" s="104"/>
      <c r="K17" s="104"/>
      <c r="L17" s="104"/>
      <c r="M17" s="104"/>
      <c r="N17" s="104"/>
      <c r="O17" s="61"/>
    </row>
    <row r="18" spans="1:15" x14ac:dyDescent="0.2">
      <c r="A18" s="36"/>
      <c r="B18" s="90"/>
      <c r="C18" s="152"/>
      <c r="D18" s="153"/>
      <c r="E18" s="91" t="s">
        <v>11</v>
      </c>
      <c r="F18" s="124" t="s">
        <v>52</v>
      </c>
      <c r="G18" s="14"/>
      <c r="H18" s="14"/>
      <c r="I18" s="14"/>
      <c r="J18" s="113"/>
      <c r="K18" s="104"/>
      <c r="L18" s="104"/>
      <c r="M18" s="104"/>
      <c r="N18" s="104"/>
      <c r="O18" s="61"/>
    </row>
    <row r="19" spans="1:15" ht="25.5" x14ac:dyDescent="0.15">
      <c r="A19" s="92" t="s">
        <v>12</v>
      </c>
      <c r="B19" s="39" t="s">
        <v>13</v>
      </c>
      <c r="C19" s="39" t="s">
        <v>14</v>
      </c>
      <c r="D19" s="93" t="s">
        <v>15</v>
      </c>
      <c r="E19" s="39" t="s">
        <v>16</v>
      </c>
      <c r="F19" s="39" t="s">
        <v>17</v>
      </c>
      <c r="G19" s="39" t="s">
        <v>18</v>
      </c>
      <c r="H19" s="39" t="s">
        <v>19</v>
      </c>
      <c r="I19" s="39" t="s">
        <v>20</v>
      </c>
      <c r="J19" s="114" t="s">
        <v>21</v>
      </c>
      <c r="K19" s="114" t="s">
        <v>22</v>
      </c>
      <c r="L19" s="115" t="s">
        <v>23</v>
      </c>
      <c r="M19" s="115" t="s">
        <v>24</v>
      </c>
      <c r="N19" s="115" t="s">
        <v>25</v>
      </c>
      <c r="O19" s="116" t="s">
        <v>26</v>
      </c>
    </row>
    <row r="20" spans="1:15" x14ac:dyDescent="0.15">
      <c r="A20" s="94" t="s">
        <v>27</v>
      </c>
      <c r="B20" s="42" t="s">
        <v>64</v>
      </c>
      <c r="C20" s="42">
        <v>2251002417</v>
      </c>
      <c r="D20" s="127" t="s">
        <v>62</v>
      </c>
      <c r="E20" s="42">
        <v>4800</v>
      </c>
      <c r="F20" s="95" t="s">
        <v>28</v>
      </c>
      <c r="G20" s="96">
        <v>4.6559999999999997</v>
      </c>
      <c r="H20" s="42" t="s">
        <v>29</v>
      </c>
      <c r="I20" s="45">
        <f t="shared" ref="I20" si="0">ROUND(E20*G20,2)</f>
        <v>22348.799999999999</v>
      </c>
      <c r="J20" s="42" t="s">
        <v>49</v>
      </c>
      <c r="K20" s="42"/>
      <c r="L20" s="122" t="s">
        <v>50</v>
      </c>
      <c r="M20" s="122" t="s">
        <v>50</v>
      </c>
      <c r="N20" s="42" t="s">
        <v>51</v>
      </c>
      <c r="O20" s="42">
        <v>2043.84</v>
      </c>
    </row>
    <row r="21" spans="1:15" x14ac:dyDescent="0.15">
      <c r="A21" s="94"/>
      <c r="B21" s="42"/>
      <c r="C21" s="42"/>
      <c r="D21" s="127"/>
      <c r="E21" s="42"/>
      <c r="F21" s="95"/>
      <c r="G21" s="96"/>
      <c r="H21" s="42"/>
      <c r="I21" s="45"/>
      <c r="J21" s="42"/>
      <c r="K21" s="42"/>
      <c r="L21" s="122"/>
      <c r="M21" s="122"/>
      <c r="N21" s="42"/>
      <c r="O21" s="42"/>
    </row>
    <row r="22" spans="1:15" x14ac:dyDescent="0.15">
      <c r="A22" s="94"/>
      <c r="B22" s="42"/>
      <c r="C22" s="42"/>
      <c r="D22" s="127"/>
      <c r="E22" s="42"/>
      <c r="F22" s="95"/>
      <c r="G22" s="96"/>
      <c r="H22" s="42"/>
      <c r="I22" s="45"/>
      <c r="J22" s="42"/>
      <c r="K22" s="42"/>
      <c r="L22" s="122"/>
      <c r="M22" s="122"/>
      <c r="N22" s="42"/>
      <c r="O22" s="42"/>
    </row>
    <row r="23" spans="1:15" x14ac:dyDescent="0.15">
      <c r="A23" s="94"/>
      <c r="B23" s="42"/>
      <c r="C23" s="42"/>
      <c r="D23" s="127"/>
      <c r="E23" s="42"/>
      <c r="F23" s="95"/>
      <c r="G23" s="96"/>
      <c r="H23" s="42"/>
      <c r="I23" s="45"/>
      <c r="J23" s="42"/>
      <c r="K23" s="42"/>
      <c r="L23" s="122"/>
      <c r="M23" s="122"/>
      <c r="N23" s="42"/>
      <c r="O23" s="42"/>
    </row>
    <row r="24" spans="1:15" x14ac:dyDescent="0.15">
      <c r="A24" s="94"/>
      <c r="B24" s="42"/>
      <c r="C24" s="42"/>
      <c r="D24" s="127"/>
      <c r="E24" s="42"/>
      <c r="F24" s="95"/>
      <c r="G24" s="96"/>
      <c r="H24" s="42"/>
      <c r="I24" s="45"/>
      <c r="J24" s="42"/>
      <c r="K24" s="42"/>
      <c r="L24" s="122"/>
      <c r="M24" s="122"/>
      <c r="N24" s="42"/>
      <c r="O24" s="42"/>
    </row>
    <row r="25" spans="1:15" x14ac:dyDescent="0.15">
      <c r="A25" s="94"/>
      <c r="B25" s="42"/>
      <c r="C25" s="42"/>
      <c r="D25" s="127"/>
      <c r="E25" s="42"/>
      <c r="F25" s="95"/>
      <c r="G25" s="96"/>
      <c r="H25" s="42"/>
      <c r="I25" s="45"/>
      <c r="J25" s="42"/>
      <c r="K25" s="42"/>
      <c r="L25" s="122"/>
      <c r="M25" s="122"/>
      <c r="N25" s="42"/>
      <c r="O25" s="42"/>
    </row>
    <row r="26" spans="1:15" x14ac:dyDescent="0.15">
      <c r="A26" s="97"/>
      <c r="J26" s="117"/>
      <c r="K26" s="117"/>
      <c r="L26" s="117"/>
      <c r="M26" s="117"/>
      <c r="N26" s="117"/>
      <c r="O26" s="118"/>
    </row>
    <row r="27" spans="1:15" x14ac:dyDescent="0.2">
      <c r="A27" s="98"/>
      <c r="B27" s="99"/>
      <c r="C27" s="129" t="s">
        <v>30</v>
      </c>
      <c r="D27" s="129"/>
      <c r="E27" s="100">
        <f>SUM(E20:E26)</f>
        <v>4800</v>
      </c>
      <c r="F27" s="101"/>
      <c r="G27" s="102"/>
      <c r="H27" s="102"/>
      <c r="I27" s="119">
        <f>SUM(I20:I26)</f>
        <v>22348.799999999999</v>
      </c>
      <c r="J27" s="120"/>
      <c r="K27" s="120"/>
      <c r="L27" s="120"/>
      <c r="M27" s="120"/>
      <c r="N27" s="120"/>
      <c r="O27" s="119">
        <f>SUM(O20:O26)</f>
        <v>2043.84</v>
      </c>
    </row>
    <row r="29" spans="1:15" x14ac:dyDescent="0.15">
      <c r="A29" s="2">
        <v>1</v>
      </c>
      <c r="B29" s="154" t="s">
        <v>53</v>
      </c>
      <c r="C29" s="154"/>
      <c r="D29" s="154" t="s">
        <v>58</v>
      </c>
      <c r="E29" s="154"/>
      <c r="F29" s="154"/>
      <c r="G29" s="125"/>
      <c r="H29" s="125"/>
      <c r="I29" s="125"/>
    </row>
    <row r="30" spans="1:15" x14ac:dyDescent="0.15">
      <c r="A30" s="2">
        <v>2</v>
      </c>
      <c r="B30" s="154" t="s">
        <v>54</v>
      </c>
      <c r="C30" s="154"/>
      <c r="D30" s="154" t="s">
        <v>58</v>
      </c>
      <c r="E30" s="154"/>
      <c r="F30" s="154"/>
      <c r="G30" s="125"/>
      <c r="H30" s="125"/>
      <c r="I30" s="125"/>
    </row>
    <row r="31" spans="1:15" x14ac:dyDescent="0.15">
      <c r="A31" s="2">
        <v>3</v>
      </c>
      <c r="B31" s="154" t="s">
        <v>55</v>
      </c>
      <c r="C31" s="154"/>
      <c r="D31" s="154" t="s">
        <v>59</v>
      </c>
      <c r="E31" s="154"/>
      <c r="F31" s="154"/>
      <c r="G31" s="154"/>
      <c r="H31" s="154"/>
      <c r="I31" s="154"/>
    </row>
    <row r="32" spans="1:15" x14ac:dyDescent="0.15">
      <c r="A32" s="2">
        <v>4</v>
      </c>
      <c r="B32" s="154" t="s">
        <v>56</v>
      </c>
      <c r="C32" s="154"/>
      <c r="D32" s="154" t="s">
        <v>60</v>
      </c>
      <c r="E32" s="154"/>
      <c r="F32" s="154"/>
      <c r="G32" s="125"/>
      <c r="H32" s="125"/>
      <c r="I32" s="125"/>
    </row>
    <row r="33" spans="1:6" x14ac:dyDescent="0.15">
      <c r="A33" s="2">
        <v>5</v>
      </c>
      <c r="B33" s="154" t="s">
        <v>57</v>
      </c>
      <c r="C33" s="154"/>
      <c r="D33" s="154" t="s">
        <v>61</v>
      </c>
      <c r="E33" s="154"/>
      <c r="F33" s="154"/>
    </row>
  </sheetData>
  <mergeCells count="22">
    <mergeCell ref="D29:F29"/>
    <mergeCell ref="D30:F30"/>
    <mergeCell ref="D32:F32"/>
    <mergeCell ref="D33:F33"/>
    <mergeCell ref="D31:I31"/>
    <mergeCell ref="B29:C29"/>
    <mergeCell ref="B30:C30"/>
    <mergeCell ref="B31:C31"/>
    <mergeCell ref="B32:C32"/>
    <mergeCell ref="B33:C33"/>
    <mergeCell ref="A1:O1"/>
    <mergeCell ref="E9:I9"/>
    <mergeCell ref="A15:B15"/>
    <mergeCell ref="C15:D15"/>
    <mergeCell ref="C18:D18"/>
    <mergeCell ref="C27:D27"/>
    <mergeCell ref="A4:D5"/>
    <mergeCell ref="A9:D10"/>
    <mergeCell ref="A13:D13"/>
    <mergeCell ref="A3:D3"/>
    <mergeCell ref="A8:D8"/>
    <mergeCell ref="A12:D12"/>
  </mergeCells>
  <phoneticPr fontId="18" type="noConversion"/>
  <pageMargins left="0.75" right="0.75" top="1" bottom="1" header="0.5" footer="0.5"/>
  <pageSetup paperSize="9" scale="6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4"/>
  <sheetViews>
    <sheetView tabSelected="1" topLeftCell="A4" zoomScaleNormal="100" workbookViewId="0">
      <selection activeCell="K36" sqref="K36"/>
    </sheetView>
  </sheetViews>
  <sheetFormatPr defaultColWidth="9" defaultRowHeight="13.5" x14ac:dyDescent="0.15"/>
  <cols>
    <col min="2" max="2" width="11.125" customWidth="1"/>
    <col min="3" max="3" width="13" customWidth="1"/>
    <col min="4" max="4" width="14.5" customWidth="1"/>
    <col min="5" max="5" width="10.75" customWidth="1"/>
    <col min="6" max="6" width="15.25" customWidth="1"/>
    <col min="7" max="7" width="9.25" customWidth="1"/>
    <col min="8" max="8" width="9.5" customWidth="1"/>
    <col min="9" max="9" width="13.625" customWidth="1"/>
  </cols>
  <sheetData>
    <row r="1" spans="1:9" x14ac:dyDescent="0.15">
      <c r="A1" s="168" t="s">
        <v>31</v>
      </c>
      <c r="B1" s="169"/>
      <c r="C1" s="169"/>
      <c r="D1" s="169"/>
      <c r="E1" s="169"/>
      <c r="F1" s="169"/>
      <c r="G1" s="169"/>
      <c r="H1" s="169"/>
      <c r="I1" s="170"/>
    </row>
    <row r="2" spans="1:9" x14ac:dyDescent="0.15">
      <c r="A2" s="1"/>
      <c r="B2" s="2"/>
      <c r="C2" s="2"/>
      <c r="D2" s="2"/>
      <c r="E2" s="2"/>
      <c r="F2" s="2"/>
      <c r="G2" s="2"/>
      <c r="H2" s="2"/>
      <c r="I2" s="60"/>
    </row>
    <row r="3" spans="1:9" x14ac:dyDescent="0.2">
      <c r="A3" s="3" t="s">
        <v>1</v>
      </c>
      <c r="B3" s="4"/>
      <c r="C3" s="5"/>
      <c r="D3" s="5"/>
      <c r="E3" s="4" t="s">
        <v>32</v>
      </c>
      <c r="F3" s="5"/>
      <c r="G3" s="5"/>
      <c r="H3" s="5"/>
      <c r="I3" s="61"/>
    </row>
    <row r="4" spans="1:9" x14ac:dyDescent="0.2">
      <c r="A4" s="7" t="str">
        <f>INVOICE!A3</f>
        <v>HongKong Hope Sun Industrial Limited</v>
      </c>
      <c r="B4" s="8"/>
      <c r="C4" s="9"/>
      <c r="D4" s="9"/>
      <c r="E4" s="10" t="str">
        <f>INVOICE!E3</f>
        <v>Invoice No</v>
      </c>
      <c r="F4" s="9" t="str">
        <f>INVOICE!F3</f>
        <v>NT251209001</v>
      </c>
      <c r="G4" s="9"/>
      <c r="H4" s="9"/>
      <c r="I4" s="61"/>
    </row>
    <row r="5" spans="1:9" x14ac:dyDescent="0.2">
      <c r="A5" s="158" t="str">
        <f>INVOICE!A4</f>
        <v>No. A1, Room 1501, Grand Millennium Plaza, 181 Queen’s Road Central, Hongkong</v>
      </c>
      <c r="B5" s="159"/>
      <c r="C5" s="159"/>
      <c r="D5" s="159"/>
      <c r="E5" s="11" t="str">
        <f>INVOICE!E4</f>
        <v>Invoice Date:</v>
      </c>
      <c r="F5" s="123">
        <f>INVOICE!F4</f>
        <v>46000</v>
      </c>
      <c r="G5" s="9"/>
      <c r="H5" s="9"/>
      <c r="I5" s="61"/>
    </row>
    <row r="6" spans="1:9" x14ac:dyDescent="0.2">
      <c r="A6" s="158"/>
      <c r="B6" s="159"/>
      <c r="C6" s="159"/>
      <c r="D6" s="159"/>
      <c r="E6" s="12"/>
      <c r="F6" s="9"/>
      <c r="G6" s="9"/>
      <c r="H6" s="9"/>
      <c r="I6" s="61"/>
    </row>
    <row r="7" spans="1:9" x14ac:dyDescent="0.2">
      <c r="A7" s="13"/>
      <c r="B7" s="14"/>
      <c r="C7" s="15"/>
      <c r="D7" s="15"/>
      <c r="E7" s="16"/>
      <c r="F7" s="17"/>
      <c r="G7" s="17"/>
      <c r="H7" s="17"/>
      <c r="I7" s="27"/>
    </row>
    <row r="8" spans="1:9" x14ac:dyDescent="0.2">
      <c r="A8" s="18" t="s">
        <v>3</v>
      </c>
      <c r="B8" s="4"/>
      <c r="C8" s="19"/>
      <c r="D8" s="19"/>
      <c r="E8" s="20" t="s">
        <v>33</v>
      </c>
      <c r="F8" s="9"/>
      <c r="G8" s="9"/>
      <c r="H8" s="9"/>
      <c r="I8" s="61"/>
    </row>
    <row r="9" spans="1:9" x14ac:dyDescent="0.2">
      <c r="A9" s="21" t="str">
        <f>INVOICE!A8</f>
        <v>Sernet (Suzhou) Technologies Corporation</v>
      </c>
      <c r="B9" s="8"/>
      <c r="C9" s="22"/>
      <c r="D9" s="22"/>
      <c r="E9" s="23"/>
      <c r="F9" s="24"/>
      <c r="G9" s="24"/>
      <c r="H9" s="24"/>
      <c r="I9" s="61"/>
    </row>
    <row r="10" spans="1:9" x14ac:dyDescent="0.2">
      <c r="A10" s="160" t="str">
        <f>INVOICE!A9</f>
        <v>No.8,Tangzhuang Road, Suzhou Industrial Park, Jiangsu, China</v>
      </c>
      <c r="B10" s="161"/>
      <c r="C10" s="161"/>
      <c r="D10" s="161"/>
      <c r="E10" s="23"/>
      <c r="F10" s="9"/>
      <c r="G10" s="9"/>
      <c r="H10" s="24"/>
      <c r="I10" s="61"/>
    </row>
    <row r="11" spans="1:9" x14ac:dyDescent="0.2">
      <c r="A11" s="160"/>
      <c r="B11" s="161"/>
      <c r="C11" s="161"/>
      <c r="D11" s="161"/>
      <c r="E11" s="23"/>
      <c r="F11" s="9"/>
      <c r="G11" s="9"/>
      <c r="H11" s="24"/>
      <c r="I11" s="61"/>
    </row>
    <row r="12" spans="1:9" x14ac:dyDescent="0.2">
      <c r="A12" s="25"/>
      <c r="B12" s="26"/>
      <c r="C12" s="17"/>
      <c r="D12" s="17"/>
      <c r="E12" s="9"/>
      <c r="F12" s="28"/>
      <c r="G12" s="28"/>
      <c r="H12" s="9"/>
      <c r="I12" s="61"/>
    </row>
    <row r="13" spans="1:9" ht="16.5" x14ac:dyDescent="0.35">
      <c r="A13" s="18" t="s">
        <v>5</v>
      </c>
      <c r="B13" s="23"/>
      <c r="C13" s="9"/>
      <c r="D13" s="9"/>
      <c r="E13" s="29"/>
      <c r="F13" s="30"/>
      <c r="G13" s="9"/>
      <c r="H13" s="9"/>
      <c r="I13" s="61"/>
    </row>
    <row r="14" spans="1:9" ht="16.5" x14ac:dyDescent="0.35">
      <c r="A14" s="21" t="str">
        <f>INVOICE!A12</f>
        <v>Sernet (Suzhou) Technologies Corporation</v>
      </c>
      <c r="B14" s="31"/>
      <c r="C14" s="31"/>
      <c r="D14" s="31"/>
      <c r="E14" s="29"/>
      <c r="F14" s="30"/>
      <c r="G14" s="9"/>
      <c r="H14" s="9"/>
      <c r="I14" s="61"/>
    </row>
    <row r="15" spans="1:9" x14ac:dyDescent="0.2">
      <c r="A15" s="32" t="str">
        <f>INVOICE!A13</f>
        <v>No.8,Tangzhuang Road, Suzhou Industrial Park, Jiangsu, China</v>
      </c>
      <c r="B15" s="31"/>
      <c r="C15" s="9"/>
      <c r="D15" s="9"/>
      <c r="E15" s="9"/>
      <c r="F15" s="9"/>
      <c r="G15" s="9"/>
      <c r="H15" s="9"/>
      <c r="I15" s="61"/>
    </row>
    <row r="16" spans="1:9" x14ac:dyDescent="0.2">
      <c r="A16" s="16"/>
      <c r="B16" s="17"/>
      <c r="C16" s="17"/>
      <c r="D16" s="17"/>
      <c r="E16" s="171"/>
      <c r="F16" s="171"/>
      <c r="G16" s="33"/>
      <c r="H16" s="62"/>
      <c r="I16" s="61"/>
    </row>
    <row r="17" spans="1:9" x14ac:dyDescent="0.2">
      <c r="A17" s="34" t="s">
        <v>34</v>
      </c>
      <c r="B17" s="20"/>
      <c r="C17" s="6"/>
      <c r="D17" s="20" t="s">
        <v>35</v>
      </c>
      <c r="E17" s="171"/>
      <c r="F17" s="171"/>
      <c r="G17" s="35"/>
      <c r="H17" s="9"/>
      <c r="I17" s="61"/>
    </row>
    <row r="18" spans="1:9" x14ac:dyDescent="0.2">
      <c r="A18" s="163"/>
      <c r="B18" s="164"/>
      <c r="C18" s="165"/>
      <c r="D18" s="36"/>
      <c r="E18" s="171"/>
      <c r="F18" s="171"/>
      <c r="G18" s="35"/>
      <c r="H18" s="9"/>
      <c r="I18" s="61"/>
    </row>
    <row r="19" spans="1:9" x14ac:dyDescent="0.2">
      <c r="A19" s="34" t="s">
        <v>9</v>
      </c>
      <c r="B19" s="23"/>
      <c r="C19" s="37"/>
      <c r="D19" s="20" t="s">
        <v>10</v>
      </c>
      <c r="E19" s="9"/>
      <c r="F19" s="9"/>
      <c r="G19" s="9"/>
      <c r="H19" s="9"/>
      <c r="I19" s="61"/>
    </row>
    <row r="20" spans="1:9" x14ac:dyDescent="0.2">
      <c r="A20" s="163"/>
      <c r="B20" s="164"/>
      <c r="C20" s="165"/>
      <c r="D20" s="126"/>
      <c r="E20" s="17"/>
      <c r="F20" s="17"/>
      <c r="G20" s="17"/>
      <c r="H20" s="17"/>
      <c r="I20" s="61"/>
    </row>
    <row r="21" spans="1:9" ht="14.25" customHeight="1" x14ac:dyDescent="0.2">
      <c r="A21" s="166" t="s">
        <v>36</v>
      </c>
      <c r="B21" s="167" t="s">
        <v>14</v>
      </c>
      <c r="C21" s="167" t="s">
        <v>13</v>
      </c>
      <c r="D21" s="162" t="s">
        <v>15</v>
      </c>
      <c r="E21" s="155" t="s">
        <v>16</v>
      </c>
      <c r="F21" s="155" t="s">
        <v>17</v>
      </c>
      <c r="G21" s="40" t="s">
        <v>37</v>
      </c>
      <c r="H21" s="40" t="s">
        <v>38</v>
      </c>
      <c r="I21" s="156" t="s">
        <v>39</v>
      </c>
    </row>
    <row r="22" spans="1:9" x14ac:dyDescent="0.2">
      <c r="A22" s="166"/>
      <c r="B22" s="167"/>
      <c r="C22" s="167"/>
      <c r="D22" s="162"/>
      <c r="E22" s="155"/>
      <c r="F22" s="155"/>
      <c r="G22" s="40" t="s">
        <v>40</v>
      </c>
      <c r="H22" s="40" t="s">
        <v>40</v>
      </c>
      <c r="I22" s="157"/>
    </row>
    <row r="23" spans="1:9" ht="15" customHeight="1" x14ac:dyDescent="0.15">
      <c r="A23" s="41">
        <v>300</v>
      </c>
      <c r="B23" s="42">
        <f>INVOICE!C20</f>
        <v>2251002417</v>
      </c>
      <c r="C23" s="42" t="str">
        <f>INVOICE!B20</f>
        <v>942CQK14KP</v>
      </c>
      <c r="D23" s="128" t="str">
        <f>INVOICE!D20</f>
        <v>外壳</v>
      </c>
      <c r="E23" s="43">
        <f>INVOICE!E20</f>
        <v>4800</v>
      </c>
      <c r="F23" s="44" t="str">
        <f>INVOICE!F20</f>
        <v>PCS</v>
      </c>
      <c r="G23" s="45">
        <f>INVOICE!O20</f>
        <v>2043.84</v>
      </c>
      <c r="H23" s="45">
        <v>2707.5</v>
      </c>
      <c r="I23" s="63" t="s">
        <v>63</v>
      </c>
    </row>
    <row r="24" spans="1:9" ht="15" customHeight="1" x14ac:dyDescent="0.15">
      <c r="A24" s="41"/>
      <c r="B24" s="42"/>
      <c r="C24" s="42"/>
      <c r="D24" s="128"/>
      <c r="E24" s="43"/>
      <c r="F24" s="44"/>
      <c r="G24" s="45"/>
      <c r="H24" s="45"/>
      <c r="I24" s="63"/>
    </row>
    <row r="25" spans="1:9" ht="15" customHeight="1" x14ac:dyDescent="0.15">
      <c r="A25" s="41"/>
      <c r="B25" s="42"/>
      <c r="C25" s="42"/>
      <c r="D25" s="128"/>
      <c r="E25" s="43"/>
      <c r="F25" s="44"/>
      <c r="G25" s="45"/>
      <c r="H25" s="45"/>
      <c r="I25" s="63"/>
    </row>
    <row r="26" spans="1:9" ht="15" customHeight="1" x14ac:dyDescent="0.15">
      <c r="A26" s="41"/>
      <c r="B26" s="42"/>
      <c r="C26" s="42"/>
      <c r="D26" s="128"/>
      <c r="E26" s="43"/>
      <c r="F26" s="44"/>
      <c r="G26" s="45"/>
      <c r="H26" s="45"/>
      <c r="I26" s="63"/>
    </row>
    <row r="27" spans="1:9" ht="15" customHeight="1" x14ac:dyDescent="0.15">
      <c r="A27" s="41"/>
      <c r="B27" s="42"/>
      <c r="C27" s="42"/>
      <c r="D27" s="128"/>
      <c r="E27" s="43"/>
      <c r="F27" s="44"/>
      <c r="G27" s="45"/>
      <c r="H27" s="45"/>
      <c r="I27" s="63"/>
    </row>
    <row r="28" spans="1:9" ht="15" customHeight="1" x14ac:dyDescent="0.15">
      <c r="A28" s="41"/>
      <c r="B28" s="42"/>
      <c r="C28" s="42"/>
      <c r="D28" s="128"/>
      <c r="E28" s="43"/>
      <c r="F28" s="44"/>
      <c r="G28" s="45"/>
      <c r="H28" s="45"/>
      <c r="I28" s="63"/>
    </row>
    <row r="29" spans="1:9" ht="15" customHeight="1" thickBot="1" x14ac:dyDescent="0.2">
      <c r="A29" s="46"/>
      <c r="B29" s="47"/>
      <c r="C29" s="48"/>
      <c r="D29" s="48"/>
      <c r="E29" s="49"/>
      <c r="F29" s="48"/>
      <c r="G29" s="50"/>
      <c r="H29" s="64"/>
      <c r="I29" s="65"/>
    </row>
    <row r="30" spans="1:9" ht="15" customHeight="1" x14ac:dyDescent="0.2">
      <c r="A30" s="51">
        <f>SUM(A23:A29)</f>
        <v>300</v>
      </c>
      <c r="B30" s="9"/>
      <c r="C30" s="23"/>
      <c r="D30" s="52"/>
      <c r="E30" s="53">
        <f>SUM(E23:E29)</f>
        <v>4800</v>
      </c>
      <c r="F30" s="54"/>
      <c r="G30" s="55">
        <f>SUM(G23:G29)</f>
        <v>2043.84</v>
      </c>
      <c r="H30" s="55">
        <f>SUM(H23:H29)</f>
        <v>2707.5</v>
      </c>
      <c r="I30" s="66"/>
    </row>
    <row r="31" spans="1:9" x14ac:dyDescent="0.2">
      <c r="A31" s="56"/>
      <c r="E31" s="143" t="s">
        <v>66</v>
      </c>
      <c r="F31" s="143"/>
      <c r="I31" s="67"/>
    </row>
    <row r="32" spans="1:9" x14ac:dyDescent="0.15">
      <c r="A32" s="56"/>
      <c r="E32" s="57" t="s">
        <v>67</v>
      </c>
      <c r="I32" s="67"/>
    </row>
    <row r="33" spans="1:9" x14ac:dyDescent="0.15">
      <c r="A33" s="56"/>
      <c r="E33" s="57"/>
      <c r="I33" s="67"/>
    </row>
    <row r="34" spans="1:9" x14ac:dyDescent="0.15">
      <c r="A34" s="58"/>
      <c r="B34" s="59"/>
      <c r="C34" s="59"/>
      <c r="D34" s="59"/>
      <c r="E34" s="59"/>
      <c r="F34" s="59"/>
      <c r="G34" s="59"/>
      <c r="H34" s="59"/>
      <c r="I34" s="68"/>
    </row>
  </sheetData>
  <mergeCells count="16">
    <mergeCell ref="A1:I1"/>
    <mergeCell ref="E16:F16"/>
    <mergeCell ref="E17:F17"/>
    <mergeCell ref="A18:C18"/>
    <mergeCell ref="E18:F18"/>
    <mergeCell ref="E31:F31"/>
    <mergeCell ref="E21:E22"/>
    <mergeCell ref="F21:F22"/>
    <mergeCell ref="I21:I22"/>
    <mergeCell ref="A5:D6"/>
    <mergeCell ref="A10:D11"/>
    <mergeCell ref="D21:D22"/>
    <mergeCell ref="A20:C20"/>
    <mergeCell ref="A21:A22"/>
    <mergeCell ref="B21:B22"/>
    <mergeCell ref="C21:C22"/>
  </mergeCells>
  <phoneticPr fontId="18" type="noConversion"/>
  <pageMargins left="0.75" right="0.75" top="1" bottom="1" header="0.5" footer="0.5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admini</cp:lastModifiedBy>
  <cp:lastPrinted>2025-11-13T08:02:57Z</cp:lastPrinted>
  <dcterms:created xsi:type="dcterms:W3CDTF">2025-07-17T08:11:00Z</dcterms:created>
  <dcterms:modified xsi:type="dcterms:W3CDTF">2025-12-09T03:30:00Z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