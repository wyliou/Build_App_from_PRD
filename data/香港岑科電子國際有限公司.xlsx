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8265"/>
  </bookViews>
  <sheets>
    <sheet name="INVOICE" sheetId="1" r:id="rId1"/>
    <sheet name="PACKING" sheetId="2" r:id="rId2"/>
  </sheets>
  <definedNames>
    <definedName name="_xlnm._FilterDatabase" localSheetId="0" hidden="1">INVOICE!$A$19:$P$119</definedName>
    <definedName name="_xlnm.Print_Area" localSheetId="0">INVOICE!$A$1:$O$128</definedName>
    <definedName name="_xlnm.Print_Area" localSheetId="1">PACKING!$A$1:$K$82</definedName>
  </definedName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74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<sst xmlns="http://schemas.openxmlformats.org/spreadsheetml/2006/main" count="1308" uniqueCount="349">
  <si>
    <t>COMMERCIAL INVOICE</t>
  </si>
  <si>
    <t>Shipper/Exporter</t>
  </si>
  <si>
    <t>No. &amp; Date of Invoice</t>
  </si>
  <si>
    <t>HONGKONG CEN KE ELECTRONICS INTL CO LTD</t>
  </si>
  <si>
    <t>CK2025081501</t>
  </si>
  <si>
    <t>Bill To:</t>
  </si>
  <si>
    <t xml:space="preserve"> Payment Term</t>
  </si>
  <si>
    <t>Sernet (Suzhou)Technologies Corporation</t>
  </si>
  <si>
    <t>AMS 120 DAYS BY T/T</t>
  </si>
  <si>
    <t>Ship To:</t>
  </si>
  <si>
    <t xml:space="preserve"> Trade Term</t>
  </si>
  <si>
    <t>苏州物流园</t>
  </si>
  <si>
    <r>
      <rPr>
        <sz val="10"/>
        <rFont val="Arial"/>
        <charset val="134"/>
      </rPr>
      <t>CIF</t>
    </r>
    <r>
      <rPr>
        <sz val="10"/>
        <rFont val="宋体"/>
        <charset val="134"/>
      </rPr>
      <t>苏州物流园</t>
    </r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</si>
  <si>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</si>
  <si>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</si>
  <si>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</si>
  <si>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</si>
  <si>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</si>
  <si>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</si>
  <si>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</si>
  <si>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</si>
  <si>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</si>
  <si>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</si>
  <si>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</si>
  <si>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</si>
  <si>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</si>
  <si>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</si>
  <si>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</si>
  <si>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</si>
  <si>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</si>
  <si>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</si>
  <si>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</si>
  <si>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</si>
  <si>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</si>
  <si>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</si>
  <si>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</si>
  <si>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36000001CK</t>
  </si>
  <si>
    <t>2250502026</t>
  </si>
  <si>
    <r>
      <rPr>
        <sz val="8"/>
        <rFont val="宋体"/>
        <charset val="134"/>
      </rPr>
      <t>电感</t>
    </r>
    <r>
      <rPr>
        <sz val="8"/>
        <rFont val="Arial"/>
        <charset val="134"/>
      </rPr>
      <t>Inductor</t>
    </r>
  </si>
  <si>
    <t>PCS</t>
  </si>
  <si>
    <t>USD</t>
  </si>
  <si>
    <t>CHINA</t>
  </si>
  <si>
    <t>CEN KE</t>
  </si>
  <si>
    <t>境内自主品牌</t>
  </si>
  <si>
    <t>CKO75-1.5mH/K</t>
  </si>
  <si>
    <t>2</t>
  </si>
  <si>
    <t>2250502442</t>
  </si>
  <si>
    <t>3</t>
  </si>
  <si>
    <t>3600000WCK</t>
  </si>
  <si>
    <t>2250703882</t>
  </si>
  <si>
    <t>CKCH127-15uH/M</t>
  </si>
  <si>
    <t>4</t>
  </si>
  <si>
    <t>2250800188</t>
  </si>
  <si>
    <t>5</t>
  </si>
  <si>
    <t>36010533CK</t>
  </si>
  <si>
    <t>2250601375</t>
  </si>
  <si>
    <t>CKCS4018-1uH/M</t>
  </si>
  <si>
    <t>6</t>
  </si>
  <si>
    <t>2250601466</t>
  </si>
  <si>
    <t>7</t>
  </si>
  <si>
    <t>36010535CK</t>
  </si>
  <si>
    <t>2250703588</t>
  </si>
  <si>
    <t>CKCSA4020-1uH/M</t>
  </si>
  <si>
    <t>8</t>
  </si>
  <si>
    <t>3601053VCK</t>
  </si>
  <si>
    <t>2250501421</t>
  </si>
  <si>
    <t>CKCS6045-1uH/M</t>
  </si>
  <si>
    <t>9</t>
  </si>
  <si>
    <t>2250501991</t>
  </si>
  <si>
    <t>10</t>
  </si>
  <si>
    <t>11</t>
  </si>
  <si>
    <t>2250502961</t>
  </si>
  <si>
    <t>12</t>
  </si>
  <si>
    <t>13</t>
  </si>
  <si>
    <t>2250503773</t>
  </si>
  <si>
    <t>14</t>
  </si>
  <si>
    <t>2250702131</t>
  </si>
  <si>
    <t>15</t>
  </si>
  <si>
    <t>36010548CK</t>
  </si>
  <si>
    <t>2250402222</t>
  </si>
  <si>
    <t>CKST0603-1uH/M</t>
  </si>
  <si>
    <t>16</t>
  </si>
  <si>
    <t>17</t>
  </si>
  <si>
    <t>3601054WCK</t>
  </si>
  <si>
    <t>2250303959</t>
  </si>
  <si>
    <t>CKST252012-1uH/M</t>
  </si>
  <si>
    <t>18</t>
  </si>
  <si>
    <t>2250400734</t>
  </si>
  <si>
    <t>19</t>
  </si>
  <si>
    <t>2250401550</t>
  </si>
  <si>
    <t>20</t>
  </si>
  <si>
    <t>3601066ACK</t>
  </si>
  <si>
    <t>2250700689</t>
  </si>
  <si>
    <t>CKO54-10uH/M</t>
  </si>
  <si>
    <t>21</t>
  </si>
  <si>
    <t>22</t>
  </si>
  <si>
    <t>23</t>
  </si>
  <si>
    <t>36010676CK</t>
  </si>
  <si>
    <t>CKST0603-10uH/M</t>
  </si>
  <si>
    <t>24</t>
  </si>
  <si>
    <t>2250602390</t>
  </si>
  <si>
    <t>25</t>
  </si>
  <si>
    <t>36010677CK</t>
  </si>
  <si>
    <t>CKST12065-10uH/M</t>
  </si>
  <si>
    <t>26</t>
  </si>
  <si>
    <t>3601550NCK</t>
  </si>
  <si>
    <t>CKCS6045-1.5uH/M</t>
  </si>
  <si>
    <t>27</t>
  </si>
  <si>
    <t>3601550WCK</t>
  </si>
  <si>
    <t>CKCS4030-1.5uH/N</t>
  </si>
  <si>
    <t>28</t>
  </si>
  <si>
    <t>3601551SCK</t>
  </si>
  <si>
    <t>2250503716</t>
  </si>
  <si>
    <t>CKST252012-1.5uH/M</t>
  </si>
  <si>
    <t>29</t>
  </si>
  <si>
    <t>3601561TCK</t>
  </si>
  <si>
    <t>2250501010</t>
  </si>
  <si>
    <t>CKSTC0603-15uH/M</t>
  </si>
  <si>
    <t>30</t>
  </si>
  <si>
    <t>31</t>
  </si>
  <si>
    <t>32</t>
  </si>
  <si>
    <t>2250601019</t>
  </si>
  <si>
    <t>33</t>
  </si>
  <si>
    <t>3602252MCK</t>
  </si>
  <si>
    <t>2250501402</t>
  </si>
  <si>
    <t>CKCS6045-2.2uH/M</t>
  </si>
  <si>
    <t>34</t>
  </si>
  <si>
    <t>36022534CK</t>
  </si>
  <si>
    <t>CKCS5020-2.2uH/N</t>
  </si>
  <si>
    <t>35</t>
  </si>
  <si>
    <t>36</t>
  </si>
  <si>
    <t>36022536CK</t>
  </si>
  <si>
    <t>CKCS4030-2.2uH/M</t>
  </si>
  <si>
    <t>37</t>
  </si>
  <si>
    <t>38</t>
  </si>
  <si>
    <t>36022549CK</t>
  </si>
  <si>
    <t>2250500242</t>
  </si>
  <si>
    <t>CKST0402-2.2uH/M</t>
  </si>
  <si>
    <t>39</t>
  </si>
  <si>
    <t>2250502940</t>
  </si>
  <si>
    <t>40</t>
  </si>
  <si>
    <t>41</t>
  </si>
  <si>
    <t>3602254ACK</t>
  </si>
  <si>
    <t>CKST0503-2.2uH/M</t>
  </si>
  <si>
    <t>42</t>
  </si>
  <si>
    <t>43</t>
  </si>
  <si>
    <t>44</t>
  </si>
  <si>
    <t>3602256PCK</t>
  </si>
  <si>
    <t>CKCS6045-2.2uH/M-F01</t>
  </si>
  <si>
    <t>45</t>
  </si>
  <si>
    <t>36033405CK</t>
  </si>
  <si>
    <t>CKST0603-0.33uH/M</t>
  </si>
  <si>
    <t>46</t>
  </si>
  <si>
    <t>2250600347</t>
  </si>
  <si>
    <t>47</t>
  </si>
  <si>
    <t>48</t>
  </si>
  <si>
    <t>49</t>
  </si>
  <si>
    <t>50</t>
  </si>
  <si>
    <t>3603352QCK</t>
  </si>
  <si>
    <t>CKO43-3.3uH/M</t>
  </si>
  <si>
    <t>51</t>
  </si>
  <si>
    <t>3603352SCK</t>
  </si>
  <si>
    <t>2250500289</t>
  </si>
  <si>
    <t>CKO54-3.3uH/M</t>
  </si>
  <si>
    <t>52</t>
  </si>
  <si>
    <t>53</t>
  </si>
  <si>
    <t>36033535CK</t>
  </si>
  <si>
    <t>CKCS4030-3.3uH/M</t>
  </si>
  <si>
    <t>54</t>
  </si>
  <si>
    <t>3603353ECK</t>
  </si>
  <si>
    <t>CKCS6045-3.3uH/M</t>
  </si>
  <si>
    <t>55</t>
  </si>
  <si>
    <t>3603353PCK</t>
  </si>
  <si>
    <t>2250302947</t>
  </si>
  <si>
    <t>CKST0402-3.3uH/M</t>
  </si>
  <si>
    <t>56</t>
  </si>
  <si>
    <t>57</t>
  </si>
  <si>
    <t>58</t>
  </si>
  <si>
    <t>36033565CK</t>
  </si>
  <si>
    <t>2250402114</t>
  </si>
  <si>
    <t>CKCD5D28-3.3uH/M</t>
  </si>
  <si>
    <t>59</t>
  </si>
  <si>
    <t>36047409CK</t>
  </si>
  <si>
    <t>CKST0603-0.47uH/M</t>
  </si>
  <si>
    <t>60</t>
  </si>
  <si>
    <t>61</t>
  </si>
  <si>
    <t>62</t>
  </si>
  <si>
    <t>63</t>
  </si>
  <si>
    <t>3604742VCK</t>
  </si>
  <si>
    <t>CKST0402-0.47uH/M</t>
  </si>
  <si>
    <t>64</t>
  </si>
  <si>
    <t>3604743KCK</t>
  </si>
  <si>
    <t>CKST201610-0.47uH/M-X02</t>
  </si>
  <si>
    <t>65</t>
  </si>
  <si>
    <t>3604753UCK</t>
  </si>
  <si>
    <t>CKCS6045-4.7uH/M</t>
  </si>
  <si>
    <t>66</t>
  </si>
  <si>
    <t>67</t>
  </si>
  <si>
    <t>68</t>
  </si>
  <si>
    <t>69</t>
  </si>
  <si>
    <t>70</t>
  </si>
  <si>
    <t>71</t>
  </si>
  <si>
    <t>72</t>
  </si>
  <si>
    <t>73</t>
  </si>
  <si>
    <t>36047555CK</t>
  </si>
  <si>
    <t>CKO54-4.7uH/M</t>
  </si>
  <si>
    <t>74</t>
  </si>
  <si>
    <t>75</t>
  </si>
  <si>
    <t>3604755UCK</t>
  </si>
  <si>
    <t>2250703087</t>
  </si>
  <si>
    <t>CKST12065-4.7uH/M-B</t>
  </si>
  <si>
    <t>76</t>
  </si>
  <si>
    <t>36047563CK</t>
  </si>
  <si>
    <t>CKST0503-4.7uH/M</t>
  </si>
  <si>
    <t>77</t>
  </si>
  <si>
    <t>78</t>
  </si>
  <si>
    <t>3604756ACK</t>
  </si>
  <si>
    <t>CKST0402-4.7uH/M</t>
  </si>
  <si>
    <t>79</t>
  </si>
  <si>
    <t>360475ADCK</t>
  </si>
  <si>
    <t>CKO43-4.7uH/M</t>
  </si>
  <si>
    <t>80</t>
  </si>
  <si>
    <t>81</t>
  </si>
  <si>
    <t>3606840LCK</t>
  </si>
  <si>
    <t>CKST0603-0.68uH/M</t>
  </si>
  <si>
    <t>82</t>
  </si>
  <si>
    <t>83</t>
  </si>
  <si>
    <t>3606840SCK</t>
  </si>
  <si>
    <t>2250503286</t>
  </si>
  <si>
    <t>CKST0502P-0.68uH/M</t>
  </si>
  <si>
    <t>84</t>
  </si>
  <si>
    <t>36700034CK</t>
  </si>
  <si>
    <t>CKTCB040202-250uH-A2975</t>
  </si>
  <si>
    <t>85</t>
  </si>
  <si>
    <t>3670003BCK</t>
  </si>
  <si>
    <t>2250603290</t>
  </si>
  <si>
    <t>CKTC100604-300uH/Min-A2003</t>
  </si>
  <si>
    <t>86</t>
  </si>
  <si>
    <t>3670003LCK</t>
  </si>
  <si>
    <t>CKTCB654526-120uH-A3623</t>
  </si>
  <si>
    <t>87</t>
  </si>
  <si>
    <t>2250702611</t>
  </si>
  <si>
    <t>88</t>
  </si>
  <si>
    <t>36700058CK</t>
  </si>
  <si>
    <t>CKTC100604-11.5uH/N-3A-A5244</t>
  </si>
  <si>
    <t>89</t>
  </si>
  <si>
    <t>2250601847</t>
  </si>
  <si>
    <t>90</t>
  </si>
  <si>
    <t>3670005TCK</t>
  </si>
  <si>
    <t>CKTC100605-3mH-A4224</t>
  </si>
  <si>
    <t>91</t>
  </si>
  <si>
    <t>92</t>
  </si>
  <si>
    <t>2250701497</t>
  </si>
  <si>
    <t>93</t>
  </si>
  <si>
    <t>94</t>
  </si>
  <si>
    <t>2250702732</t>
  </si>
  <si>
    <t>95</t>
  </si>
  <si>
    <t>96</t>
  </si>
  <si>
    <t>36700075CK</t>
  </si>
  <si>
    <t>CKCMV1515-10mH/Min-A5619</t>
  </si>
  <si>
    <t>97</t>
  </si>
  <si>
    <t>98</t>
  </si>
  <si>
    <t>36700083CK</t>
  </si>
  <si>
    <t>2250700716</t>
  </si>
  <si>
    <t>CKTCR090503-11.5uH/P-B1739</t>
  </si>
  <si>
    <t>99</t>
  </si>
  <si>
    <t>36700088CK</t>
  </si>
  <si>
    <t>CKTCBL140807-30mH/Min-B2010</t>
  </si>
  <si>
    <t xml:space="preserve">                  TOTAL</t>
  </si>
  <si>
    <t>报关行</t>
  </si>
  <si>
    <t>江苏众诚报关代理有限公司</t>
  </si>
  <si>
    <t>申报地海关</t>
  </si>
  <si>
    <t>关联备案号</t>
  </si>
  <si>
    <t>新帐册号T2358W000197（25.2.24开始）</t>
  </si>
  <si>
    <t>运输方式</t>
  </si>
  <si>
    <t>保税港区</t>
  </si>
  <si>
    <t>PACKING LIST</t>
  </si>
  <si>
    <t>No &amp; Date of Invoice</t>
  </si>
  <si>
    <t>Shenzhen Cenker Technology Group Co., Ltd.</t>
  </si>
  <si>
    <t>Remarks:</t>
  </si>
  <si>
    <t>HONGKONG CEN KE ELECTRONICS INTL CO., LTD.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</si>
  <si>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</si>
  <si>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</si>
  <si>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</si>
  <si>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</si>
  <si>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</si>
  <si>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</si>
  <si>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</si>
  <si>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CD1</t>
  </si>
  <si>
    <t>Inductor</t>
  </si>
  <si>
    <t>358*358*187</t>
  </si>
  <si>
    <t>CD2-CD3</t>
  </si>
  <si>
    <t>CD4-CD7</t>
  </si>
  <si>
    <t>CD8</t>
  </si>
  <si>
    <t>CD9-CD13</t>
  </si>
  <si>
    <t>CD14-CD16</t>
  </si>
  <si>
    <t>CD17</t>
  </si>
  <si>
    <t>CD18-CD19</t>
  </si>
  <si>
    <t>CD20-CD26</t>
  </si>
  <si>
    <t>CD27</t>
  </si>
  <si>
    <t>CD28</t>
  </si>
  <si>
    <t>CD29-CD33</t>
  </si>
  <si>
    <t>CD34-CD43</t>
  </si>
  <si>
    <t>CD44</t>
  </si>
  <si>
    <t>CD45</t>
  </si>
  <si>
    <t>CD46-CD47</t>
  </si>
  <si>
    <t>CD48</t>
  </si>
  <si>
    <t>CD49-CD50</t>
  </si>
  <si>
    <t>CD51-CD53</t>
  </si>
  <si>
    <t>CD54</t>
  </si>
  <si>
    <t>CD55-CD56</t>
  </si>
  <si>
    <t>CD57-CD61</t>
  </si>
  <si>
    <t>CD62-CD67</t>
  </si>
  <si>
    <t>CD68</t>
  </si>
  <si>
    <t>CD69-CD71</t>
  </si>
  <si>
    <t>CD72-CD77</t>
  </si>
  <si>
    <t>CD78-CD83</t>
  </si>
  <si>
    <t>CD84</t>
  </si>
  <si>
    <t>CD85-CD86</t>
  </si>
  <si>
    <t>CD87-CD88</t>
  </si>
  <si>
    <t>CD89-CD92</t>
  </si>
  <si>
    <t>CD93</t>
  </si>
  <si>
    <t>CD94-CD96</t>
  </si>
  <si>
    <t>CD97-CD106</t>
  </si>
  <si>
    <t>CD107</t>
  </si>
  <si>
    <t>CD108-CD109</t>
  </si>
  <si>
    <t>CD110-CD113</t>
  </si>
  <si>
    <t>CD114-CD133</t>
  </si>
  <si>
    <t>365*275*180</t>
  </si>
  <si>
    <t>CD134</t>
  </si>
  <si>
    <t>410*208*218</t>
  </si>
  <si>
    <t>CD135</t>
  </si>
  <si>
    <t>CD136</t>
  </si>
  <si>
    <t>CD137-CD142</t>
  </si>
  <si>
    <t>465*280*193</t>
  </si>
  <si>
    <t>CD143</t>
  </si>
  <si>
    <t>CD144-CD154</t>
  </si>
  <si>
    <t>CD155-CD170</t>
  </si>
  <si>
    <t>CD171-CD188</t>
  </si>
  <si>
    <t>CD189-CD233</t>
  </si>
  <si>
    <t>TOTAL</t>
  </si>
  <si>
    <t>5.57m³</t>
  </si>
  <si>
    <t>件数</t>
  </si>
  <si>
    <t>栈板重量</t>
  </si>
  <si>
    <t>包装种类</t>
  </si>
  <si>
    <t>托盘</t>
  </si>
  <si>
    <t>总重量</t>
  </si>
  <si>
    <t>托盘材质</t>
  </si>
  <si>
    <t>塑胶托</t>
  </si>
</sst>
</file>

<file path=xl/styles.xml><?xml version="1.0" encoding="utf-8"?>
<styleSheet xmlns="http://schemas.openxmlformats.org/spreadsheetml/2006/main">
  <numFmts count="11"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0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#,##0.00_ "/>
    <numFmt numFmtId="181" formatCode="yyyy/m/d;@"/>
    <numFmt numFmtId="182" formatCode="0.000_ "/>
    <numFmt numFmtId="183" formatCode="0.0000_);[Red]\(0.0000\)"/>
    <numFmt numFmtId="184" formatCode="0.00_);[Red]\(0.00\)"/>
  </numFmts>
  <fonts count="40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8"/>
      <name val="Arial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8"/>
      <name val="宋体"/>
      <charset val="134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sz val="12"/>
      <name val="新細明體"/>
      <charset val="136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2" fillId="16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6" borderId="23" applyNumberFormat="0" applyFont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4" fillId="8" borderId="18" applyNumberFormat="0" applyAlignment="0" applyProtection="0">
      <alignment vertical="center"/>
    </xf>
    <xf numFmtId="0" fontId="30" fillId="12" borderId="21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38" fillId="0" borderId="0"/>
    <xf numFmtId="0" fontId="35" fillId="2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9" fillId="0" borderId="0"/>
  </cellStyleXfs>
  <cellXfs count="19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1" applyFont="1" applyFill="1" applyBorder="1"/>
    <xf numFmtId="0" fontId="1" fillId="2" borderId="2" xfId="31" applyFont="1" applyFill="1" applyBorder="1"/>
    <xf numFmtId="0" fontId="3" fillId="0" borderId="2" xfId="31" applyFont="1" applyBorder="1"/>
    <xf numFmtId="0" fontId="4" fillId="0" borderId="4" xfId="31" applyFont="1" applyBorder="1"/>
    <xf numFmtId="0" fontId="5" fillId="3" borderId="3" xfId="0" applyFont="1" applyFill="1" applyBorder="1" applyAlignment="1"/>
    <xf numFmtId="0" fontId="3" fillId="2" borderId="0" xfId="31" applyFont="1" applyFill="1" applyBorder="1" applyAlignment="1">
      <alignment horizontal="left"/>
    </xf>
    <xf numFmtId="0" fontId="3" fillId="0" borderId="0" xfId="31" applyFont="1" applyBorder="1"/>
    <xf numFmtId="0" fontId="3" fillId="0" borderId="5" xfId="31" applyFont="1" applyBorder="1"/>
    <xf numFmtId="181" fontId="3" fillId="3" borderId="3" xfId="0" applyNumberFormat="1" applyFont="1" applyFill="1" applyBorder="1" applyAlignment="1"/>
    <xf numFmtId="0" fontId="3" fillId="0" borderId="3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3" fillId="0" borderId="3" xfId="31" applyFont="1" applyBorder="1"/>
    <xf numFmtId="0" fontId="3" fillId="0" borderId="6" xfId="50" applyFont="1" applyBorder="1" applyAlignment="1">
      <alignment horizontal="left"/>
    </xf>
    <xf numFmtId="0" fontId="3" fillId="0" borderId="7" xfId="50" applyFont="1" applyBorder="1"/>
    <xf numFmtId="0" fontId="3" fillId="0" borderId="7" xfId="52" applyFont="1" applyBorder="1"/>
    <xf numFmtId="0" fontId="3" fillId="0" borderId="8" xfId="52" applyFont="1" applyBorder="1"/>
    <xf numFmtId="0" fontId="3" fillId="0" borderId="6" xfId="31" applyFont="1" applyBorder="1"/>
    <xf numFmtId="0" fontId="3" fillId="0" borderId="7" xfId="31" applyFont="1" applyBorder="1"/>
    <xf numFmtId="0" fontId="1" fillId="2" borderId="1" xfId="50" applyFont="1" applyFill="1" applyBorder="1"/>
    <xf numFmtId="0" fontId="3" fillId="2" borderId="2" xfId="31" applyFont="1" applyFill="1" applyBorder="1"/>
    <xf numFmtId="0" fontId="3" fillId="2" borderId="4" xfId="31" applyFont="1" applyFill="1" applyBorder="1"/>
    <xf numFmtId="0" fontId="1" fillId="0" borderId="2" xfId="31" applyFont="1" applyBorder="1"/>
    <xf numFmtId="0" fontId="3" fillId="0" borderId="0" xfId="31" applyFont="1"/>
    <xf numFmtId="0" fontId="3" fillId="3" borderId="3" xfId="31" applyFont="1" applyFill="1" applyBorder="1" applyAlignment="1">
      <alignment horizontal="left"/>
    </xf>
    <xf numFmtId="0" fontId="3" fillId="2" borderId="0" xfId="31" applyFont="1" applyFill="1" applyBorder="1"/>
    <xf numFmtId="0" fontId="3" fillId="2" borderId="5" xfId="31" applyFont="1" applyFill="1" applyBorder="1"/>
    <xf numFmtId="0" fontId="1" fillId="0" borderId="0" xfId="31" applyFont="1"/>
    <xf numFmtId="0" fontId="3" fillId="0" borderId="0" xfId="50" applyFont="1"/>
    <xf numFmtId="0" fontId="3" fillId="2" borderId="3" xfId="31" applyFont="1" applyFill="1" applyBorder="1" applyAlignment="1">
      <alignment vertical="top" wrapText="1"/>
    </xf>
    <xf numFmtId="0" fontId="3" fillId="2" borderId="0" xfId="31" applyFont="1" applyFill="1" applyBorder="1" applyAlignment="1">
      <alignment vertical="top" wrapText="1"/>
    </xf>
    <xf numFmtId="0" fontId="3" fillId="2" borderId="5" xfId="31" applyFont="1" applyFill="1" applyBorder="1" applyAlignment="1">
      <alignment vertical="top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3" fillId="0" borderId="8" xfId="31" applyFont="1" applyBorder="1"/>
    <xf numFmtId="0" fontId="6" fillId="0" borderId="0" xfId="31" applyFont="1"/>
    <xf numFmtId="0" fontId="7" fillId="0" borderId="0" xfId="31" applyFont="1" applyBorder="1"/>
    <xf numFmtId="0" fontId="3" fillId="0" borderId="0" xfId="0" applyFont="1" applyFill="1" applyBorder="1" applyAlignment="1"/>
    <xf numFmtId="0" fontId="3" fillId="0" borderId="0" xfId="31" applyFont="1" applyAlignment="1">
      <alignment horizontal="left"/>
    </xf>
    <xf numFmtId="0" fontId="3" fillId="0" borderId="3" xfId="31" applyFont="1" applyBorder="1" applyAlignment="1">
      <alignment horizontal="left"/>
    </xf>
    <xf numFmtId="0" fontId="3" fillId="0" borderId="5" xfId="31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31" applyFont="1" applyBorder="1"/>
    <xf numFmtId="0" fontId="4" fillId="0" borderId="4" xfId="50" applyFont="1" applyBorder="1" applyAlignment="1"/>
    <xf numFmtId="179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" fillId="0" borderId="0" xfId="31" applyFont="1" applyBorder="1"/>
    <xf numFmtId="0" fontId="4" fillId="0" borderId="5" xfId="31" applyFont="1" applyBorder="1"/>
    <xf numFmtId="0" fontId="8" fillId="0" borderId="5" xfId="31" applyFont="1" applyBorder="1" applyAlignment="1">
      <alignment horizontal="right"/>
    </xf>
    <xf numFmtId="181" fontId="3" fillId="0" borderId="6" xfId="0" applyNumberFormat="1" applyFont="1" applyFill="1" applyBorder="1" applyAlignment="1">
      <alignment horizontal="left"/>
    </xf>
    <xf numFmtId="181" fontId="3" fillId="0" borderId="8" xfId="0" applyNumberFormat="1" applyFont="1" applyFill="1" applyBorder="1" applyAlignment="1">
      <alignment horizontal="left"/>
    </xf>
    <xf numFmtId="0" fontId="1" fillId="2" borderId="3" xfId="50" applyFont="1" applyFill="1" applyBorder="1" applyAlignment="1">
      <alignment horizontal="center" vertical="center"/>
    </xf>
    <xf numFmtId="0" fontId="1" fillId="2" borderId="0" xfId="50" applyFont="1" applyFill="1" applyBorder="1" applyAlignment="1">
      <alignment horizontal="center" vertical="center"/>
    </xf>
    <xf numFmtId="0" fontId="1" fillId="2" borderId="0" xfId="31" applyFont="1" applyFill="1" applyBorder="1" applyAlignment="1">
      <alignment horizontal="center" vertical="center"/>
    </xf>
    <xf numFmtId="0" fontId="1" fillId="2" borderId="0" xfId="3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 wrapText="1" shrinkToFit="1"/>
    </xf>
    <xf numFmtId="0" fontId="9" fillId="0" borderId="0" xfId="0" applyFont="1" applyFill="1" applyBorder="1" applyAlignment="1">
      <alignment horizontal="center" vertical="center" wrapText="1" shrinkToFit="1"/>
    </xf>
    <xf numFmtId="0" fontId="9" fillId="0" borderId="0" xfId="0" applyFont="1" applyFill="1" applyAlignment="1">
      <alignment horizontal="left" vertical="center" shrinkToFit="1"/>
    </xf>
    <xf numFmtId="178" fontId="9" fillId="0" borderId="0" xfId="0" applyNumberFormat="1" applyFont="1" applyFill="1" applyBorder="1" applyAlignment="1">
      <alignment horizontal="center" vertical="center" shrinkToFit="1"/>
    </xf>
    <xf numFmtId="182" fontId="9" fillId="0" borderId="0" xfId="0" applyNumberFormat="1" applyFont="1" applyFill="1" applyBorder="1" applyAlignment="1">
      <alignment horizontal="center" vertical="center" wrapText="1" shrinkToFit="1"/>
    </xf>
    <xf numFmtId="184" fontId="9" fillId="0" borderId="0" xfId="0" applyNumberFormat="1" applyFont="1" applyFill="1" applyBorder="1" applyAlignment="1">
      <alignment horizontal="center" vertical="center" wrapText="1" shrinkToFit="1"/>
    </xf>
    <xf numFmtId="0" fontId="1" fillId="0" borderId="4" xfId="3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10" fillId="0" borderId="4" xfId="0" applyFont="1" applyFill="1" applyBorder="1" applyAlignment="1"/>
    <xf numFmtId="0" fontId="10" fillId="0" borderId="5" xfId="0" applyFont="1" applyFill="1" applyBorder="1" applyAlignment="1"/>
    <xf numFmtId="0" fontId="3" fillId="0" borderId="0" xfId="31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3" fillId="0" borderId="9" xfId="51" applyFont="1" applyFill="1" applyBorder="1" applyAlignment="1">
      <alignment horizontal="center" vertical="center" wrapText="1" shrinkToFit="1"/>
    </xf>
    <xf numFmtId="0" fontId="3" fillId="0" borderId="10" xfId="51" applyFont="1" applyFill="1" applyBorder="1" applyAlignment="1">
      <alignment horizontal="center" vertical="center" wrapText="1" shrinkToFit="1"/>
    </xf>
    <xf numFmtId="0" fontId="3" fillId="0" borderId="10" xfId="31" applyFont="1" applyBorder="1" applyAlignment="1">
      <alignment horizontal="center" vertical="center" wrapText="1" shrinkToFit="1"/>
    </xf>
    <xf numFmtId="182" fontId="4" fillId="0" borderId="10" xfId="31" applyNumberFormat="1" applyFont="1" applyBorder="1" applyAlignment="1">
      <alignment horizontal="center" vertical="center" wrapText="1" shrinkToFit="1"/>
    </xf>
    <xf numFmtId="184" fontId="3" fillId="0" borderId="10" xfId="31" applyNumberFormat="1" applyFont="1" applyBorder="1" applyAlignment="1">
      <alignment horizontal="center" vertical="center" wrapText="1" shrinkToFit="1"/>
    </xf>
    <xf numFmtId="178" fontId="1" fillId="3" borderId="3" xfId="31" applyNumberFormat="1" applyFont="1" applyFill="1" applyBorder="1" applyAlignment="1">
      <alignment horizontal="center"/>
    </xf>
    <xf numFmtId="0" fontId="1" fillId="0" borderId="0" xfId="31" applyFont="1" applyFill="1" applyBorder="1" applyAlignment="1">
      <alignment horizontal="left"/>
    </xf>
    <xf numFmtId="0" fontId="1" fillId="0" borderId="0" xfId="31" applyFont="1" applyFill="1" applyBorder="1" applyAlignment="1">
      <alignment horizontal="center"/>
    </xf>
    <xf numFmtId="179" fontId="1" fillId="3" borderId="0" xfId="31" applyNumberFormat="1" applyFont="1" applyFill="1" applyBorder="1" applyAlignment="1">
      <alignment horizontal="center"/>
    </xf>
    <xf numFmtId="0" fontId="1" fillId="3" borderId="0" xfId="31" applyFont="1" applyFill="1" applyBorder="1" applyAlignment="1">
      <alignment horizontal="center"/>
    </xf>
    <xf numFmtId="184" fontId="1" fillId="3" borderId="0" xfId="31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3" borderId="0" xfId="31" applyFont="1" applyFill="1" applyAlignment="1">
      <alignment horizontal="center" vertical="center"/>
    </xf>
    <xf numFmtId="0" fontId="3" fillId="3" borderId="0" xfId="31" applyFont="1" applyFill="1"/>
    <xf numFmtId="0" fontId="5" fillId="3" borderId="0" xfId="31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3" fillId="0" borderId="0" xfId="0" applyFont="1" applyFill="1" applyBorder="1" applyAlignment="1">
      <alignment horizontal="left" vertical="center"/>
    </xf>
    <xf numFmtId="179" fontId="13" fillId="0" borderId="0" xfId="0" applyNumberFormat="1" applyFont="1" applyFill="1" applyBorder="1" applyAlignment="1">
      <alignment horizontal="left" vertical="center"/>
    </xf>
    <xf numFmtId="179" fontId="14" fillId="3" borderId="0" xfId="0" applyNumberFormat="1" applyFont="1" applyFill="1" applyBorder="1" applyAlignment="1">
      <alignment horizontal="left" vertical="center"/>
    </xf>
    <xf numFmtId="179" fontId="14" fillId="0" borderId="0" xfId="0" applyNumberFormat="1" applyFont="1" applyFill="1" applyBorder="1" applyAlignment="1">
      <alignment horizontal="left" vertical="center"/>
    </xf>
    <xf numFmtId="184" fontId="1" fillId="0" borderId="10" xfId="31" applyNumberFormat="1" applyFont="1" applyBorder="1" applyAlignment="1">
      <alignment horizontal="center" vertical="center" wrapText="1" shrinkToFit="1"/>
    </xf>
    <xf numFmtId="184" fontId="1" fillId="0" borderId="11" xfId="31" applyNumberFormat="1" applyFont="1" applyBorder="1" applyAlignment="1">
      <alignment horizontal="center" vertical="center" wrapText="1" shrinkToFit="1"/>
    </xf>
    <xf numFmtId="184" fontId="1" fillId="3" borderId="5" xfId="31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5" fillId="0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12" xfId="50" applyFont="1" applyBorder="1" applyAlignment="1">
      <alignment horizontal="center"/>
    </xf>
    <xf numFmtId="0" fontId="16" fillId="0" borderId="13" xfId="50" applyFont="1" applyBorder="1" applyAlignment="1">
      <alignment horizontal="center"/>
    </xf>
    <xf numFmtId="0" fontId="1" fillId="2" borderId="3" xfId="50" applyFont="1" applyFill="1" applyBorder="1"/>
    <xf numFmtId="0" fontId="1" fillId="2" borderId="0" xfId="50" applyFont="1" applyFill="1" applyBorder="1"/>
    <xf numFmtId="0" fontId="3" fillId="0" borderId="0" xfId="50" applyFont="1" applyBorder="1"/>
    <xf numFmtId="0" fontId="3" fillId="2" borderId="0" xfId="50" applyFont="1" applyFill="1" applyBorder="1"/>
    <xf numFmtId="0" fontId="3" fillId="0" borderId="5" xfId="50" applyFont="1" applyBorder="1"/>
    <xf numFmtId="58" fontId="3" fillId="3" borderId="3" xfId="0" applyNumberFormat="1" applyFont="1" applyFill="1" applyBorder="1" applyAlignment="1"/>
    <xf numFmtId="49" fontId="3" fillId="2" borderId="0" xfId="50" applyNumberFormat="1" applyFont="1" applyFill="1" applyBorder="1" applyAlignment="1">
      <alignment horizontal="center"/>
    </xf>
    <xf numFmtId="49" fontId="3" fillId="0" borderId="0" xfId="50" applyNumberFormat="1" applyFont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181" fontId="3" fillId="2" borderId="0" xfId="0" applyNumberFormat="1" applyFont="1" applyFill="1" applyBorder="1" applyAlignment="1"/>
    <xf numFmtId="181" fontId="3" fillId="0" borderId="0" xfId="0" applyNumberFormat="1" applyFont="1" applyFill="1" applyBorder="1" applyAlignment="1">
      <alignment horizontal="left"/>
    </xf>
    <xf numFmtId="0" fontId="3" fillId="0" borderId="3" xfId="50" applyFont="1" applyBorder="1"/>
    <xf numFmtId="0" fontId="3" fillId="0" borderId="7" xfId="50" applyFont="1" applyBorder="1" applyAlignment="1">
      <alignment horizontal="left"/>
    </xf>
    <xf numFmtId="0" fontId="3" fillId="0" borderId="8" xfId="50" applyFont="1" applyBorder="1"/>
    <xf numFmtId="0" fontId="3" fillId="0" borderId="6" xfId="50" applyFont="1" applyBorder="1"/>
    <xf numFmtId="0" fontId="1" fillId="2" borderId="2" xfId="50" applyFont="1" applyFill="1" applyBorder="1"/>
    <xf numFmtId="0" fontId="3" fillId="2" borderId="2" xfId="50" applyFont="1" applyFill="1" applyBorder="1"/>
    <xf numFmtId="0" fontId="3" fillId="2" borderId="4" xfId="50" applyFont="1" applyFill="1" applyBorder="1"/>
    <xf numFmtId="0" fontId="1" fillId="0" borderId="1" xfId="50" applyFont="1" applyBorder="1"/>
    <xf numFmtId="0" fontId="3" fillId="0" borderId="2" xfId="50" applyFont="1" applyBorder="1"/>
    <xf numFmtId="0" fontId="1" fillId="2" borderId="0" xfId="31" applyFont="1" applyFill="1" applyBorder="1" applyAlignment="1">
      <alignment horizontal="left"/>
    </xf>
    <xf numFmtId="0" fontId="1" fillId="2" borderId="5" xfId="31" applyFont="1" applyFill="1" applyBorder="1" applyAlignment="1">
      <alignment horizontal="left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3" xfId="50" applyFont="1" applyBorder="1" applyAlignment="1">
      <alignment horizontal="center"/>
    </xf>
    <xf numFmtId="0" fontId="3" fillId="0" borderId="0" xfId="50" applyFont="1" applyBorder="1" applyAlignment="1">
      <alignment horizontal="center"/>
    </xf>
    <xf numFmtId="0" fontId="3" fillId="0" borderId="4" xfId="50" applyFont="1" applyBorder="1"/>
    <xf numFmtId="0" fontId="5" fillId="3" borderId="3" xfId="31" applyFont="1" applyFill="1" applyBorder="1" applyAlignment="1">
      <alignment horizontal="left"/>
    </xf>
    <xf numFmtId="0" fontId="3" fillId="0" borderId="0" xfId="31" applyFont="1" applyBorder="1" applyAlignment="1">
      <alignment horizontal="left"/>
    </xf>
    <xf numFmtId="0" fontId="3" fillId="3" borderId="3" xfId="0" applyFont="1" applyFill="1" applyBorder="1" applyAlignment="1"/>
    <xf numFmtId="0" fontId="3" fillId="2" borderId="0" xfId="0" applyFont="1" applyFill="1" applyBorder="1" applyAlignment="1"/>
    <xf numFmtId="0" fontId="1" fillId="0" borderId="0" xfId="50" applyFont="1" applyBorder="1"/>
    <xf numFmtId="0" fontId="3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0" xfId="50" applyFont="1" applyBorder="1"/>
    <xf numFmtId="0" fontId="5" fillId="0" borderId="6" xfId="0" applyFont="1" applyFill="1" applyBorder="1" applyAlignment="1"/>
    <xf numFmtId="0" fontId="3" fillId="0" borderId="8" xfId="50" applyFont="1" applyBorder="1" applyAlignment="1"/>
    <xf numFmtId="0" fontId="1" fillId="0" borderId="3" xfId="50" applyFont="1" applyBorder="1"/>
    <xf numFmtId="0" fontId="3" fillId="0" borderId="8" xfId="0" applyFont="1" applyFill="1" applyBorder="1" applyAlignment="1">
      <alignment horizontal="center"/>
    </xf>
    <xf numFmtId="0" fontId="5" fillId="3" borderId="6" xfId="50" applyFont="1" applyFill="1" applyBorder="1"/>
    <xf numFmtId="0" fontId="5" fillId="3" borderId="7" xfId="50" applyFont="1" applyFill="1" applyBorder="1"/>
    <xf numFmtId="0" fontId="1" fillId="0" borderId="14" xfId="50" applyFont="1" applyBorder="1" applyAlignment="1">
      <alignment horizontal="center" vertical="center"/>
    </xf>
    <xf numFmtId="0" fontId="1" fillId="2" borderId="14" xfId="50" applyFont="1" applyFill="1" applyBorder="1" applyAlignment="1">
      <alignment horizontal="center" vertical="center"/>
    </xf>
    <xf numFmtId="0" fontId="1" fillId="0" borderId="14" xfId="5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 shrinkToFit="1"/>
    </xf>
    <xf numFmtId="180" fontId="9" fillId="0" borderId="0" xfId="0" applyNumberFormat="1" applyFont="1" applyFill="1" applyBorder="1" applyAlignment="1">
      <alignment horizontal="center" vertical="center" wrapText="1" shrinkToFit="1"/>
    </xf>
    <xf numFmtId="183" fontId="9" fillId="0" borderId="0" xfId="0" applyNumberFormat="1" applyFont="1" applyFill="1" applyBorder="1" applyAlignment="1">
      <alignment horizontal="center" vertical="center" wrapText="1" shrinkToFit="1"/>
    </xf>
    <xf numFmtId="0" fontId="9" fillId="0" borderId="0" xfId="0" applyNumberFormat="1" applyFont="1" applyFill="1" applyBorder="1" applyAlignment="1">
      <alignment horizontal="center" vertical="center" wrapText="1" shrinkToFit="1"/>
    </xf>
    <xf numFmtId="0" fontId="9" fillId="0" borderId="0" xfId="0" applyFont="1" applyFill="1" applyAlignment="1">
      <alignment horizontal="center" vertical="center" wrapText="1" shrinkToFit="1"/>
    </xf>
    <xf numFmtId="183" fontId="9" fillId="0" borderId="0" xfId="0" applyNumberFormat="1" applyFont="1" applyFill="1" applyAlignment="1">
      <alignment horizontal="center" vertical="center" wrapText="1" shrinkToFit="1"/>
    </xf>
    <xf numFmtId="0" fontId="16" fillId="0" borderId="15" xfId="50" applyFont="1" applyBorder="1" applyAlignment="1">
      <alignment horizontal="center"/>
    </xf>
    <xf numFmtId="0" fontId="10" fillId="0" borderId="0" xfId="0" applyFont="1" applyFill="1" applyBorder="1" applyAlignment="1"/>
    <xf numFmtId="0" fontId="10" fillId="0" borderId="0" xfId="0" applyFont="1" applyFill="1" applyAlignment="1"/>
    <xf numFmtId="0" fontId="10" fillId="0" borderId="7" xfId="0" applyFont="1" applyFill="1" applyBorder="1" applyAlignment="1">
      <alignment vertical="center"/>
    </xf>
    <xf numFmtId="0" fontId="18" fillId="0" borderId="8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5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5" xfId="0" applyFont="1" applyFill="1" applyBorder="1" applyAlignment="1">
      <alignment vertical="center"/>
    </xf>
    <xf numFmtId="0" fontId="4" fillId="0" borderId="7" xfId="31" applyFont="1" applyBorder="1"/>
    <xf numFmtId="0" fontId="10" fillId="0" borderId="2" xfId="0" applyFont="1" applyFill="1" applyBorder="1" applyAlignment="1"/>
    <xf numFmtId="0" fontId="10" fillId="0" borderId="7" xfId="0" applyFont="1" applyFill="1" applyBorder="1" applyAlignment="1"/>
    <xf numFmtId="0" fontId="12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center" vertical="center" wrapText="1" shrinkToFit="1"/>
    </xf>
    <xf numFmtId="183" fontId="9" fillId="0" borderId="7" xfId="0" applyNumberFormat="1" applyFont="1" applyFill="1" applyBorder="1" applyAlignment="1">
      <alignment horizontal="center" vertical="center" wrapText="1" shrinkToFit="1"/>
    </xf>
    <xf numFmtId="0" fontId="3" fillId="0" borderId="12" xfId="50" applyFont="1" applyBorder="1"/>
    <xf numFmtId="0" fontId="3" fillId="0" borderId="13" xfId="50" applyFont="1" applyBorder="1"/>
    <xf numFmtId="0" fontId="3" fillId="0" borderId="13" xfId="50" applyFont="1" applyBorder="1" applyAlignment="1">
      <alignment horizontal="left"/>
    </xf>
    <xf numFmtId="179" fontId="1" fillId="3" borderId="13" xfId="50" applyNumberFormat="1" applyFont="1" applyFill="1" applyBorder="1" applyAlignment="1">
      <alignment horizontal="center"/>
    </xf>
    <xf numFmtId="0" fontId="1" fillId="0" borderId="13" xfId="50" applyFont="1" applyFill="1" applyBorder="1"/>
    <xf numFmtId="183" fontId="1" fillId="0" borderId="13" xfId="50" applyNumberFormat="1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 wrapText="1" shrinkToFit="1"/>
    </xf>
    <xf numFmtId="184" fontId="1" fillId="3" borderId="13" xfId="50" applyNumberFormat="1" applyFont="1" applyFill="1" applyBorder="1" applyAlignment="1">
      <alignment horizontal="center"/>
    </xf>
    <xf numFmtId="0" fontId="12" fillId="0" borderId="13" xfId="0" applyFont="1" applyFill="1" applyBorder="1" applyAlignment="1"/>
    <xf numFmtId="184" fontId="1" fillId="3" borderId="15" xfId="50" applyNumberFormat="1" applyFont="1" applyFill="1" applyBorder="1" applyAlignment="1">
      <alignment horizont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  <cellStyle name="常规_啟德一般貿易" xfId="5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494665</xdr:colOff>
      <xdr:row>119</xdr:row>
      <xdr:rowOff>36830</xdr:rowOff>
    </xdr:from>
    <xdr:to>
      <xdr:col>13</xdr:col>
      <xdr:colOff>963295</xdr:colOff>
      <xdr:row>122</xdr:row>
      <xdr:rowOff>143510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78645" y="32421830"/>
          <a:ext cx="1154430" cy="1021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215900</xdr:colOff>
      <xdr:row>70</xdr:row>
      <xdr:rowOff>19050</xdr:rowOff>
    </xdr:from>
    <xdr:to>
      <xdr:col>3</xdr:col>
      <xdr:colOff>235585</xdr:colOff>
      <xdr:row>74</xdr:row>
      <xdr:rowOff>113665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685" y="12106275"/>
          <a:ext cx="982345" cy="780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5"/>
  <sheetViews>
    <sheetView tabSelected="1" view="pageBreakPreview" zoomScale="90" zoomScaleNormal="100" zoomScaleSheetLayoutView="90" workbookViewId="0">
      <selection activeCell="L20" sqref="L20:N118"/>
    </sheetView>
  </sheetViews>
  <sheetFormatPr defaultColWidth="9" defaultRowHeight="22.5"/>
  <cols>
    <col min="1" max="1" width="9" style="106"/>
    <col min="2" max="2" width="12.5416666666667" style="106" customWidth="1"/>
    <col min="3" max="3" width="11.0916666666667" style="106" customWidth="1"/>
    <col min="4" max="4" width="9" style="106"/>
    <col min="5" max="5" width="12.6333333333333" style="106" customWidth="1"/>
    <col min="6" max="8" width="9" style="106"/>
    <col min="9" max="9" width="9.63333333333333" style="106"/>
    <col min="10" max="13" width="9" style="106"/>
    <col min="14" max="14" width="22.275" style="106" customWidth="1"/>
    <col min="15" max="16384" width="9" style="106"/>
  </cols>
  <sheetData>
    <row r="1" ht="23.25" spans="1:1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62"/>
    </row>
    <row r="2" ht="13.5" spans="1:15">
      <c r="A2" s="109" t="s">
        <v>1</v>
      </c>
      <c r="B2" s="110"/>
      <c r="C2" s="111"/>
      <c r="D2" s="56"/>
      <c r="E2" s="109" t="s">
        <v>2</v>
      </c>
      <c r="F2" s="112"/>
      <c r="G2" s="112"/>
      <c r="H2" s="111"/>
      <c r="I2" s="111"/>
      <c r="J2" s="163"/>
      <c r="K2" s="163"/>
      <c r="L2" s="163"/>
      <c r="M2" s="163"/>
      <c r="N2" s="163"/>
      <c r="O2" s="73"/>
    </row>
    <row r="3" ht="13.5" spans="1:15">
      <c r="A3" s="10" t="s">
        <v>3</v>
      </c>
      <c r="B3" s="11"/>
      <c r="C3" s="111"/>
      <c r="D3" s="113"/>
      <c r="E3" s="114">
        <v>45884</v>
      </c>
      <c r="F3" s="112"/>
      <c r="G3" s="115"/>
      <c r="H3" s="116"/>
      <c r="I3" s="111"/>
      <c r="J3" s="164"/>
      <c r="K3" s="164"/>
      <c r="L3" s="164"/>
      <c r="M3" s="164"/>
      <c r="N3" s="164"/>
      <c r="O3" s="73"/>
    </row>
    <row r="4" spans="1:15">
      <c r="A4" s="117"/>
      <c r="B4" s="118"/>
      <c r="C4" s="118"/>
      <c r="D4" s="119"/>
      <c r="E4" s="14" t="s">
        <v>4</v>
      </c>
      <c r="F4" s="120"/>
      <c r="G4" s="120"/>
      <c r="H4" s="121"/>
      <c r="I4" s="111"/>
      <c r="J4" s="164"/>
      <c r="K4" s="164"/>
      <c r="L4" s="164"/>
      <c r="M4" s="164"/>
      <c r="N4" s="164"/>
      <c r="O4" s="73"/>
    </row>
    <row r="5" ht="13.5" spans="1:15">
      <c r="A5" s="117"/>
      <c r="B5" s="118"/>
      <c r="C5" s="118"/>
      <c r="D5" s="119"/>
      <c r="E5" s="122"/>
      <c r="F5" s="111"/>
      <c r="G5" s="111"/>
      <c r="H5" s="111"/>
      <c r="I5" s="111"/>
      <c r="J5" s="164"/>
      <c r="K5" s="164"/>
      <c r="L5" s="164"/>
      <c r="M5" s="164"/>
      <c r="N5" s="164"/>
      <c r="O5" s="73"/>
    </row>
    <row r="6" ht="13.5" spans="1:15">
      <c r="A6" s="19"/>
      <c r="B6" s="123"/>
      <c r="C6" s="20"/>
      <c r="D6" s="124"/>
      <c r="E6" s="125"/>
      <c r="F6" s="20"/>
      <c r="G6" s="20"/>
      <c r="H6" s="20"/>
      <c r="I6" s="20"/>
      <c r="J6" s="165"/>
      <c r="K6" s="165"/>
      <c r="L6" s="165"/>
      <c r="M6" s="165"/>
      <c r="N6" s="165"/>
      <c r="O6" s="166"/>
    </row>
    <row r="7" ht="13.5" spans="1:15">
      <c r="A7" s="25" t="s">
        <v>5</v>
      </c>
      <c r="B7" s="126"/>
      <c r="C7" s="127"/>
      <c r="D7" s="128"/>
      <c r="E7" s="129" t="s">
        <v>6</v>
      </c>
      <c r="F7" s="130"/>
      <c r="G7" s="130"/>
      <c r="H7" s="130"/>
      <c r="I7" s="130"/>
      <c r="J7" s="167"/>
      <c r="K7" s="168"/>
      <c r="L7" s="168"/>
      <c r="M7" s="168"/>
      <c r="N7" s="168"/>
      <c r="O7" s="169"/>
    </row>
    <row r="8" ht="13.5" spans="1:15">
      <c r="A8" s="30" t="s">
        <v>7</v>
      </c>
      <c r="B8" s="11"/>
      <c r="C8" s="131"/>
      <c r="D8" s="132"/>
      <c r="E8" s="122" t="s">
        <v>8</v>
      </c>
      <c r="F8" s="111"/>
      <c r="G8" s="111"/>
      <c r="H8" s="111"/>
      <c r="I8" s="111"/>
      <c r="J8" s="168"/>
      <c r="K8" s="168"/>
      <c r="L8" s="168"/>
      <c r="M8" s="168"/>
      <c r="N8" s="168"/>
      <c r="O8" s="169"/>
    </row>
    <row r="9" ht="13.5" spans="1:15">
      <c r="A9" s="133"/>
      <c r="B9" s="134"/>
      <c r="C9" s="134"/>
      <c r="D9" s="135"/>
      <c r="E9" s="136"/>
      <c r="F9" s="137"/>
      <c r="G9" s="137"/>
      <c r="H9" s="137"/>
      <c r="I9" s="137"/>
      <c r="J9" s="170"/>
      <c r="K9" s="170"/>
      <c r="L9" s="170"/>
      <c r="M9" s="170"/>
      <c r="N9" s="170"/>
      <c r="O9" s="171"/>
    </row>
    <row r="10" ht="13.5" spans="1:15">
      <c r="A10" s="133"/>
      <c r="B10" s="134"/>
      <c r="C10" s="134"/>
      <c r="D10" s="135"/>
      <c r="E10" s="122"/>
      <c r="F10" s="111"/>
      <c r="G10" s="111"/>
      <c r="H10" s="111"/>
      <c r="I10" s="111"/>
      <c r="J10" s="170"/>
      <c r="K10" s="170"/>
      <c r="L10" s="170"/>
      <c r="M10" s="170"/>
      <c r="N10" s="170"/>
      <c r="O10" s="171"/>
    </row>
    <row r="11" ht="13.5" spans="1:15">
      <c r="A11" s="25" t="s">
        <v>9</v>
      </c>
      <c r="B11" s="130"/>
      <c r="C11" s="130"/>
      <c r="D11" s="138"/>
      <c r="E11" s="25" t="s">
        <v>10</v>
      </c>
      <c r="F11" s="127"/>
      <c r="G11" s="127"/>
      <c r="H11" s="127"/>
      <c r="I11" s="127"/>
      <c r="J11" s="130"/>
      <c r="K11" s="130"/>
      <c r="L11" s="130"/>
      <c r="M11" s="130"/>
      <c r="N11" s="130"/>
      <c r="O11" s="138"/>
    </row>
    <row r="12" ht="13.5" spans="1:15">
      <c r="A12" s="139" t="s">
        <v>11</v>
      </c>
      <c r="B12" s="140"/>
      <c r="C12" s="140"/>
      <c r="D12" s="113"/>
      <c r="E12" s="141" t="s">
        <v>12</v>
      </c>
      <c r="F12" s="142"/>
      <c r="G12" s="142"/>
      <c r="H12" s="142"/>
      <c r="I12" s="142"/>
      <c r="J12" s="163"/>
      <c r="K12" s="163"/>
      <c r="L12" s="163"/>
      <c r="M12" s="163"/>
      <c r="N12" s="163"/>
      <c r="O12" s="73"/>
    </row>
    <row r="13" ht="13.5" spans="1:15">
      <c r="A13" s="23"/>
      <c r="B13" s="24"/>
      <c r="C13" s="24"/>
      <c r="D13" s="124"/>
      <c r="E13" s="125"/>
      <c r="F13" s="20"/>
      <c r="G13" s="20"/>
      <c r="H13" s="20"/>
      <c r="I13" s="172"/>
      <c r="J13" s="163"/>
      <c r="K13" s="163"/>
      <c r="L13" s="163"/>
      <c r="M13" s="163"/>
      <c r="N13" s="163"/>
      <c r="O13" s="166"/>
    </row>
    <row r="14" ht="13.5" spans="1:15">
      <c r="A14" s="129" t="s">
        <v>13</v>
      </c>
      <c r="B14" s="130"/>
      <c r="C14" s="129" t="s">
        <v>14</v>
      </c>
      <c r="D14" s="138"/>
      <c r="E14" s="143" t="s">
        <v>15</v>
      </c>
      <c r="F14" s="29"/>
      <c r="G14" s="29"/>
      <c r="H14" s="29"/>
      <c r="I14" s="34"/>
      <c r="J14" s="173"/>
      <c r="K14" s="173"/>
      <c r="L14" s="173"/>
      <c r="M14" s="173"/>
      <c r="N14" s="173"/>
      <c r="O14" s="73"/>
    </row>
    <row r="15" ht="13.5" spans="1:15">
      <c r="A15" s="144"/>
      <c r="B15" s="145"/>
      <c r="C15" s="144"/>
      <c r="D15" s="145"/>
      <c r="E15" s="146"/>
      <c r="F15" s="111"/>
      <c r="G15" s="111"/>
      <c r="H15" s="111"/>
      <c r="I15" s="34"/>
      <c r="J15" s="163"/>
      <c r="K15" s="163"/>
      <c r="L15" s="163"/>
      <c r="M15" s="163"/>
      <c r="N15" s="163"/>
      <c r="O15" s="73"/>
    </row>
    <row r="16" ht="13.5" spans="1:15">
      <c r="A16" s="38"/>
      <c r="B16" s="39"/>
      <c r="C16" s="147"/>
      <c r="D16" s="148"/>
      <c r="E16" s="146"/>
      <c r="F16" s="43"/>
      <c r="G16" s="111"/>
      <c r="H16" s="111"/>
      <c r="I16" s="34"/>
      <c r="J16" s="163"/>
      <c r="K16" s="163"/>
      <c r="L16" s="163"/>
      <c r="M16" s="163"/>
      <c r="N16" s="163"/>
      <c r="O16" s="73"/>
    </row>
    <row r="17" ht="13.5" spans="1:15">
      <c r="A17" s="129" t="s">
        <v>16</v>
      </c>
      <c r="B17" s="138"/>
      <c r="C17" s="149" t="s">
        <v>17</v>
      </c>
      <c r="D17" s="57"/>
      <c r="E17" s="146"/>
      <c r="F17" s="43"/>
      <c r="G17" s="34"/>
      <c r="H17" s="34"/>
      <c r="I17" s="34"/>
      <c r="J17" s="163"/>
      <c r="K17" s="163"/>
      <c r="L17" s="163"/>
      <c r="M17" s="163"/>
      <c r="N17" s="163"/>
      <c r="O17" s="73"/>
    </row>
    <row r="18" ht="13.5" spans="1:15">
      <c r="A18" s="52"/>
      <c r="B18" s="150"/>
      <c r="C18" s="58"/>
      <c r="D18" s="59"/>
      <c r="E18" s="151" t="s">
        <v>18</v>
      </c>
      <c r="F18" s="152" t="s">
        <v>19</v>
      </c>
      <c r="G18" s="20"/>
      <c r="H18" s="20"/>
      <c r="I18" s="20"/>
      <c r="J18" s="174"/>
      <c r="K18" s="163"/>
      <c r="L18" s="163"/>
      <c r="M18" s="163"/>
      <c r="N18" s="163"/>
      <c r="O18" s="73"/>
    </row>
    <row r="19" ht="38.25" spans="1:15">
      <c r="A19" s="153" t="s">
        <v>20</v>
      </c>
      <c r="B19" s="154" t="s">
        <v>21</v>
      </c>
      <c r="C19" s="154" t="s">
        <v>22</v>
      </c>
      <c r="D19" s="155" t="s">
        <v>23</v>
      </c>
      <c r="E19" s="154" t="s">
        <v>24</v>
      </c>
      <c r="F19" s="154" t="s">
        <v>25</v>
      </c>
      <c r="G19" s="154" t="s">
        <v>26</v>
      </c>
      <c r="H19" s="154" t="s">
        <v>27</v>
      </c>
      <c r="I19" s="154" t="s">
        <v>28</v>
      </c>
      <c r="J19" s="175" t="s">
        <v>29</v>
      </c>
      <c r="K19" s="175" t="s">
        <v>30</v>
      </c>
      <c r="L19" s="176" t="s">
        <v>31</v>
      </c>
      <c r="M19" s="176" t="s">
        <v>32</v>
      </c>
      <c r="N19" s="176" t="s">
        <v>33</v>
      </c>
      <c r="O19" s="177" t="s">
        <v>34</v>
      </c>
    </row>
    <row r="20" s="105" customFormat="1" spans="1:15">
      <c r="A20" s="64" t="s">
        <v>35</v>
      </c>
      <c r="B20" s="65" t="s">
        <v>36</v>
      </c>
      <c r="C20" s="65" t="s">
        <v>37</v>
      </c>
      <c r="D20" s="156" t="s">
        <v>38</v>
      </c>
      <c r="E20" s="65">
        <v>5000</v>
      </c>
      <c r="F20" s="157" t="s">
        <v>39</v>
      </c>
      <c r="G20" s="158">
        <v>0.0235</v>
      </c>
      <c r="H20" s="159" t="s">
        <v>40</v>
      </c>
      <c r="I20" s="69">
        <f t="shared" ref="I20:I22" si="0">ROUND(E20*G20,2)</f>
        <v>117.5</v>
      </c>
      <c r="J20" s="65" t="s">
        <v>41</v>
      </c>
      <c r="K20" s="65"/>
      <c r="L20" s="65" t="s">
        <v>42</v>
      </c>
      <c r="M20" s="156" t="s">
        <v>43</v>
      </c>
      <c r="N20" s="65" t="s">
        <v>44</v>
      </c>
      <c r="O20" s="178">
        <v>6.25</v>
      </c>
    </row>
    <row r="21" s="105" customFormat="1" spans="1:15">
      <c r="A21" s="64" t="s">
        <v>45</v>
      </c>
      <c r="B21" s="65" t="s">
        <v>36</v>
      </c>
      <c r="C21" s="65" t="s">
        <v>46</v>
      </c>
      <c r="D21" s="156" t="s">
        <v>38</v>
      </c>
      <c r="E21" s="65">
        <v>1000</v>
      </c>
      <c r="F21" s="157" t="s">
        <v>39</v>
      </c>
      <c r="G21" s="158">
        <v>0.0235</v>
      </c>
      <c r="H21" s="159" t="s">
        <v>40</v>
      </c>
      <c r="I21" s="69">
        <f t="shared" ref="I21:I52" si="1">ROUND(E21*G21,2)</f>
        <v>23.5</v>
      </c>
      <c r="J21" s="65" t="s">
        <v>41</v>
      </c>
      <c r="K21" s="65"/>
      <c r="L21" s="65" t="s">
        <v>42</v>
      </c>
      <c r="M21" s="156" t="s">
        <v>43</v>
      </c>
      <c r="N21" s="65" t="s">
        <v>44</v>
      </c>
      <c r="O21" s="178">
        <v>1.25</v>
      </c>
    </row>
    <row r="22" s="105" customFormat="1" spans="1:15">
      <c r="A22" s="64" t="s">
        <v>47</v>
      </c>
      <c r="B22" s="65" t="s">
        <v>48</v>
      </c>
      <c r="C22" s="65" t="s">
        <v>49</v>
      </c>
      <c r="D22" s="156" t="s">
        <v>38</v>
      </c>
      <c r="E22" s="65">
        <v>1000</v>
      </c>
      <c r="F22" s="157" t="s">
        <v>39</v>
      </c>
      <c r="G22" s="158">
        <v>0.0805</v>
      </c>
      <c r="H22" s="159" t="s">
        <v>40</v>
      </c>
      <c r="I22" s="69">
        <f t="shared" si="1"/>
        <v>80.5</v>
      </c>
      <c r="J22" s="65" t="s">
        <v>41</v>
      </c>
      <c r="K22" s="65"/>
      <c r="L22" s="65" t="s">
        <v>42</v>
      </c>
      <c r="M22" s="156" t="s">
        <v>43</v>
      </c>
      <c r="N22" s="65" t="s">
        <v>50</v>
      </c>
      <c r="O22" s="178">
        <v>7.92</v>
      </c>
    </row>
    <row r="23" s="105" customFormat="1" spans="1:15">
      <c r="A23" s="64" t="s">
        <v>51</v>
      </c>
      <c r="B23" s="160" t="s">
        <v>48</v>
      </c>
      <c r="C23" s="160" t="s">
        <v>52</v>
      </c>
      <c r="D23" s="156" t="s">
        <v>38</v>
      </c>
      <c r="E23" s="160">
        <v>2000</v>
      </c>
      <c r="F23" s="157" t="s">
        <v>39</v>
      </c>
      <c r="G23" s="161">
        <v>0.0805</v>
      </c>
      <c r="H23" s="159" t="s">
        <v>40</v>
      </c>
      <c r="I23" s="69">
        <f t="shared" si="1"/>
        <v>161</v>
      </c>
      <c r="J23" s="65" t="s">
        <v>41</v>
      </c>
      <c r="K23" s="65"/>
      <c r="L23" s="65" t="s">
        <v>42</v>
      </c>
      <c r="M23" s="156" t="s">
        <v>43</v>
      </c>
      <c r="N23" s="65" t="s">
        <v>50</v>
      </c>
      <c r="O23" s="178">
        <v>15.84</v>
      </c>
    </row>
    <row r="24" s="105" customFormat="1" spans="1:15">
      <c r="A24" s="64" t="s">
        <v>53</v>
      </c>
      <c r="B24" s="160" t="s">
        <v>54</v>
      </c>
      <c r="C24" s="160" t="s">
        <v>55</v>
      </c>
      <c r="D24" s="156" t="s">
        <v>38</v>
      </c>
      <c r="E24" s="160">
        <v>7800</v>
      </c>
      <c r="F24" s="157" t="s">
        <v>39</v>
      </c>
      <c r="G24" s="161">
        <v>0.0115</v>
      </c>
      <c r="H24" s="159" t="s">
        <v>40</v>
      </c>
      <c r="I24" s="69">
        <f t="shared" si="1"/>
        <v>89.7</v>
      </c>
      <c r="J24" s="65" t="s">
        <v>41</v>
      </c>
      <c r="K24" s="65"/>
      <c r="L24" s="65" t="s">
        <v>42</v>
      </c>
      <c r="M24" s="156" t="s">
        <v>43</v>
      </c>
      <c r="N24" s="65" t="s">
        <v>56</v>
      </c>
      <c r="O24" s="178">
        <v>1.77</v>
      </c>
    </row>
    <row r="25" s="105" customFormat="1" spans="1:15">
      <c r="A25" s="64" t="s">
        <v>57</v>
      </c>
      <c r="B25" s="160" t="s">
        <v>54</v>
      </c>
      <c r="C25" s="160" t="s">
        <v>58</v>
      </c>
      <c r="D25" s="156" t="s">
        <v>38</v>
      </c>
      <c r="E25" s="160">
        <v>58200</v>
      </c>
      <c r="F25" s="157" t="s">
        <v>39</v>
      </c>
      <c r="G25" s="161">
        <v>0.0115</v>
      </c>
      <c r="H25" s="159" t="s">
        <v>40</v>
      </c>
      <c r="I25" s="69">
        <f t="shared" si="1"/>
        <v>669.3</v>
      </c>
      <c r="J25" s="65" t="s">
        <v>41</v>
      </c>
      <c r="K25" s="65"/>
      <c r="L25" s="65" t="s">
        <v>42</v>
      </c>
      <c r="M25" s="156" t="s">
        <v>43</v>
      </c>
      <c r="N25" s="65" t="s">
        <v>56</v>
      </c>
      <c r="O25" s="178">
        <v>13.19</v>
      </c>
    </row>
    <row r="26" s="105" customFormat="1" spans="1:15">
      <c r="A26" s="64" t="s">
        <v>59</v>
      </c>
      <c r="B26" s="160" t="s">
        <v>60</v>
      </c>
      <c r="C26" s="160" t="s">
        <v>61</v>
      </c>
      <c r="D26" s="156" t="s">
        <v>38</v>
      </c>
      <c r="E26" s="160">
        <v>15000</v>
      </c>
      <c r="F26" s="157" t="s">
        <v>39</v>
      </c>
      <c r="G26" s="161">
        <v>0.018</v>
      </c>
      <c r="H26" s="159" t="s">
        <v>40</v>
      </c>
      <c r="I26" s="69">
        <f t="shared" si="1"/>
        <v>270</v>
      </c>
      <c r="J26" s="65" t="s">
        <v>41</v>
      </c>
      <c r="K26" s="65"/>
      <c r="L26" s="65" t="s">
        <v>42</v>
      </c>
      <c r="M26" s="156" t="s">
        <v>43</v>
      </c>
      <c r="N26" s="65" t="s">
        <v>62</v>
      </c>
      <c r="O26" s="178">
        <v>2.1</v>
      </c>
    </row>
    <row r="27" s="105" customFormat="1" spans="1:15">
      <c r="A27" s="64" t="s">
        <v>63</v>
      </c>
      <c r="B27" s="160" t="s">
        <v>64</v>
      </c>
      <c r="C27" s="160" t="s">
        <v>65</v>
      </c>
      <c r="D27" s="156" t="s">
        <v>38</v>
      </c>
      <c r="E27" s="160">
        <v>24000</v>
      </c>
      <c r="F27" s="157" t="s">
        <v>39</v>
      </c>
      <c r="G27" s="161">
        <v>0.0145</v>
      </c>
      <c r="H27" s="159" t="s">
        <v>40</v>
      </c>
      <c r="I27" s="69">
        <f t="shared" si="1"/>
        <v>348</v>
      </c>
      <c r="J27" s="65" t="s">
        <v>41</v>
      </c>
      <c r="K27" s="65"/>
      <c r="L27" s="65" t="s">
        <v>42</v>
      </c>
      <c r="M27" s="156" t="s">
        <v>43</v>
      </c>
      <c r="N27" s="65" t="s">
        <v>66</v>
      </c>
      <c r="O27" s="178">
        <v>18.88</v>
      </c>
    </row>
    <row r="28" s="105" customFormat="1" spans="1:15">
      <c r="A28" s="64" t="s">
        <v>67</v>
      </c>
      <c r="B28" s="160" t="s">
        <v>64</v>
      </c>
      <c r="C28" s="160" t="s">
        <v>68</v>
      </c>
      <c r="D28" s="156" t="s">
        <v>38</v>
      </c>
      <c r="E28" s="160">
        <v>1500</v>
      </c>
      <c r="F28" s="157" t="s">
        <v>39</v>
      </c>
      <c r="G28" s="161">
        <v>0.0145</v>
      </c>
      <c r="H28" s="159" t="s">
        <v>40</v>
      </c>
      <c r="I28" s="69">
        <f t="shared" si="1"/>
        <v>21.75</v>
      </c>
      <c r="J28" s="65" t="s">
        <v>41</v>
      </c>
      <c r="K28" s="65"/>
      <c r="L28" s="65" t="s">
        <v>42</v>
      </c>
      <c r="M28" s="156" t="s">
        <v>43</v>
      </c>
      <c r="N28" s="65" t="s">
        <v>66</v>
      </c>
      <c r="O28" s="178">
        <v>1.18</v>
      </c>
    </row>
    <row r="29" s="105" customFormat="1" spans="1:15">
      <c r="A29" s="64" t="s">
        <v>69</v>
      </c>
      <c r="B29" s="160" t="s">
        <v>64</v>
      </c>
      <c r="C29" s="160" t="s">
        <v>46</v>
      </c>
      <c r="D29" s="156" t="s">
        <v>38</v>
      </c>
      <c r="E29" s="160">
        <v>1500</v>
      </c>
      <c r="F29" s="157" t="s">
        <v>39</v>
      </c>
      <c r="G29" s="161">
        <v>0.0145</v>
      </c>
      <c r="H29" s="159" t="s">
        <v>40</v>
      </c>
      <c r="I29" s="69">
        <f t="shared" si="1"/>
        <v>21.75</v>
      </c>
      <c r="J29" s="65" t="s">
        <v>41</v>
      </c>
      <c r="K29" s="65"/>
      <c r="L29" s="65" t="s">
        <v>42</v>
      </c>
      <c r="M29" s="156" t="s">
        <v>43</v>
      </c>
      <c r="N29" s="65" t="s">
        <v>66</v>
      </c>
      <c r="O29" s="178">
        <v>1.18</v>
      </c>
    </row>
    <row r="30" s="105" customFormat="1" spans="1:15">
      <c r="A30" s="64" t="s">
        <v>70</v>
      </c>
      <c r="B30" s="160" t="s">
        <v>64</v>
      </c>
      <c r="C30" s="160" t="s">
        <v>71</v>
      </c>
      <c r="D30" s="156" t="s">
        <v>38</v>
      </c>
      <c r="E30" s="160">
        <v>18000</v>
      </c>
      <c r="F30" s="157" t="s">
        <v>39</v>
      </c>
      <c r="G30" s="161">
        <v>0.0145</v>
      </c>
      <c r="H30" s="159" t="s">
        <v>40</v>
      </c>
      <c r="I30" s="69">
        <f t="shared" si="1"/>
        <v>261</v>
      </c>
      <c r="J30" s="65" t="s">
        <v>41</v>
      </c>
      <c r="K30" s="65"/>
      <c r="L30" s="65" t="s">
        <v>42</v>
      </c>
      <c r="M30" s="156" t="s">
        <v>43</v>
      </c>
      <c r="N30" s="65" t="s">
        <v>66</v>
      </c>
      <c r="O30" s="178">
        <v>14.16</v>
      </c>
    </row>
    <row r="31" s="105" customFormat="1" spans="1:15">
      <c r="A31" s="64" t="s">
        <v>72</v>
      </c>
      <c r="B31" s="160" t="s">
        <v>64</v>
      </c>
      <c r="C31" s="160" t="s">
        <v>71</v>
      </c>
      <c r="D31" s="156" t="s">
        <v>38</v>
      </c>
      <c r="E31" s="160">
        <v>7500</v>
      </c>
      <c r="F31" s="157" t="s">
        <v>39</v>
      </c>
      <c r="G31" s="161">
        <v>0.0145</v>
      </c>
      <c r="H31" s="159" t="s">
        <v>40</v>
      </c>
      <c r="I31" s="69">
        <f t="shared" si="1"/>
        <v>108.75</v>
      </c>
      <c r="J31" s="65" t="s">
        <v>41</v>
      </c>
      <c r="K31" s="65"/>
      <c r="L31" s="65" t="s">
        <v>42</v>
      </c>
      <c r="M31" s="156" t="s">
        <v>43</v>
      </c>
      <c r="N31" s="65" t="s">
        <v>66</v>
      </c>
      <c r="O31" s="178">
        <v>5.9</v>
      </c>
    </row>
    <row r="32" s="105" customFormat="1" spans="1:15">
      <c r="A32" s="64" t="s">
        <v>73</v>
      </c>
      <c r="B32" s="160" t="s">
        <v>64</v>
      </c>
      <c r="C32" s="160" t="s">
        <v>74</v>
      </c>
      <c r="D32" s="156" t="s">
        <v>38</v>
      </c>
      <c r="E32" s="160">
        <v>4500</v>
      </c>
      <c r="F32" s="157" t="s">
        <v>39</v>
      </c>
      <c r="G32" s="161">
        <v>0.0145</v>
      </c>
      <c r="H32" s="159" t="s">
        <v>40</v>
      </c>
      <c r="I32" s="69">
        <f t="shared" si="1"/>
        <v>65.25</v>
      </c>
      <c r="J32" s="65" t="s">
        <v>41</v>
      </c>
      <c r="K32" s="65"/>
      <c r="L32" s="65" t="s">
        <v>42</v>
      </c>
      <c r="M32" s="156" t="s">
        <v>43</v>
      </c>
      <c r="N32" s="65" t="s">
        <v>66</v>
      </c>
      <c r="O32" s="178">
        <v>3.54</v>
      </c>
    </row>
    <row r="33" s="105" customFormat="1" spans="1:15">
      <c r="A33" s="64" t="s">
        <v>75</v>
      </c>
      <c r="B33" s="160" t="s">
        <v>64</v>
      </c>
      <c r="C33" s="160" t="s">
        <v>76</v>
      </c>
      <c r="D33" s="156" t="s">
        <v>38</v>
      </c>
      <c r="E33" s="160">
        <v>6000</v>
      </c>
      <c r="F33" s="157" t="s">
        <v>39</v>
      </c>
      <c r="G33" s="161">
        <v>0.0145</v>
      </c>
      <c r="H33" s="159" t="s">
        <v>40</v>
      </c>
      <c r="I33" s="69">
        <f t="shared" si="1"/>
        <v>87</v>
      </c>
      <c r="J33" s="65" t="s">
        <v>41</v>
      </c>
      <c r="K33" s="65"/>
      <c r="L33" s="65" t="s">
        <v>42</v>
      </c>
      <c r="M33" s="156" t="s">
        <v>43</v>
      </c>
      <c r="N33" s="65" t="s">
        <v>66</v>
      </c>
      <c r="O33" s="178">
        <v>4.72</v>
      </c>
    </row>
    <row r="34" s="105" customFormat="1" spans="1:15">
      <c r="A34" s="64" t="s">
        <v>77</v>
      </c>
      <c r="B34" s="160" t="s">
        <v>78</v>
      </c>
      <c r="C34" s="160" t="s">
        <v>79</v>
      </c>
      <c r="D34" s="156" t="s">
        <v>38</v>
      </c>
      <c r="E34" s="160">
        <v>7500</v>
      </c>
      <c r="F34" s="157" t="s">
        <v>39</v>
      </c>
      <c r="G34" s="161">
        <v>0.0252</v>
      </c>
      <c r="H34" s="159" t="s">
        <v>40</v>
      </c>
      <c r="I34" s="69">
        <f t="shared" si="1"/>
        <v>189</v>
      </c>
      <c r="J34" s="65" t="s">
        <v>41</v>
      </c>
      <c r="K34" s="65"/>
      <c r="L34" s="65" t="s">
        <v>42</v>
      </c>
      <c r="M34" s="156" t="s">
        <v>43</v>
      </c>
      <c r="N34" s="65" t="s">
        <v>80</v>
      </c>
      <c r="O34" s="178">
        <v>6.7</v>
      </c>
    </row>
    <row r="35" s="105" customFormat="1" spans="1:15">
      <c r="A35" s="64" t="s">
        <v>81</v>
      </c>
      <c r="B35" s="160" t="s">
        <v>78</v>
      </c>
      <c r="C35" s="160" t="s">
        <v>55</v>
      </c>
      <c r="D35" s="156" t="s">
        <v>38</v>
      </c>
      <c r="E35" s="160">
        <v>9000</v>
      </c>
      <c r="F35" s="157" t="s">
        <v>39</v>
      </c>
      <c r="G35" s="161">
        <v>0.0252</v>
      </c>
      <c r="H35" s="159" t="s">
        <v>40</v>
      </c>
      <c r="I35" s="69">
        <f t="shared" si="1"/>
        <v>226.8</v>
      </c>
      <c r="J35" s="65" t="s">
        <v>41</v>
      </c>
      <c r="K35" s="65"/>
      <c r="L35" s="65" t="s">
        <v>42</v>
      </c>
      <c r="M35" s="156" t="s">
        <v>43</v>
      </c>
      <c r="N35" s="65" t="s">
        <v>80</v>
      </c>
      <c r="O35" s="178">
        <v>8.04</v>
      </c>
    </row>
    <row r="36" s="105" customFormat="1" spans="1:15">
      <c r="A36" s="64" t="s">
        <v>82</v>
      </c>
      <c r="B36" s="160" t="s">
        <v>83</v>
      </c>
      <c r="C36" s="160" t="s">
        <v>84</v>
      </c>
      <c r="D36" s="156" t="s">
        <v>38</v>
      </c>
      <c r="E36" s="160">
        <v>6000</v>
      </c>
      <c r="F36" s="157" t="s">
        <v>39</v>
      </c>
      <c r="G36" s="161">
        <v>0.0073</v>
      </c>
      <c r="H36" s="159" t="s">
        <v>40</v>
      </c>
      <c r="I36" s="69">
        <f t="shared" si="1"/>
        <v>43.8</v>
      </c>
      <c r="J36" s="65" t="s">
        <v>41</v>
      </c>
      <c r="K36" s="65"/>
      <c r="L36" s="65" t="s">
        <v>42</v>
      </c>
      <c r="M36" s="156" t="s">
        <v>43</v>
      </c>
      <c r="N36" s="65" t="s">
        <v>85</v>
      </c>
      <c r="O36" s="178">
        <v>0.36</v>
      </c>
    </row>
    <row r="37" s="105" customFormat="1" spans="1:15">
      <c r="A37" s="64" t="s">
        <v>86</v>
      </c>
      <c r="B37" s="160" t="s">
        <v>83</v>
      </c>
      <c r="C37" s="160" t="s">
        <v>87</v>
      </c>
      <c r="D37" s="156" t="s">
        <v>38</v>
      </c>
      <c r="E37" s="160">
        <v>6000</v>
      </c>
      <c r="F37" s="157" t="s">
        <v>39</v>
      </c>
      <c r="G37" s="161">
        <v>0.0073</v>
      </c>
      <c r="H37" s="159" t="s">
        <v>40</v>
      </c>
      <c r="I37" s="69">
        <f t="shared" si="1"/>
        <v>43.8</v>
      </c>
      <c r="J37" s="65" t="s">
        <v>41</v>
      </c>
      <c r="K37" s="65"/>
      <c r="L37" s="65" t="s">
        <v>42</v>
      </c>
      <c r="M37" s="156" t="s">
        <v>43</v>
      </c>
      <c r="N37" s="65" t="s">
        <v>85</v>
      </c>
      <c r="O37" s="178">
        <v>0.36</v>
      </c>
    </row>
    <row r="38" s="105" customFormat="1" spans="1:15">
      <c r="A38" s="64" t="s">
        <v>88</v>
      </c>
      <c r="B38" s="160" t="s">
        <v>83</v>
      </c>
      <c r="C38" s="160" t="s">
        <v>89</v>
      </c>
      <c r="D38" s="156" t="s">
        <v>38</v>
      </c>
      <c r="E38" s="160">
        <v>9000</v>
      </c>
      <c r="F38" s="157" t="s">
        <v>39</v>
      </c>
      <c r="G38" s="161">
        <v>0.0073</v>
      </c>
      <c r="H38" s="159" t="s">
        <v>40</v>
      </c>
      <c r="I38" s="69">
        <f t="shared" si="1"/>
        <v>65.7</v>
      </c>
      <c r="J38" s="65" t="s">
        <v>41</v>
      </c>
      <c r="K38" s="65"/>
      <c r="L38" s="65" t="s">
        <v>42</v>
      </c>
      <c r="M38" s="156" t="s">
        <v>43</v>
      </c>
      <c r="N38" s="65" t="s">
        <v>85</v>
      </c>
      <c r="O38" s="178">
        <v>0.54</v>
      </c>
    </row>
    <row r="39" s="105" customFormat="1" spans="1:15">
      <c r="A39" s="64" t="s">
        <v>90</v>
      </c>
      <c r="B39" s="160" t="s">
        <v>91</v>
      </c>
      <c r="C39" s="160" t="s">
        <v>92</v>
      </c>
      <c r="D39" s="156" t="s">
        <v>38</v>
      </c>
      <c r="E39" s="160">
        <v>9000</v>
      </c>
      <c r="F39" s="157" t="s">
        <v>39</v>
      </c>
      <c r="G39" s="161">
        <v>0.0099</v>
      </c>
      <c r="H39" s="159" t="s">
        <v>40</v>
      </c>
      <c r="I39" s="69">
        <f t="shared" si="1"/>
        <v>89.1</v>
      </c>
      <c r="J39" s="65" t="s">
        <v>41</v>
      </c>
      <c r="K39" s="65"/>
      <c r="L39" s="65" t="s">
        <v>42</v>
      </c>
      <c r="M39" s="156" t="s">
        <v>43</v>
      </c>
      <c r="N39" s="65" t="s">
        <v>93</v>
      </c>
      <c r="O39" s="178">
        <v>5.76</v>
      </c>
    </row>
    <row r="40" s="105" customFormat="1" spans="1:15">
      <c r="A40" s="64" t="s">
        <v>94</v>
      </c>
      <c r="B40" s="160" t="s">
        <v>91</v>
      </c>
      <c r="C40" s="160" t="s">
        <v>76</v>
      </c>
      <c r="D40" s="156" t="s">
        <v>38</v>
      </c>
      <c r="E40" s="160">
        <v>9000</v>
      </c>
      <c r="F40" s="157" t="s">
        <v>39</v>
      </c>
      <c r="G40" s="161">
        <v>0.0099</v>
      </c>
      <c r="H40" s="159" t="s">
        <v>40</v>
      </c>
      <c r="I40" s="69">
        <f t="shared" si="1"/>
        <v>89.1</v>
      </c>
      <c r="J40" s="65" t="s">
        <v>41</v>
      </c>
      <c r="K40" s="65"/>
      <c r="L40" s="65" t="s">
        <v>42</v>
      </c>
      <c r="M40" s="156" t="s">
        <v>43</v>
      </c>
      <c r="N40" s="65" t="s">
        <v>93</v>
      </c>
      <c r="O40" s="178">
        <v>5.76</v>
      </c>
    </row>
    <row r="41" s="105" customFormat="1" spans="1:15">
      <c r="A41" s="64" t="s">
        <v>95</v>
      </c>
      <c r="B41" s="160" t="s">
        <v>91</v>
      </c>
      <c r="C41" s="160" t="s">
        <v>49</v>
      </c>
      <c r="D41" s="156" t="s">
        <v>38</v>
      </c>
      <c r="E41" s="160">
        <v>1500</v>
      </c>
      <c r="F41" s="157" t="s">
        <v>39</v>
      </c>
      <c r="G41" s="161">
        <v>0.0099</v>
      </c>
      <c r="H41" s="159" t="s">
        <v>40</v>
      </c>
      <c r="I41" s="69">
        <f t="shared" si="1"/>
        <v>14.85</v>
      </c>
      <c r="J41" s="65" t="s">
        <v>41</v>
      </c>
      <c r="K41" s="65"/>
      <c r="L41" s="65" t="s">
        <v>42</v>
      </c>
      <c r="M41" s="156" t="s">
        <v>43</v>
      </c>
      <c r="N41" s="65" t="s">
        <v>93</v>
      </c>
      <c r="O41" s="178">
        <v>0.96</v>
      </c>
    </row>
    <row r="42" s="105" customFormat="1" spans="1:15">
      <c r="A42" s="64" t="s">
        <v>96</v>
      </c>
      <c r="B42" s="160" t="s">
        <v>97</v>
      </c>
      <c r="C42" s="160" t="s">
        <v>55</v>
      </c>
      <c r="D42" s="156" t="s">
        <v>38</v>
      </c>
      <c r="E42" s="160">
        <v>13500</v>
      </c>
      <c r="F42" s="157" t="s">
        <v>39</v>
      </c>
      <c r="G42" s="161">
        <v>0.0252</v>
      </c>
      <c r="H42" s="159" t="s">
        <v>40</v>
      </c>
      <c r="I42" s="69">
        <f t="shared" si="1"/>
        <v>340.2</v>
      </c>
      <c r="J42" s="65" t="s">
        <v>41</v>
      </c>
      <c r="K42" s="65"/>
      <c r="L42" s="65" t="s">
        <v>42</v>
      </c>
      <c r="M42" s="156" t="s">
        <v>43</v>
      </c>
      <c r="N42" s="65" t="s">
        <v>98</v>
      </c>
      <c r="O42" s="178">
        <v>12.06</v>
      </c>
    </row>
    <row r="43" s="105" customFormat="1" spans="1:15">
      <c r="A43" s="64" t="s">
        <v>99</v>
      </c>
      <c r="B43" s="160" t="s">
        <v>97</v>
      </c>
      <c r="C43" s="160" t="s">
        <v>100</v>
      </c>
      <c r="D43" s="156" t="s">
        <v>38</v>
      </c>
      <c r="E43" s="160">
        <v>4500</v>
      </c>
      <c r="F43" s="157" t="s">
        <v>39</v>
      </c>
      <c r="G43" s="161">
        <v>0.0252</v>
      </c>
      <c r="H43" s="159" t="s">
        <v>40</v>
      </c>
      <c r="I43" s="69">
        <f t="shared" si="1"/>
        <v>113.4</v>
      </c>
      <c r="J43" s="65" t="s">
        <v>41</v>
      </c>
      <c r="K43" s="65"/>
      <c r="L43" s="65" t="s">
        <v>42</v>
      </c>
      <c r="M43" s="156" t="s">
        <v>43</v>
      </c>
      <c r="N43" s="65" t="s">
        <v>98</v>
      </c>
      <c r="O43" s="178">
        <v>4.02</v>
      </c>
    </row>
    <row r="44" s="105" customFormat="1" spans="1:15">
      <c r="A44" s="64" t="s">
        <v>101</v>
      </c>
      <c r="B44" s="160" t="s">
        <v>102</v>
      </c>
      <c r="C44" s="160" t="s">
        <v>65</v>
      </c>
      <c r="D44" s="156" t="s">
        <v>38</v>
      </c>
      <c r="E44" s="160">
        <v>6000</v>
      </c>
      <c r="F44" s="157" t="s">
        <v>39</v>
      </c>
      <c r="G44" s="161">
        <v>0.098</v>
      </c>
      <c r="H44" s="159" t="s">
        <v>40</v>
      </c>
      <c r="I44" s="69">
        <f t="shared" si="1"/>
        <v>588</v>
      </c>
      <c r="J44" s="65" t="s">
        <v>41</v>
      </c>
      <c r="K44" s="65"/>
      <c r="L44" s="65" t="s">
        <v>42</v>
      </c>
      <c r="M44" s="156" t="s">
        <v>43</v>
      </c>
      <c r="N44" s="65" t="s">
        <v>103</v>
      </c>
      <c r="O44" s="178">
        <v>36</v>
      </c>
    </row>
    <row r="45" s="105" customFormat="1" spans="1:15">
      <c r="A45" s="64" t="s">
        <v>104</v>
      </c>
      <c r="B45" s="160" t="s">
        <v>105</v>
      </c>
      <c r="C45" s="160" t="s">
        <v>65</v>
      </c>
      <c r="D45" s="156" t="s">
        <v>38</v>
      </c>
      <c r="E45" s="160">
        <v>18000</v>
      </c>
      <c r="F45" s="157" t="s">
        <v>39</v>
      </c>
      <c r="G45" s="161">
        <v>0.0145</v>
      </c>
      <c r="H45" s="159" t="s">
        <v>40</v>
      </c>
      <c r="I45" s="69">
        <f t="shared" si="1"/>
        <v>261</v>
      </c>
      <c r="J45" s="65" t="s">
        <v>41</v>
      </c>
      <c r="K45" s="65"/>
      <c r="L45" s="65" t="s">
        <v>42</v>
      </c>
      <c r="M45" s="156" t="s">
        <v>43</v>
      </c>
      <c r="N45" s="65" t="s">
        <v>106</v>
      </c>
      <c r="O45" s="178">
        <v>14.16</v>
      </c>
    </row>
    <row r="46" s="105" customFormat="1" spans="1:15">
      <c r="A46" s="64" t="s">
        <v>107</v>
      </c>
      <c r="B46" s="160" t="s">
        <v>108</v>
      </c>
      <c r="C46" s="160" t="s">
        <v>74</v>
      </c>
      <c r="D46" s="156" t="s">
        <v>38</v>
      </c>
      <c r="E46" s="160">
        <v>4000</v>
      </c>
      <c r="F46" s="157" t="s">
        <v>39</v>
      </c>
      <c r="G46" s="161">
        <v>0.0115</v>
      </c>
      <c r="H46" s="159" t="s">
        <v>40</v>
      </c>
      <c r="I46" s="69">
        <f t="shared" si="1"/>
        <v>46</v>
      </c>
      <c r="J46" s="65" t="s">
        <v>41</v>
      </c>
      <c r="K46" s="65"/>
      <c r="L46" s="65" t="s">
        <v>42</v>
      </c>
      <c r="M46" s="156" t="s">
        <v>43</v>
      </c>
      <c r="N46" s="65" t="s">
        <v>109</v>
      </c>
      <c r="O46" s="178">
        <v>1.4</v>
      </c>
    </row>
    <row r="47" s="105" customFormat="1" spans="1:15">
      <c r="A47" s="64" t="s">
        <v>110</v>
      </c>
      <c r="B47" s="160" t="s">
        <v>111</v>
      </c>
      <c r="C47" s="160" t="s">
        <v>112</v>
      </c>
      <c r="D47" s="156" t="s">
        <v>38</v>
      </c>
      <c r="E47" s="160">
        <v>6000</v>
      </c>
      <c r="F47" s="157" t="s">
        <v>39</v>
      </c>
      <c r="G47" s="161">
        <v>0.0073</v>
      </c>
      <c r="H47" s="159" t="s">
        <v>40</v>
      </c>
      <c r="I47" s="69">
        <f t="shared" si="1"/>
        <v>43.8</v>
      </c>
      <c r="J47" s="65" t="s">
        <v>41</v>
      </c>
      <c r="K47" s="65"/>
      <c r="L47" s="65" t="s">
        <v>42</v>
      </c>
      <c r="M47" s="156" t="s">
        <v>43</v>
      </c>
      <c r="N47" s="65" t="s">
        <v>113</v>
      </c>
      <c r="O47" s="178">
        <v>0.36</v>
      </c>
    </row>
    <row r="48" s="105" customFormat="1" spans="1:15">
      <c r="A48" s="64" t="s">
        <v>114</v>
      </c>
      <c r="B48" s="160" t="s">
        <v>115</v>
      </c>
      <c r="C48" s="160" t="s">
        <v>116</v>
      </c>
      <c r="D48" s="156" t="s">
        <v>38</v>
      </c>
      <c r="E48" s="160">
        <v>1500</v>
      </c>
      <c r="F48" s="157" t="s">
        <v>39</v>
      </c>
      <c r="G48" s="161">
        <v>0.029</v>
      </c>
      <c r="H48" s="159" t="s">
        <v>40</v>
      </c>
      <c r="I48" s="69">
        <f t="shared" si="1"/>
        <v>43.5</v>
      </c>
      <c r="J48" s="65" t="s">
        <v>41</v>
      </c>
      <c r="K48" s="65"/>
      <c r="L48" s="65" t="s">
        <v>42</v>
      </c>
      <c r="M48" s="156" t="s">
        <v>43</v>
      </c>
      <c r="N48" s="65" t="s">
        <v>117</v>
      </c>
      <c r="O48" s="178">
        <v>1.34</v>
      </c>
    </row>
    <row r="49" s="105" customFormat="1" spans="1:15">
      <c r="A49" s="64" t="s">
        <v>118</v>
      </c>
      <c r="B49" s="160" t="s">
        <v>115</v>
      </c>
      <c r="C49" s="160" t="s">
        <v>68</v>
      </c>
      <c r="D49" s="156" t="s">
        <v>38</v>
      </c>
      <c r="E49" s="160">
        <v>4500</v>
      </c>
      <c r="F49" s="157" t="s">
        <v>39</v>
      </c>
      <c r="G49" s="161">
        <v>0.029</v>
      </c>
      <c r="H49" s="159" t="s">
        <v>40</v>
      </c>
      <c r="I49" s="69">
        <f t="shared" si="1"/>
        <v>130.5</v>
      </c>
      <c r="J49" s="65" t="s">
        <v>41</v>
      </c>
      <c r="K49" s="65"/>
      <c r="L49" s="65" t="s">
        <v>42</v>
      </c>
      <c r="M49" s="156" t="s">
        <v>43</v>
      </c>
      <c r="N49" s="65" t="s">
        <v>117</v>
      </c>
      <c r="O49" s="178">
        <v>4.02</v>
      </c>
    </row>
    <row r="50" s="105" customFormat="1" spans="1:15">
      <c r="A50" s="64" t="s">
        <v>119</v>
      </c>
      <c r="B50" s="160" t="s">
        <v>115</v>
      </c>
      <c r="C50" s="160" t="s">
        <v>112</v>
      </c>
      <c r="D50" s="156" t="s">
        <v>38</v>
      </c>
      <c r="E50" s="160">
        <v>1500</v>
      </c>
      <c r="F50" s="157" t="s">
        <v>39</v>
      </c>
      <c r="G50" s="161">
        <v>0.029</v>
      </c>
      <c r="H50" s="159" t="s">
        <v>40</v>
      </c>
      <c r="I50" s="69">
        <f t="shared" si="1"/>
        <v>43.5</v>
      </c>
      <c r="J50" s="65" t="s">
        <v>41</v>
      </c>
      <c r="K50" s="65"/>
      <c r="L50" s="65" t="s">
        <v>42</v>
      </c>
      <c r="M50" s="156" t="s">
        <v>43</v>
      </c>
      <c r="N50" s="65" t="s">
        <v>117</v>
      </c>
      <c r="O50" s="178">
        <v>1.34</v>
      </c>
    </row>
    <row r="51" s="105" customFormat="1" spans="1:15">
      <c r="A51" s="64" t="s">
        <v>120</v>
      </c>
      <c r="B51" s="160" t="s">
        <v>115</v>
      </c>
      <c r="C51" s="160" t="s">
        <v>121</v>
      </c>
      <c r="D51" s="156" t="s">
        <v>38</v>
      </c>
      <c r="E51" s="160">
        <v>1500</v>
      </c>
      <c r="F51" s="157" t="s">
        <v>39</v>
      </c>
      <c r="G51" s="161">
        <v>0.029</v>
      </c>
      <c r="H51" s="159" t="s">
        <v>40</v>
      </c>
      <c r="I51" s="69">
        <f t="shared" si="1"/>
        <v>43.5</v>
      </c>
      <c r="J51" s="65" t="s">
        <v>41</v>
      </c>
      <c r="K51" s="65"/>
      <c r="L51" s="65" t="s">
        <v>42</v>
      </c>
      <c r="M51" s="156" t="s">
        <v>43</v>
      </c>
      <c r="N51" s="65" t="s">
        <v>117</v>
      </c>
      <c r="O51" s="178">
        <v>1.34</v>
      </c>
    </row>
    <row r="52" s="105" customFormat="1" spans="1:15">
      <c r="A52" s="64" t="s">
        <v>122</v>
      </c>
      <c r="B52" s="160" t="s">
        <v>123</v>
      </c>
      <c r="C52" s="160" t="s">
        <v>124</v>
      </c>
      <c r="D52" s="156" t="s">
        <v>38</v>
      </c>
      <c r="E52" s="160">
        <v>4500</v>
      </c>
      <c r="F52" s="157" t="s">
        <v>39</v>
      </c>
      <c r="G52" s="161">
        <v>0.0145</v>
      </c>
      <c r="H52" s="159" t="s">
        <v>40</v>
      </c>
      <c r="I52" s="69">
        <f t="shared" si="1"/>
        <v>65.25</v>
      </c>
      <c r="J52" s="65" t="s">
        <v>41</v>
      </c>
      <c r="K52" s="65"/>
      <c r="L52" s="65" t="s">
        <v>42</v>
      </c>
      <c r="M52" s="156" t="s">
        <v>43</v>
      </c>
      <c r="N52" s="65" t="s">
        <v>125</v>
      </c>
      <c r="O52" s="178">
        <v>3.54</v>
      </c>
    </row>
    <row r="53" s="105" customFormat="1" spans="1:15">
      <c r="A53" s="64" t="s">
        <v>126</v>
      </c>
      <c r="B53" s="160" t="s">
        <v>127</v>
      </c>
      <c r="C53" s="160" t="s">
        <v>58</v>
      </c>
      <c r="D53" s="156" t="s">
        <v>38</v>
      </c>
      <c r="E53" s="160">
        <v>6000</v>
      </c>
      <c r="F53" s="157" t="s">
        <v>39</v>
      </c>
      <c r="G53" s="161">
        <v>0.016</v>
      </c>
      <c r="H53" s="159" t="s">
        <v>40</v>
      </c>
      <c r="I53" s="69">
        <f t="shared" ref="I53:I84" si="2">ROUND(E53*G53,2)</f>
        <v>96</v>
      </c>
      <c r="J53" s="65" t="s">
        <v>41</v>
      </c>
      <c r="K53" s="65"/>
      <c r="L53" s="65" t="s">
        <v>42</v>
      </c>
      <c r="M53" s="156" t="s">
        <v>43</v>
      </c>
      <c r="N53" s="65" t="s">
        <v>128</v>
      </c>
      <c r="O53" s="178">
        <v>2.28</v>
      </c>
    </row>
    <row r="54" s="105" customFormat="1" spans="1:15">
      <c r="A54" s="64" t="s">
        <v>129</v>
      </c>
      <c r="B54" s="160" t="s">
        <v>127</v>
      </c>
      <c r="C54" s="160" t="s">
        <v>100</v>
      </c>
      <c r="D54" s="156" t="s">
        <v>38</v>
      </c>
      <c r="E54" s="160">
        <v>12000</v>
      </c>
      <c r="F54" s="157" t="s">
        <v>39</v>
      </c>
      <c r="G54" s="161">
        <v>0.016</v>
      </c>
      <c r="H54" s="159" t="s">
        <v>40</v>
      </c>
      <c r="I54" s="69">
        <f t="shared" si="2"/>
        <v>192</v>
      </c>
      <c r="J54" s="65" t="s">
        <v>41</v>
      </c>
      <c r="K54" s="65"/>
      <c r="L54" s="65" t="s">
        <v>42</v>
      </c>
      <c r="M54" s="156" t="s">
        <v>43</v>
      </c>
      <c r="N54" s="65" t="s">
        <v>128</v>
      </c>
      <c r="O54" s="178">
        <v>4.56</v>
      </c>
    </row>
    <row r="55" s="105" customFormat="1" spans="1:15">
      <c r="A55" s="64" t="s">
        <v>130</v>
      </c>
      <c r="B55" s="160" t="s">
        <v>131</v>
      </c>
      <c r="C55" s="160" t="s">
        <v>65</v>
      </c>
      <c r="D55" s="156" t="s">
        <v>38</v>
      </c>
      <c r="E55" s="160">
        <v>37400</v>
      </c>
      <c r="F55" s="157" t="s">
        <v>39</v>
      </c>
      <c r="G55" s="161">
        <v>0.0115</v>
      </c>
      <c r="H55" s="159" t="s">
        <v>40</v>
      </c>
      <c r="I55" s="69">
        <f t="shared" si="2"/>
        <v>430.1</v>
      </c>
      <c r="J55" s="65" t="s">
        <v>41</v>
      </c>
      <c r="K55" s="65"/>
      <c r="L55" s="65" t="s">
        <v>42</v>
      </c>
      <c r="M55" s="156" t="s">
        <v>43</v>
      </c>
      <c r="N55" s="65" t="s">
        <v>132</v>
      </c>
      <c r="O55" s="178">
        <v>13.09</v>
      </c>
    </row>
    <row r="56" s="105" customFormat="1" spans="1:15">
      <c r="A56" s="64" t="s">
        <v>133</v>
      </c>
      <c r="B56" s="160" t="s">
        <v>131</v>
      </c>
      <c r="C56" s="160" t="s">
        <v>37</v>
      </c>
      <c r="D56" s="156" t="s">
        <v>38</v>
      </c>
      <c r="E56" s="160">
        <v>16600</v>
      </c>
      <c r="F56" s="157" t="s">
        <v>39</v>
      </c>
      <c r="G56" s="161">
        <v>0.0115</v>
      </c>
      <c r="H56" s="159" t="s">
        <v>40</v>
      </c>
      <c r="I56" s="69">
        <f t="shared" si="2"/>
        <v>190.9</v>
      </c>
      <c r="J56" s="65" t="s">
        <v>41</v>
      </c>
      <c r="K56" s="65"/>
      <c r="L56" s="65" t="s">
        <v>42</v>
      </c>
      <c r="M56" s="156" t="s">
        <v>43</v>
      </c>
      <c r="N56" s="65" t="s">
        <v>132</v>
      </c>
      <c r="O56" s="178">
        <v>5.81</v>
      </c>
    </row>
    <row r="57" s="105" customFormat="1" spans="1:15">
      <c r="A57" s="64" t="s">
        <v>134</v>
      </c>
      <c r="B57" s="160" t="s">
        <v>135</v>
      </c>
      <c r="C57" s="160" t="s">
        <v>136</v>
      </c>
      <c r="D57" s="156" t="s">
        <v>38</v>
      </c>
      <c r="E57" s="160">
        <v>2000</v>
      </c>
      <c r="F57" s="157" t="s">
        <v>39</v>
      </c>
      <c r="G57" s="161">
        <v>0.0278</v>
      </c>
      <c r="H57" s="159" t="s">
        <v>40</v>
      </c>
      <c r="I57" s="69">
        <f t="shared" si="2"/>
        <v>55.6</v>
      </c>
      <c r="J57" s="65" t="s">
        <v>41</v>
      </c>
      <c r="K57" s="65"/>
      <c r="L57" s="65" t="s">
        <v>42</v>
      </c>
      <c r="M57" s="156" t="s">
        <v>43</v>
      </c>
      <c r="N57" s="65" t="s">
        <v>137</v>
      </c>
      <c r="O57" s="178">
        <v>0.53</v>
      </c>
    </row>
    <row r="58" s="105" customFormat="1" spans="1:15">
      <c r="A58" s="64" t="s">
        <v>138</v>
      </c>
      <c r="B58" s="160" t="s">
        <v>135</v>
      </c>
      <c r="C58" s="160" t="s">
        <v>139</v>
      </c>
      <c r="D58" s="156" t="s">
        <v>38</v>
      </c>
      <c r="E58" s="160">
        <v>6000</v>
      </c>
      <c r="F58" s="157" t="s">
        <v>39</v>
      </c>
      <c r="G58" s="161">
        <v>0.0278</v>
      </c>
      <c r="H58" s="159" t="s">
        <v>40</v>
      </c>
      <c r="I58" s="69">
        <f t="shared" si="2"/>
        <v>166.8</v>
      </c>
      <c r="J58" s="65" t="s">
        <v>41</v>
      </c>
      <c r="K58" s="65"/>
      <c r="L58" s="65" t="s">
        <v>42</v>
      </c>
      <c r="M58" s="156" t="s">
        <v>43</v>
      </c>
      <c r="N58" s="65" t="s">
        <v>137</v>
      </c>
      <c r="O58" s="178">
        <v>1.6</v>
      </c>
    </row>
    <row r="59" s="105" customFormat="1" spans="1:15">
      <c r="A59" s="64" t="s">
        <v>140</v>
      </c>
      <c r="B59" s="160" t="s">
        <v>135</v>
      </c>
      <c r="C59" s="160" t="s">
        <v>55</v>
      </c>
      <c r="D59" s="156" t="s">
        <v>38</v>
      </c>
      <c r="E59" s="160">
        <v>16000</v>
      </c>
      <c r="F59" s="157" t="s">
        <v>39</v>
      </c>
      <c r="G59" s="161">
        <v>0.0278</v>
      </c>
      <c r="H59" s="159" t="s">
        <v>40</v>
      </c>
      <c r="I59" s="69">
        <f t="shared" si="2"/>
        <v>444.8</v>
      </c>
      <c r="J59" s="65" t="s">
        <v>41</v>
      </c>
      <c r="K59" s="65"/>
      <c r="L59" s="65" t="s">
        <v>42</v>
      </c>
      <c r="M59" s="156" t="s">
        <v>43</v>
      </c>
      <c r="N59" s="65" t="s">
        <v>137</v>
      </c>
      <c r="O59" s="178">
        <v>4.27</v>
      </c>
    </row>
    <row r="60" s="105" customFormat="1" spans="1:15">
      <c r="A60" s="64" t="s">
        <v>141</v>
      </c>
      <c r="B60" s="160" t="s">
        <v>142</v>
      </c>
      <c r="C60" s="160" t="s">
        <v>121</v>
      </c>
      <c r="D60" s="156" t="s">
        <v>38</v>
      </c>
      <c r="E60" s="160">
        <v>1500</v>
      </c>
      <c r="F60" s="157" t="s">
        <v>39</v>
      </c>
      <c r="G60" s="161">
        <v>0.03</v>
      </c>
      <c r="H60" s="159" t="s">
        <v>40</v>
      </c>
      <c r="I60" s="69">
        <f t="shared" si="2"/>
        <v>45</v>
      </c>
      <c r="J60" s="65" t="s">
        <v>41</v>
      </c>
      <c r="K60" s="65"/>
      <c r="L60" s="65" t="s">
        <v>42</v>
      </c>
      <c r="M60" s="156" t="s">
        <v>43</v>
      </c>
      <c r="N60" s="65" t="s">
        <v>143</v>
      </c>
      <c r="O60" s="178">
        <v>0.97</v>
      </c>
    </row>
    <row r="61" s="105" customFormat="1" spans="1:15">
      <c r="A61" s="64" t="s">
        <v>144</v>
      </c>
      <c r="B61" s="160" t="s">
        <v>142</v>
      </c>
      <c r="C61" s="160" t="s">
        <v>55</v>
      </c>
      <c r="D61" s="156" t="s">
        <v>38</v>
      </c>
      <c r="E61" s="160">
        <v>18000</v>
      </c>
      <c r="F61" s="157" t="s">
        <v>39</v>
      </c>
      <c r="G61" s="161">
        <v>0.03</v>
      </c>
      <c r="H61" s="159" t="s">
        <v>40</v>
      </c>
      <c r="I61" s="69">
        <f t="shared" si="2"/>
        <v>540</v>
      </c>
      <c r="J61" s="65" t="s">
        <v>41</v>
      </c>
      <c r="K61" s="65"/>
      <c r="L61" s="65" t="s">
        <v>42</v>
      </c>
      <c r="M61" s="156" t="s">
        <v>43</v>
      </c>
      <c r="N61" s="65" t="s">
        <v>143</v>
      </c>
      <c r="O61" s="178">
        <v>11.64</v>
      </c>
    </row>
    <row r="62" s="105" customFormat="1" spans="1:15">
      <c r="A62" s="64" t="s">
        <v>145</v>
      </c>
      <c r="B62" s="160" t="s">
        <v>142</v>
      </c>
      <c r="C62" s="160" t="s">
        <v>100</v>
      </c>
      <c r="D62" s="156" t="s">
        <v>38</v>
      </c>
      <c r="E62" s="160">
        <v>4500</v>
      </c>
      <c r="F62" s="157" t="s">
        <v>39</v>
      </c>
      <c r="G62" s="161">
        <v>0.03</v>
      </c>
      <c r="H62" s="159" t="s">
        <v>40</v>
      </c>
      <c r="I62" s="69">
        <f t="shared" si="2"/>
        <v>135</v>
      </c>
      <c r="J62" s="65" t="s">
        <v>41</v>
      </c>
      <c r="K62" s="65"/>
      <c r="L62" s="65" t="s">
        <v>42</v>
      </c>
      <c r="M62" s="156" t="s">
        <v>43</v>
      </c>
      <c r="N62" s="65" t="s">
        <v>143</v>
      </c>
      <c r="O62" s="178">
        <v>2.91</v>
      </c>
    </row>
    <row r="63" s="105" customFormat="1" spans="1:15">
      <c r="A63" s="64" t="s">
        <v>146</v>
      </c>
      <c r="B63" s="160" t="s">
        <v>147</v>
      </c>
      <c r="C63" s="160" t="s">
        <v>92</v>
      </c>
      <c r="D63" s="156" t="s">
        <v>38</v>
      </c>
      <c r="E63" s="160">
        <v>1500</v>
      </c>
      <c r="F63" s="157" t="s">
        <v>39</v>
      </c>
      <c r="G63" s="161">
        <v>0.0161</v>
      </c>
      <c r="H63" s="159" t="s">
        <v>40</v>
      </c>
      <c r="I63" s="69">
        <f t="shared" si="2"/>
        <v>24.15</v>
      </c>
      <c r="J63" s="65" t="s">
        <v>41</v>
      </c>
      <c r="K63" s="65"/>
      <c r="L63" s="65" t="s">
        <v>42</v>
      </c>
      <c r="M63" s="156" t="s">
        <v>43</v>
      </c>
      <c r="N63" s="65" t="s">
        <v>148</v>
      </c>
      <c r="O63" s="178">
        <v>1.18</v>
      </c>
    </row>
    <row r="64" s="105" customFormat="1" spans="1:15">
      <c r="A64" s="64" t="s">
        <v>149</v>
      </c>
      <c r="B64" s="160" t="s">
        <v>150</v>
      </c>
      <c r="C64" s="160" t="s">
        <v>68</v>
      </c>
      <c r="D64" s="156" t="s">
        <v>38</v>
      </c>
      <c r="E64" s="160">
        <v>4500</v>
      </c>
      <c r="F64" s="157" t="s">
        <v>39</v>
      </c>
      <c r="G64" s="161">
        <v>0.0252</v>
      </c>
      <c r="H64" s="159" t="s">
        <v>40</v>
      </c>
      <c r="I64" s="69">
        <f t="shared" si="2"/>
        <v>113.4</v>
      </c>
      <c r="J64" s="65" t="s">
        <v>41</v>
      </c>
      <c r="K64" s="65"/>
      <c r="L64" s="65" t="s">
        <v>42</v>
      </c>
      <c r="M64" s="156" t="s">
        <v>43</v>
      </c>
      <c r="N64" s="65" t="s">
        <v>151</v>
      </c>
      <c r="O64" s="178">
        <v>4.02</v>
      </c>
    </row>
    <row r="65" s="105" customFormat="1" spans="1:15">
      <c r="A65" s="64" t="s">
        <v>152</v>
      </c>
      <c r="B65" s="160" t="s">
        <v>150</v>
      </c>
      <c r="C65" s="160" t="s">
        <v>153</v>
      </c>
      <c r="D65" s="156" t="s">
        <v>38</v>
      </c>
      <c r="E65" s="160">
        <v>1500</v>
      </c>
      <c r="F65" s="157" t="s">
        <v>39</v>
      </c>
      <c r="G65" s="161">
        <v>0.0252</v>
      </c>
      <c r="H65" s="159" t="s">
        <v>40</v>
      </c>
      <c r="I65" s="69">
        <f t="shared" si="2"/>
        <v>37.8</v>
      </c>
      <c r="J65" s="65" t="s">
        <v>41</v>
      </c>
      <c r="K65" s="65"/>
      <c r="L65" s="65" t="s">
        <v>42</v>
      </c>
      <c r="M65" s="156" t="s">
        <v>43</v>
      </c>
      <c r="N65" s="65" t="s">
        <v>151</v>
      </c>
      <c r="O65" s="178">
        <v>1.34</v>
      </c>
    </row>
    <row r="66" s="105" customFormat="1" spans="1:15">
      <c r="A66" s="64" t="s">
        <v>154</v>
      </c>
      <c r="B66" s="160" t="s">
        <v>150</v>
      </c>
      <c r="C66" s="160" t="s">
        <v>121</v>
      </c>
      <c r="D66" s="156" t="s">
        <v>38</v>
      </c>
      <c r="E66" s="160">
        <v>28500</v>
      </c>
      <c r="F66" s="157" t="s">
        <v>39</v>
      </c>
      <c r="G66" s="161">
        <v>0.0252</v>
      </c>
      <c r="H66" s="159" t="s">
        <v>40</v>
      </c>
      <c r="I66" s="69">
        <f t="shared" si="2"/>
        <v>718.2</v>
      </c>
      <c r="J66" s="65" t="s">
        <v>41</v>
      </c>
      <c r="K66" s="65"/>
      <c r="L66" s="65" t="s">
        <v>42</v>
      </c>
      <c r="M66" s="156" t="s">
        <v>43</v>
      </c>
      <c r="N66" s="65" t="s">
        <v>151</v>
      </c>
      <c r="O66" s="178">
        <v>25.46</v>
      </c>
    </row>
    <row r="67" s="105" customFormat="1" spans="1:15">
      <c r="A67" s="64" t="s">
        <v>155</v>
      </c>
      <c r="B67" s="160" t="s">
        <v>150</v>
      </c>
      <c r="C67" s="160" t="s">
        <v>55</v>
      </c>
      <c r="D67" s="156" t="s">
        <v>38</v>
      </c>
      <c r="E67" s="160">
        <v>9000</v>
      </c>
      <c r="F67" s="157" t="s">
        <v>39</v>
      </c>
      <c r="G67" s="161">
        <v>0.0252</v>
      </c>
      <c r="H67" s="159" t="s">
        <v>40</v>
      </c>
      <c r="I67" s="69">
        <f t="shared" si="2"/>
        <v>226.8</v>
      </c>
      <c r="J67" s="65" t="s">
        <v>41</v>
      </c>
      <c r="K67" s="65"/>
      <c r="L67" s="65" t="s">
        <v>42</v>
      </c>
      <c r="M67" s="156" t="s">
        <v>43</v>
      </c>
      <c r="N67" s="65" t="s">
        <v>151</v>
      </c>
      <c r="O67" s="178">
        <v>8.04</v>
      </c>
    </row>
    <row r="68" s="105" customFormat="1" spans="1:15">
      <c r="A68" s="64" t="s">
        <v>156</v>
      </c>
      <c r="B68" s="160" t="s">
        <v>150</v>
      </c>
      <c r="C68" s="160" t="s">
        <v>55</v>
      </c>
      <c r="D68" s="156" t="s">
        <v>38</v>
      </c>
      <c r="E68" s="160">
        <v>3000</v>
      </c>
      <c r="F68" s="157" t="s">
        <v>39</v>
      </c>
      <c r="G68" s="161">
        <v>0.0252</v>
      </c>
      <c r="H68" s="159" t="s">
        <v>40</v>
      </c>
      <c r="I68" s="69">
        <f t="shared" si="2"/>
        <v>75.6</v>
      </c>
      <c r="J68" s="65" t="s">
        <v>41</v>
      </c>
      <c r="K68" s="65"/>
      <c r="L68" s="65" t="s">
        <v>42</v>
      </c>
      <c r="M68" s="156" t="s">
        <v>43</v>
      </c>
      <c r="N68" s="65" t="s">
        <v>151</v>
      </c>
      <c r="O68" s="178">
        <v>2.68</v>
      </c>
    </row>
    <row r="69" s="105" customFormat="1" spans="1:15">
      <c r="A69" s="64" t="s">
        <v>157</v>
      </c>
      <c r="B69" s="160" t="s">
        <v>158</v>
      </c>
      <c r="C69" s="160" t="s">
        <v>65</v>
      </c>
      <c r="D69" s="156" t="s">
        <v>38</v>
      </c>
      <c r="E69" s="160">
        <v>8000</v>
      </c>
      <c r="F69" s="157" t="s">
        <v>39</v>
      </c>
      <c r="G69" s="161">
        <v>0.0095</v>
      </c>
      <c r="H69" s="159" t="s">
        <v>40</v>
      </c>
      <c r="I69" s="69">
        <f t="shared" si="2"/>
        <v>76</v>
      </c>
      <c r="J69" s="65" t="s">
        <v>41</v>
      </c>
      <c r="K69" s="65"/>
      <c r="L69" s="65" t="s">
        <v>42</v>
      </c>
      <c r="M69" s="156" t="s">
        <v>43</v>
      </c>
      <c r="N69" s="65" t="s">
        <v>159</v>
      </c>
      <c r="O69" s="178">
        <v>2.8</v>
      </c>
    </row>
    <row r="70" s="105" customFormat="1" spans="1:15">
      <c r="A70" s="64" t="s">
        <v>160</v>
      </c>
      <c r="B70" s="160" t="s">
        <v>161</v>
      </c>
      <c r="C70" s="160" t="s">
        <v>162</v>
      </c>
      <c r="D70" s="156" t="s">
        <v>38</v>
      </c>
      <c r="E70" s="160">
        <v>3000</v>
      </c>
      <c r="F70" s="157" t="s">
        <v>39</v>
      </c>
      <c r="G70" s="161">
        <v>0.0099</v>
      </c>
      <c r="H70" s="159" t="s">
        <v>40</v>
      </c>
      <c r="I70" s="69">
        <f t="shared" si="2"/>
        <v>29.7</v>
      </c>
      <c r="J70" s="65" t="s">
        <v>41</v>
      </c>
      <c r="K70" s="65"/>
      <c r="L70" s="65" t="s">
        <v>42</v>
      </c>
      <c r="M70" s="156" t="s">
        <v>43</v>
      </c>
      <c r="N70" s="65" t="s">
        <v>163</v>
      </c>
      <c r="O70" s="178">
        <v>1.92</v>
      </c>
    </row>
    <row r="71" s="105" customFormat="1" spans="1:15">
      <c r="A71" s="64" t="s">
        <v>164</v>
      </c>
      <c r="B71" s="160" t="s">
        <v>161</v>
      </c>
      <c r="C71" s="160" t="s">
        <v>162</v>
      </c>
      <c r="D71" s="156" t="s">
        <v>38</v>
      </c>
      <c r="E71" s="160">
        <v>13500</v>
      </c>
      <c r="F71" s="157" t="s">
        <v>39</v>
      </c>
      <c r="G71" s="161">
        <v>0.0099</v>
      </c>
      <c r="H71" s="159" t="s">
        <v>40</v>
      </c>
      <c r="I71" s="69">
        <f t="shared" si="2"/>
        <v>133.65</v>
      </c>
      <c r="J71" s="65" t="s">
        <v>41</v>
      </c>
      <c r="K71" s="65"/>
      <c r="L71" s="65" t="s">
        <v>42</v>
      </c>
      <c r="M71" s="156" t="s">
        <v>43</v>
      </c>
      <c r="N71" s="65" t="s">
        <v>163</v>
      </c>
      <c r="O71" s="178">
        <v>8.64</v>
      </c>
    </row>
    <row r="72" s="105" customFormat="1" spans="1:15">
      <c r="A72" s="64" t="s">
        <v>165</v>
      </c>
      <c r="B72" s="160" t="s">
        <v>166</v>
      </c>
      <c r="C72" s="160" t="s">
        <v>162</v>
      </c>
      <c r="D72" s="156" t="s">
        <v>38</v>
      </c>
      <c r="E72" s="160">
        <v>26000</v>
      </c>
      <c r="F72" s="157" t="s">
        <v>39</v>
      </c>
      <c r="G72" s="161">
        <v>0.0115</v>
      </c>
      <c r="H72" s="159" t="s">
        <v>40</v>
      </c>
      <c r="I72" s="69">
        <f t="shared" si="2"/>
        <v>299</v>
      </c>
      <c r="J72" s="65" t="s">
        <v>41</v>
      </c>
      <c r="K72" s="65"/>
      <c r="L72" s="65" t="s">
        <v>42</v>
      </c>
      <c r="M72" s="156" t="s">
        <v>43</v>
      </c>
      <c r="N72" s="65" t="s">
        <v>167</v>
      </c>
      <c r="O72" s="178">
        <v>9.1</v>
      </c>
    </row>
    <row r="73" s="105" customFormat="1" spans="1:15">
      <c r="A73" s="64" t="s">
        <v>168</v>
      </c>
      <c r="B73" s="160" t="s">
        <v>169</v>
      </c>
      <c r="C73" s="160" t="s">
        <v>46</v>
      </c>
      <c r="D73" s="156" t="s">
        <v>38</v>
      </c>
      <c r="E73" s="160">
        <v>40500</v>
      </c>
      <c r="F73" s="157" t="s">
        <v>39</v>
      </c>
      <c r="G73" s="161">
        <v>0.0145</v>
      </c>
      <c r="H73" s="159" t="s">
        <v>40</v>
      </c>
      <c r="I73" s="69">
        <f t="shared" si="2"/>
        <v>587.25</v>
      </c>
      <c r="J73" s="65" t="s">
        <v>41</v>
      </c>
      <c r="K73" s="65"/>
      <c r="L73" s="65" t="s">
        <v>42</v>
      </c>
      <c r="M73" s="156" t="s">
        <v>43</v>
      </c>
      <c r="N73" s="65" t="s">
        <v>170</v>
      </c>
      <c r="O73" s="178">
        <v>31.86</v>
      </c>
    </row>
    <row r="74" s="105" customFormat="1" spans="1:15">
      <c r="A74" s="64" t="s">
        <v>171</v>
      </c>
      <c r="B74" s="160" t="s">
        <v>172</v>
      </c>
      <c r="C74" s="160" t="s">
        <v>173</v>
      </c>
      <c r="D74" s="156" t="s">
        <v>38</v>
      </c>
      <c r="E74" s="160">
        <v>42000</v>
      </c>
      <c r="F74" s="157" t="s">
        <v>39</v>
      </c>
      <c r="G74" s="161">
        <v>0.0278</v>
      </c>
      <c r="H74" s="159" t="s">
        <v>40</v>
      </c>
      <c r="I74" s="69">
        <f t="shared" si="2"/>
        <v>1167.6</v>
      </c>
      <c r="J74" s="65" t="s">
        <v>41</v>
      </c>
      <c r="K74" s="65"/>
      <c r="L74" s="65" t="s">
        <v>42</v>
      </c>
      <c r="M74" s="156" t="s">
        <v>43</v>
      </c>
      <c r="N74" s="65" t="s">
        <v>174</v>
      </c>
      <c r="O74" s="178">
        <v>11.2</v>
      </c>
    </row>
    <row r="75" s="105" customFormat="1" spans="1:15">
      <c r="A75" s="64" t="s">
        <v>175</v>
      </c>
      <c r="B75" s="160" t="s">
        <v>172</v>
      </c>
      <c r="C75" s="160" t="s">
        <v>87</v>
      </c>
      <c r="D75" s="156" t="s">
        <v>38</v>
      </c>
      <c r="E75" s="160">
        <v>3000</v>
      </c>
      <c r="F75" s="157" t="s">
        <v>39</v>
      </c>
      <c r="G75" s="161">
        <v>0.0278</v>
      </c>
      <c r="H75" s="159" t="s">
        <v>40</v>
      </c>
      <c r="I75" s="69">
        <f t="shared" si="2"/>
        <v>83.4</v>
      </c>
      <c r="J75" s="65" t="s">
        <v>41</v>
      </c>
      <c r="K75" s="65"/>
      <c r="L75" s="65" t="s">
        <v>42</v>
      </c>
      <c r="M75" s="156" t="s">
        <v>43</v>
      </c>
      <c r="N75" s="65" t="s">
        <v>174</v>
      </c>
      <c r="O75" s="178">
        <v>0.8</v>
      </c>
    </row>
    <row r="76" s="105" customFormat="1" spans="1:15">
      <c r="A76" s="64" t="s">
        <v>176</v>
      </c>
      <c r="B76" s="160" t="s">
        <v>172</v>
      </c>
      <c r="C76" s="160" t="s">
        <v>87</v>
      </c>
      <c r="D76" s="156" t="s">
        <v>38</v>
      </c>
      <c r="E76" s="160">
        <v>33000</v>
      </c>
      <c r="F76" s="157" t="s">
        <v>39</v>
      </c>
      <c r="G76" s="161">
        <v>0.0278</v>
      </c>
      <c r="H76" s="159" t="s">
        <v>40</v>
      </c>
      <c r="I76" s="69">
        <f t="shared" si="2"/>
        <v>917.4</v>
      </c>
      <c r="J76" s="65" t="s">
        <v>41</v>
      </c>
      <c r="K76" s="65"/>
      <c r="L76" s="65" t="s">
        <v>42</v>
      </c>
      <c r="M76" s="156" t="s">
        <v>43</v>
      </c>
      <c r="N76" s="65" t="s">
        <v>174</v>
      </c>
      <c r="O76" s="178">
        <v>8.8</v>
      </c>
    </row>
    <row r="77" s="105" customFormat="1" spans="1:15">
      <c r="A77" s="64" t="s">
        <v>177</v>
      </c>
      <c r="B77" s="160" t="s">
        <v>178</v>
      </c>
      <c r="C77" s="160" t="s">
        <v>179</v>
      </c>
      <c r="D77" s="156" t="s">
        <v>38</v>
      </c>
      <c r="E77" s="160">
        <v>4000</v>
      </c>
      <c r="F77" s="157" t="s">
        <v>39</v>
      </c>
      <c r="G77" s="161">
        <v>0.061</v>
      </c>
      <c r="H77" s="159" t="s">
        <v>40</v>
      </c>
      <c r="I77" s="69">
        <f t="shared" si="2"/>
        <v>244</v>
      </c>
      <c r="J77" s="65" t="s">
        <v>41</v>
      </c>
      <c r="K77" s="65"/>
      <c r="L77" s="65" t="s">
        <v>42</v>
      </c>
      <c r="M77" s="156" t="s">
        <v>43</v>
      </c>
      <c r="N77" s="65" t="s">
        <v>180</v>
      </c>
      <c r="O77" s="178">
        <v>2</v>
      </c>
    </row>
    <row r="78" s="105" customFormat="1" spans="1:15">
      <c r="A78" s="64" t="s">
        <v>181</v>
      </c>
      <c r="B78" s="160" t="s">
        <v>182</v>
      </c>
      <c r="C78" s="160" t="s">
        <v>162</v>
      </c>
      <c r="D78" s="156" t="s">
        <v>38</v>
      </c>
      <c r="E78" s="160">
        <v>9500</v>
      </c>
      <c r="F78" s="157" t="s">
        <v>39</v>
      </c>
      <c r="G78" s="161">
        <v>0.0252</v>
      </c>
      <c r="H78" s="159" t="s">
        <v>40</v>
      </c>
      <c r="I78" s="69">
        <f t="shared" si="2"/>
        <v>239.4</v>
      </c>
      <c r="J78" s="65" t="s">
        <v>41</v>
      </c>
      <c r="K78" s="65"/>
      <c r="L78" s="65" t="s">
        <v>42</v>
      </c>
      <c r="M78" s="156" t="s">
        <v>43</v>
      </c>
      <c r="N78" s="65" t="s">
        <v>183</v>
      </c>
      <c r="O78" s="178">
        <v>8.49</v>
      </c>
    </row>
    <row r="79" s="105" customFormat="1" spans="1:15">
      <c r="A79" s="64" t="s">
        <v>184</v>
      </c>
      <c r="B79" s="160" t="s">
        <v>182</v>
      </c>
      <c r="C79" s="160" t="s">
        <v>162</v>
      </c>
      <c r="D79" s="156" t="s">
        <v>38</v>
      </c>
      <c r="E79" s="160">
        <v>31500</v>
      </c>
      <c r="F79" s="157" t="s">
        <v>39</v>
      </c>
      <c r="G79" s="161">
        <v>0.0252</v>
      </c>
      <c r="H79" s="159" t="s">
        <v>40</v>
      </c>
      <c r="I79" s="69">
        <f t="shared" si="2"/>
        <v>793.8</v>
      </c>
      <c r="J79" s="65" t="s">
        <v>41</v>
      </c>
      <c r="K79" s="65"/>
      <c r="L79" s="65" t="s">
        <v>42</v>
      </c>
      <c r="M79" s="156" t="s">
        <v>43</v>
      </c>
      <c r="N79" s="65" t="s">
        <v>183</v>
      </c>
      <c r="O79" s="178">
        <v>28.14</v>
      </c>
    </row>
    <row r="80" s="105" customFormat="1" spans="1:15">
      <c r="A80" s="64" t="s">
        <v>185</v>
      </c>
      <c r="B80" s="160" t="s">
        <v>182</v>
      </c>
      <c r="C80" s="160" t="s">
        <v>162</v>
      </c>
      <c r="D80" s="156" t="s">
        <v>38</v>
      </c>
      <c r="E80" s="160">
        <v>13500</v>
      </c>
      <c r="F80" s="157" t="s">
        <v>39</v>
      </c>
      <c r="G80" s="161">
        <v>0.0252</v>
      </c>
      <c r="H80" s="159" t="s">
        <v>40</v>
      </c>
      <c r="I80" s="69">
        <f t="shared" si="2"/>
        <v>340.2</v>
      </c>
      <c r="J80" s="65" t="s">
        <v>41</v>
      </c>
      <c r="K80" s="65"/>
      <c r="L80" s="65" t="s">
        <v>42</v>
      </c>
      <c r="M80" s="156" t="s">
        <v>43</v>
      </c>
      <c r="N80" s="65" t="s">
        <v>183</v>
      </c>
      <c r="O80" s="178">
        <v>12.06</v>
      </c>
    </row>
    <row r="81" s="105" customFormat="1" spans="1:15">
      <c r="A81" s="64" t="s">
        <v>186</v>
      </c>
      <c r="B81" s="160" t="s">
        <v>182</v>
      </c>
      <c r="C81" s="160" t="s">
        <v>116</v>
      </c>
      <c r="D81" s="156" t="s">
        <v>38</v>
      </c>
      <c r="E81" s="160">
        <v>35500</v>
      </c>
      <c r="F81" s="157" t="s">
        <v>39</v>
      </c>
      <c r="G81" s="161">
        <v>0.0252</v>
      </c>
      <c r="H81" s="159" t="s">
        <v>40</v>
      </c>
      <c r="I81" s="69">
        <f t="shared" si="2"/>
        <v>894.6</v>
      </c>
      <c r="J81" s="65" t="s">
        <v>41</v>
      </c>
      <c r="K81" s="65"/>
      <c r="L81" s="65" t="s">
        <v>42</v>
      </c>
      <c r="M81" s="156" t="s">
        <v>43</v>
      </c>
      <c r="N81" s="65" t="s">
        <v>183</v>
      </c>
      <c r="O81" s="178">
        <v>31.71</v>
      </c>
    </row>
    <row r="82" s="105" customFormat="1" spans="1:15">
      <c r="A82" s="64" t="s">
        <v>187</v>
      </c>
      <c r="B82" s="160" t="s">
        <v>188</v>
      </c>
      <c r="C82" s="160" t="s">
        <v>37</v>
      </c>
      <c r="D82" s="156" t="s">
        <v>38</v>
      </c>
      <c r="E82" s="160">
        <v>18000</v>
      </c>
      <c r="F82" s="157" t="s">
        <v>39</v>
      </c>
      <c r="G82" s="161">
        <v>0.0278</v>
      </c>
      <c r="H82" s="159" t="s">
        <v>40</v>
      </c>
      <c r="I82" s="69">
        <f t="shared" si="2"/>
        <v>500.4</v>
      </c>
      <c r="J82" s="65" t="s">
        <v>41</v>
      </c>
      <c r="K82" s="65"/>
      <c r="L82" s="65" t="s">
        <v>42</v>
      </c>
      <c r="M82" s="156" t="s">
        <v>43</v>
      </c>
      <c r="N82" s="65" t="s">
        <v>189</v>
      </c>
      <c r="O82" s="178">
        <v>4.8</v>
      </c>
    </row>
    <row r="83" s="105" customFormat="1" spans="1:15">
      <c r="A83" s="64" t="s">
        <v>190</v>
      </c>
      <c r="B83" s="160" t="s">
        <v>191</v>
      </c>
      <c r="C83" s="160" t="s">
        <v>116</v>
      </c>
      <c r="D83" s="156" t="s">
        <v>38</v>
      </c>
      <c r="E83" s="160">
        <v>24000</v>
      </c>
      <c r="F83" s="157" t="s">
        <v>39</v>
      </c>
      <c r="G83" s="161">
        <v>0.0073</v>
      </c>
      <c r="H83" s="159" t="s">
        <v>40</v>
      </c>
      <c r="I83" s="69">
        <f t="shared" si="2"/>
        <v>175.2</v>
      </c>
      <c r="J83" s="65" t="s">
        <v>41</v>
      </c>
      <c r="K83" s="65"/>
      <c r="L83" s="65" t="s">
        <v>42</v>
      </c>
      <c r="M83" s="156" t="s">
        <v>43</v>
      </c>
      <c r="N83" s="65" t="s">
        <v>192</v>
      </c>
      <c r="O83" s="178">
        <v>1.09</v>
      </c>
    </row>
    <row r="84" s="105" customFormat="1" spans="1:15">
      <c r="A84" s="64" t="s">
        <v>193</v>
      </c>
      <c r="B84" s="160" t="s">
        <v>194</v>
      </c>
      <c r="C84" s="160" t="s">
        <v>179</v>
      </c>
      <c r="D84" s="156" t="s">
        <v>38</v>
      </c>
      <c r="E84" s="160">
        <v>24000</v>
      </c>
      <c r="F84" s="157" t="s">
        <v>39</v>
      </c>
      <c r="G84" s="161">
        <v>0.0145</v>
      </c>
      <c r="H84" s="159" t="s">
        <v>40</v>
      </c>
      <c r="I84" s="69">
        <f t="shared" si="2"/>
        <v>348</v>
      </c>
      <c r="J84" s="65" t="s">
        <v>41</v>
      </c>
      <c r="K84" s="65"/>
      <c r="L84" s="65" t="s">
        <v>42</v>
      </c>
      <c r="M84" s="156" t="s">
        <v>43</v>
      </c>
      <c r="N84" s="65" t="s">
        <v>195</v>
      </c>
      <c r="O84" s="178">
        <v>18.88</v>
      </c>
    </row>
    <row r="85" s="105" customFormat="1" spans="1:15">
      <c r="A85" s="64" t="s">
        <v>196</v>
      </c>
      <c r="B85" s="160" t="s">
        <v>194</v>
      </c>
      <c r="C85" s="160" t="s">
        <v>162</v>
      </c>
      <c r="D85" s="156" t="s">
        <v>38</v>
      </c>
      <c r="E85" s="160">
        <v>6000</v>
      </c>
      <c r="F85" s="157" t="s">
        <v>39</v>
      </c>
      <c r="G85" s="161">
        <v>0.0145</v>
      </c>
      <c r="H85" s="159" t="s">
        <v>40</v>
      </c>
      <c r="I85" s="69">
        <f t="shared" ref="I85:I118" si="3">ROUND(E85*G85,2)</f>
        <v>87</v>
      </c>
      <c r="J85" s="65" t="s">
        <v>41</v>
      </c>
      <c r="K85" s="65"/>
      <c r="L85" s="65" t="s">
        <v>42</v>
      </c>
      <c r="M85" s="156" t="s">
        <v>43</v>
      </c>
      <c r="N85" s="65" t="s">
        <v>195</v>
      </c>
      <c r="O85" s="178">
        <v>4.72</v>
      </c>
    </row>
    <row r="86" s="105" customFormat="1" spans="1:15">
      <c r="A86" s="64" t="s">
        <v>197</v>
      </c>
      <c r="B86" s="160" t="s">
        <v>194</v>
      </c>
      <c r="C86" s="160" t="s">
        <v>162</v>
      </c>
      <c r="D86" s="156" t="s">
        <v>38</v>
      </c>
      <c r="E86" s="160">
        <v>6000</v>
      </c>
      <c r="F86" s="157" t="s">
        <v>39</v>
      </c>
      <c r="G86" s="161">
        <v>0.0145</v>
      </c>
      <c r="H86" s="159" t="s">
        <v>40</v>
      </c>
      <c r="I86" s="69">
        <f t="shared" si="3"/>
        <v>87</v>
      </c>
      <c r="J86" s="65" t="s">
        <v>41</v>
      </c>
      <c r="K86" s="65"/>
      <c r="L86" s="65" t="s">
        <v>42</v>
      </c>
      <c r="M86" s="156" t="s">
        <v>43</v>
      </c>
      <c r="N86" s="65" t="s">
        <v>195</v>
      </c>
      <c r="O86" s="178">
        <v>4.72</v>
      </c>
    </row>
    <row r="87" s="105" customFormat="1" spans="1:15">
      <c r="A87" s="64" t="s">
        <v>198</v>
      </c>
      <c r="B87" s="160" t="s">
        <v>194</v>
      </c>
      <c r="C87" s="160" t="s">
        <v>162</v>
      </c>
      <c r="D87" s="156" t="s">
        <v>38</v>
      </c>
      <c r="E87" s="160">
        <v>27000</v>
      </c>
      <c r="F87" s="157" t="s">
        <v>39</v>
      </c>
      <c r="G87" s="161">
        <v>0.0145</v>
      </c>
      <c r="H87" s="159" t="s">
        <v>40</v>
      </c>
      <c r="I87" s="69">
        <f t="shared" si="3"/>
        <v>391.5</v>
      </c>
      <c r="J87" s="65" t="s">
        <v>41</v>
      </c>
      <c r="K87" s="65"/>
      <c r="L87" s="65" t="s">
        <v>42</v>
      </c>
      <c r="M87" s="156" t="s">
        <v>43</v>
      </c>
      <c r="N87" s="65" t="s">
        <v>195</v>
      </c>
      <c r="O87" s="178">
        <v>21.24</v>
      </c>
    </row>
    <row r="88" s="105" customFormat="1" spans="1:15">
      <c r="A88" s="64" t="s">
        <v>199</v>
      </c>
      <c r="B88" s="160" t="s">
        <v>194</v>
      </c>
      <c r="C88" s="160" t="s">
        <v>162</v>
      </c>
      <c r="D88" s="156" t="s">
        <v>38</v>
      </c>
      <c r="E88" s="160">
        <v>6000</v>
      </c>
      <c r="F88" s="157" t="s">
        <v>39</v>
      </c>
      <c r="G88" s="161">
        <v>0.0145</v>
      </c>
      <c r="H88" s="159" t="s">
        <v>40</v>
      </c>
      <c r="I88" s="69">
        <f t="shared" si="3"/>
        <v>87</v>
      </c>
      <c r="J88" s="65" t="s">
        <v>41</v>
      </c>
      <c r="K88" s="65"/>
      <c r="L88" s="65" t="s">
        <v>42</v>
      </c>
      <c r="M88" s="156" t="s">
        <v>43</v>
      </c>
      <c r="N88" s="65" t="s">
        <v>195</v>
      </c>
      <c r="O88" s="178">
        <v>4.72</v>
      </c>
    </row>
    <row r="89" s="105" customFormat="1" spans="1:15">
      <c r="A89" s="64" t="s">
        <v>200</v>
      </c>
      <c r="B89" s="160" t="s">
        <v>194</v>
      </c>
      <c r="C89" s="160" t="s">
        <v>162</v>
      </c>
      <c r="D89" s="156" t="s">
        <v>38</v>
      </c>
      <c r="E89" s="160">
        <v>6000</v>
      </c>
      <c r="F89" s="157" t="s">
        <v>39</v>
      </c>
      <c r="G89" s="161">
        <v>0.0145</v>
      </c>
      <c r="H89" s="159" t="s">
        <v>40</v>
      </c>
      <c r="I89" s="69">
        <f t="shared" si="3"/>
        <v>87</v>
      </c>
      <c r="J89" s="65" t="s">
        <v>41</v>
      </c>
      <c r="K89" s="65"/>
      <c r="L89" s="65" t="s">
        <v>42</v>
      </c>
      <c r="M89" s="156" t="s">
        <v>43</v>
      </c>
      <c r="N89" s="65" t="s">
        <v>195</v>
      </c>
      <c r="O89" s="178">
        <v>4.72</v>
      </c>
    </row>
    <row r="90" s="105" customFormat="1" spans="1:15">
      <c r="A90" s="64" t="s">
        <v>201</v>
      </c>
      <c r="B90" s="160" t="s">
        <v>194</v>
      </c>
      <c r="C90" s="160" t="s">
        <v>162</v>
      </c>
      <c r="D90" s="156" t="s">
        <v>38</v>
      </c>
      <c r="E90" s="160">
        <v>6000</v>
      </c>
      <c r="F90" s="157" t="s">
        <v>39</v>
      </c>
      <c r="G90" s="161">
        <v>0.0145</v>
      </c>
      <c r="H90" s="159" t="s">
        <v>40</v>
      </c>
      <c r="I90" s="69">
        <f t="shared" si="3"/>
        <v>87</v>
      </c>
      <c r="J90" s="65" t="s">
        <v>41</v>
      </c>
      <c r="K90" s="65"/>
      <c r="L90" s="65" t="s">
        <v>42</v>
      </c>
      <c r="M90" s="156" t="s">
        <v>43</v>
      </c>
      <c r="N90" s="65" t="s">
        <v>195</v>
      </c>
      <c r="O90" s="178">
        <v>4.72</v>
      </c>
    </row>
    <row r="91" s="105" customFormat="1" spans="1:15">
      <c r="A91" s="64" t="s">
        <v>202</v>
      </c>
      <c r="B91" s="160" t="s">
        <v>194</v>
      </c>
      <c r="C91" s="160" t="s">
        <v>116</v>
      </c>
      <c r="D91" s="156" t="s">
        <v>38</v>
      </c>
      <c r="E91" s="160">
        <v>3000</v>
      </c>
      <c r="F91" s="157" t="s">
        <v>39</v>
      </c>
      <c r="G91" s="161">
        <v>0.0145</v>
      </c>
      <c r="H91" s="159" t="s">
        <v>40</v>
      </c>
      <c r="I91" s="69">
        <f t="shared" si="3"/>
        <v>43.5</v>
      </c>
      <c r="J91" s="65" t="s">
        <v>41</v>
      </c>
      <c r="K91" s="65"/>
      <c r="L91" s="65" t="s">
        <v>42</v>
      </c>
      <c r="M91" s="156" t="s">
        <v>43</v>
      </c>
      <c r="N91" s="65" t="s">
        <v>195</v>
      </c>
      <c r="O91" s="178">
        <v>2.36</v>
      </c>
    </row>
    <row r="92" s="105" customFormat="1" spans="1:15">
      <c r="A92" s="64" t="s">
        <v>203</v>
      </c>
      <c r="B92" s="160" t="s">
        <v>204</v>
      </c>
      <c r="C92" s="160" t="s">
        <v>65</v>
      </c>
      <c r="D92" s="156" t="s">
        <v>38</v>
      </c>
      <c r="E92" s="160">
        <v>3000</v>
      </c>
      <c r="F92" s="157" t="s">
        <v>39</v>
      </c>
      <c r="G92" s="161">
        <v>0.0099</v>
      </c>
      <c r="H92" s="159" t="s">
        <v>40</v>
      </c>
      <c r="I92" s="69">
        <f t="shared" si="3"/>
        <v>29.7</v>
      </c>
      <c r="J92" s="65" t="s">
        <v>41</v>
      </c>
      <c r="K92" s="65"/>
      <c r="L92" s="65" t="s">
        <v>42</v>
      </c>
      <c r="M92" s="156" t="s">
        <v>43</v>
      </c>
      <c r="N92" s="65" t="s">
        <v>205</v>
      </c>
      <c r="O92" s="178">
        <v>1.92</v>
      </c>
    </row>
    <row r="93" s="105" customFormat="1" spans="1:15">
      <c r="A93" s="64" t="s">
        <v>206</v>
      </c>
      <c r="B93" s="160" t="s">
        <v>204</v>
      </c>
      <c r="C93" s="160" t="s">
        <v>37</v>
      </c>
      <c r="D93" s="156" t="s">
        <v>38</v>
      </c>
      <c r="E93" s="160">
        <v>18000</v>
      </c>
      <c r="F93" s="157" t="s">
        <v>39</v>
      </c>
      <c r="G93" s="161">
        <v>0.0099</v>
      </c>
      <c r="H93" s="159" t="s">
        <v>40</v>
      </c>
      <c r="I93" s="69">
        <f t="shared" si="3"/>
        <v>178.2</v>
      </c>
      <c r="J93" s="65" t="s">
        <v>41</v>
      </c>
      <c r="K93" s="65"/>
      <c r="L93" s="65" t="s">
        <v>42</v>
      </c>
      <c r="M93" s="156" t="s">
        <v>43</v>
      </c>
      <c r="N93" s="65" t="s">
        <v>205</v>
      </c>
      <c r="O93" s="178">
        <v>11.52</v>
      </c>
    </row>
    <row r="94" s="105" customFormat="1" spans="1:15">
      <c r="A94" s="64" t="s">
        <v>207</v>
      </c>
      <c r="B94" s="160" t="s">
        <v>208</v>
      </c>
      <c r="C94" s="160" t="s">
        <v>209</v>
      </c>
      <c r="D94" s="156" t="s">
        <v>38</v>
      </c>
      <c r="E94" s="160">
        <v>400</v>
      </c>
      <c r="F94" s="157" t="s">
        <v>39</v>
      </c>
      <c r="G94" s="161">
        <v>0.098</v>
      </c>
      <c r="H94" s="159" t="s">
        <v>40</v>
      </c>
      <c r="I94" s="69">
        <f t="shared" si="3"/>
        <v>39.2</v>
      </c>
      <c r="J94" s="65" t="s">
        <v>41</v>
      </c>
      <c r="K94" s="65"/>
      <c r="L94" s="65" t="s">
        <v>42</v>
      </c>
      <c r="M94" s="156" t="s">
        <v>43</v>
      </c>
      <c r="N94" s="65" t="s">
        <v>210</v>
      </c>
      <c r="O94" s="178">
        <v>2.4</v>
      </c>
    </row>
    <row r="95" s="105" customFormat="1" spans="1:15">
      <c r="A95" s="64" t="s">
        <v>211</v>
      </c>
      <c r="B95" s="160" t="s">
        <v>212</v>
      </c>
      <c r="C95" s="160" t="s">
        <v>55</v>
      </c>
      <c r="D95" s="156" t="s">
        <v>38</v>
      </c>
      <c r="E95" s="160">
        <v>36000</v>
      </c>
      <c r="F95" s="157" t="s">
        <v>39</v>
      </c>
      <c r="G95" s="161">
        <v>0.03</v>
      </c>
      <c r="H95" s="159" t="s">
        <v>40</v>
      </c>
      <c r="I95" s="69">
        <f t="shared" si="3"/>
        <v>1080</v>
      </c>
      <c r="J95" s="65" t="s">
        <v>41</v>
      </c>
      <c r="K95" s="65"/>
      <c r="L95" s="65" t="s">
        <v>42</v>
      </c>
      <c r="M95" s="156" t="s">
        <v>43</v>
      </c>
      <c r="N95" s="65" t="s">
        <v>213</v>
      </c>
      <c r="O95" s="178">
        <v>23.28</v>
      </c>
    </row>
    <row r="96" s="105" customFormat="1" spans="1:15">
      <c r="A96" s="64" t="s">
        <v>214</v>
      </c>
      <c r="B96" s="160" t="s">
        <v>212</v>
      </c>
      <c r="C96" s="160" t="s">
        <v>100</v>
      </c>
      <c r="D96" s="156" t="s">
        <v>38</v>
      </c>
      <c r="E96" s="160">
        <v>15000</v>
      </c>
      <c r="F96" s="157" t="s">
        <v>39</v>
      </c>
      <c r="G96" s="161">
        <v>0.03</v>
      </c>
      <c r="H96" s="159" t="s">
        <v>40</v>
      </c>
      <c r="I96" s="69">
        <f t="shared" si="3"/>
        <v>450</v>
      </c>
      <c r="J96" s="65" t="s">
        <v>41</v>
      </c>
      <c r="K96" s="65"/>
      <c r="L96" s="65" t="s">
        <v>42</v>
      </c>
      <c r="M96" s="156" t="s">
        <v>43</v>
      </c>
      <c r="N96" s="65" t="s">
        <v>213</v>
      </c>
      <c r="O96" s="178">
        <v>9.7</v>
      </c>
    </row>
    <row r="97" s="105" customFormat="1" spans="1:15">
      <c r="A97" s="64" t="s">
        <v>215</v>
      </c>
      <c r="B97" s="160" t="s">
        <v>216</v>
      </c>
      <c r="C97" s="160" t="s">
        <v>121</v>
      </c>
      <c r="D97" s="156" t="s">
        <v>38</v>
      </c>
      <c r="E97" s="160">
        <v>93000</v>
      </c>
      <c r="F97" s="157" t="s">
        <v>39</v>
      </c>
      <c r="G97" s="161">
        <v>0.0278</v>
      </c>
      <c r="H97" s="159" t="s">
        <v>40</v>
      </c>
      <c r="I97" s="69">
        <f t="shared" si="3"/>
        <v>2585.4</v>
      </c>
      <c r="J97" s="65" t="s">
        <v>41</v>
      </c>
      <c r="K97" s="65"/>
      <c r="L97" s="65" t="s">
        <v>42</v>
      </c>
      <c r="M97" s="156" t="s">
        <v>43</v>
      </c>
      <c r="N97" s="65" t="s">
        <v>217</v>
      </c>
      <c r="O97" s="178">
        <v>24.8</v>
      </c>
    </row>
    <row r="98" s="105" customFormat="1" spans="1:15">
      <c r="A98" s="64" t="s">
        <v>218</v>
      </c>
      <c r="B98" s="160" t="s">
        <v>219</v>
      </c>
      <c r="C98" s="160" t="s">
        <v>65</v>
      </c>
      <c r="D98" s="156" t="s">
        <v>38</v>
      </c>
      <c r="E98" s="160">
        <v>12000</v>
      </c>
      <c r="F98" s="157" t="s">
        <v>39</v>
      </c>
      <c r="G98" s="161">
        <v>0.0095</v>
      </c>
      <c r="H98" s="159" t="s">
        <v>40</v>
      </c>
      <c r="I98" s="69">
        <f t="shared" si="3"/>
        <v>114</v>
      </c>
      <c r="J98" s="65" t="s">
        <v>41</v>
      </c>
      <c r="K98" s="65"/>
      <c r="L98" s="65" t="s">
        <v>42</v>
      </c>
      <c r="M98" s="156" t="s">
        <v>43</v>
      </c>
      <c r="N98" s="65" t="s">
        <v>220</v>
      </c>
      <c r="O98" s="178">
        <v>4.2</v>
      </c>
    </row>
    <row r="99" s="105" customFormat="1" spans="1:15">
      <c r="A99" s="64" t="s">
        <v>221</v>
      </c>
      <c r="B99" s="160" t="s">
        <v>219</v>
      </c>
      <c r="C99" s="160" t="s">
        <v>65</v>
      </c>
      <c r="D99" s="156" t="s">
        <v>38</v>
      </c>
      <c r="E99" s="160">
        <v>10000</v>
      </c>
      <c r="F99" s="157" t="s">
        <v>39</v>
      </c>
      <c r="G99" s="161">
        <v>0.0095</v>
      </c>
      <c r="H99" s="159" t="s">
        <v>40</v>
      </c>
      <c r="I99" s="69">
        <f t="shared" si="3"/>
        <v>95</v>
      </c>
      <c r="J99" s="65" t="s">
        <v>41</v>
      </c>
      <c r="K99" s="65"/>
      <c r="L99" s="65" t="s">
        <v>42</v>
      </c>
      <c r="M99" s="156" t="s">
        <v>43</v>
      </c>
      <c r="N99" s="65" t="s">
        <v>220</v>
      </c>
      <c r="O99" s="178">
        <v>3.5</v>
      </c>
    </row>
    <row r="100" s="105" customFormat="1" spans="1:15">
      <c r="A100" s="64" t="s">
        <v>222</v>
      </c>
      <c r="B100" s="160" t="s">
        <v>223</v>
      </c>
      <c r="C100" s="160" t="s">
        <v>92</v>
      </c>
      <c r="D100" s="156" t="s">
        <v>38</v>
      </c>
      <c r="E100" s="160">
        <v>4500</v>
      </c>
      <c r="F100" s="157" t="s">
        <v>39</v>
      </c>
      <c r="G100" s="161">
        <v>0.0252</v>
      </c>
      <c r="H100" s="159" t="s">
        <v>40</v>
      </c>
      <c r="I100" s="69">
        <f t="shared" si="3"/>
        <v>113.4</v>
      </c>
      <c r="J100" s="65" t="s">
        <v>41</v>
      </c>
      <c r="K100" s="65"/>
      <c r="L100" s="65" t="s">
        <v>42</v>
      </c>
      <c r="M100" s="156" t="s">
        <v>43</v>
      </c>
      <c r="N100" s="65" t="s">
        <v>224</v>
      </c>
      <c r="O100" s="178">
        <v>4.02</v>
      </c>
    </row>
    <row r="101" s="105" customFormat="1" spans="1:15">
      <c r="A101" s="64" t="s">
        <v>225</v>
      </c>
      <c r="B101" s="160" t="s">
        <v>223</v>
      </c>
      <c r="C101" s="160" t="s">
        <v>76</v>
      </c>
      <c r="D101" s="156" t="s">
        <v>38</v>
      </c>
      <c r="E101" s="160">
        <v>4500</v>
      </c>
      <c r="F101" s="157" t="s">
        <v>39</v>
      </c>
      <c r="G101" s="161">
        <v>0.0252</v>
      </c>
      <c r="H101" s="159" t="s">
        <v>40</v>
      </c>
      <c r="I101" s="69">
        <f t="shared" si="3"/>
        <v>113.4</v>
      </c>
      <c r="J101" s="65" t="s">
        <v>41</v>
      </c>
      <c r="K101" s="65"/>
      <c r="L101" s="65" t="s">
        <v>42</v>
      </c>
      <c r="M101" s="156" t="s">
        <v>43</v>
      </c>
      <c r="N101" s="65" t="s">
        <v>224</v>
      </c>
      <c r="O101" s="178">
        <v>4.02</v>
      </c>
    </row>
    <row r="102" s="105" customFormat="1" spans="1:15">
      <c r="A102" s="64" t="s">
        <v>226</v>
      </c>
      <c r="B102" s="160" t="s">
        <v>227</v>
      </c>
      <c r="C102" s="160" t="s">
        <v>228</v>
      </c>
      <c r="D102" s="156" t="s">
        <v>38</v>
      </c>
      <c r="E102" s="160">
        <v>2000</v>
      </c>
      <c r="F102" s="157" t="s">
        <v>39</v>
      </c>
      <c r="G102" s="161">
        <v>0.035</v>
      </c>
      <c r="H102" s="159" t="s">
        <v>40</v>
      </c>
      <c r="I102" s="69">
        <f t="shared" si="3"/>
        <v>70</v>
      </c>
      <c r="J102" s="65" t="s">
        <v>41</v>
      </c>
      <c r="K102" s="65"/>
      <c r="L102" s="65" t="s">
        <v>42</v>
      </c>
      <c r="M102" s="156" t="s">
        <v>43</v>
      </c>
      <c r="N102" s="65" t="s">
        <v>229</v>
      </c>
      <c r="O102" s="178">
        <v>0.97</v>
      </c>
    </row>
    <row r="103" s="105" customFormat="1" spans="1:15">
      <c r="A103" s="64" t="s">
        <v>230</v>
      </c>
      <c r="B103" s="160" t="s">
        <v>231</v>
      </c>
      <c r="C103" s="160" t="s">
        <v>37</v>
      </c>
      <c r="D103" s="156" t="s">
        <v>38</v>
      </c>
      <c r="E103" s="160">
        <v>6000</v>
      </c>
      <c r="F103" s="157" t="s">
        <v>39</v>
      </c>
      <c r="G103" s="161">
        <v>0.111</v>
      </c>
      <c r="H103" s="159" t="s">
        <v>40</v>
      </c>
      <c r="I103" s="69">
        <f t="shared" si="3"/>
        <v>666</v>
      </c>
      <c r="J103" s="65" t="s">
        <v>41</v>
      </c>
      <c r="K103" s="65"/>
      <c r="L103" s="65" t="s">
        <v>42</v>
      </c>
      <c r="M103" s="156" t="s">
        <v>43</v>
      </c>
      <c r="N103" s="65" t="s">
        <v>232</v>
      </c>
      <c r="O103" s="178">
        <v>8.86</v>
      </c>
    </row>
    <row r="104" s="105" customFormat="1" spans="1:15">
      <c r="A104" s="64" t="s">
        <v>233</v>
      </c>
      <c r="B104" s="160" t="s">
        <v>234</v>
      </c>
      <c r="C104" s="160" t="s">
        <v>235</v>
      </c>
      <c r="D104" s="156" t="s">
        <v>38</v>
      </c>
      <c r="E104" s="160">
        <v>4000</v>
      </c>
      <c r="F104" s="157" t="s">
        <v>39</v>
      </c>
      <c r="G104" s="161">
        <v>0.074</v>
      </c>
      <c r="H104" s="159" t="s">
        <v>40</v>
      </c>
      <c r="I104" s="69">
        <f t="shared" si="3"/>
        <v>296</v>
      </c>
      <c r="J104" s="65" t="s">
        <v>41</v>
      </c>
      <c r="K104" s="65"/>
      <c r="L104" s="65" t="s">
        <v>42</v>
      </c>
      <c r="M104" s="156" t="s">
        <v>43</v>
      </c>
      <c r="N104" s="65" t="s">
        <v>236</v>
      </c>
      <c r="O104" s="178">
        <v>8.16</v>
      </c>
    </row>
    <row r="105" s="105" customFormat="1" spans="1:15">
      <c r="A105" s="64" t="s">
        <v>237</v>
      </c>
      <c r="B105" s="160" t="s">
        <v>238</v>
      </c>
      <c r="C105" s="160" t="s">
        <v>76</v>
      </c>
      <c r="D105" s="156" t="s">
        <v>38</v>
      </c>
      <c r="E105" s="160">
        <v>9600</v>
      </c>
      <c r="F105" s="157" t="s">
        <v>39</v>
      </c>
      <c r="G105" s="161">
        <v>0.138</v>
      </c>
      <c r="H105" s="159" t="s">
        <v>40</v>
      </c>
      <c r="I105" s="69">
        <f t="shared" si="3"/>
        <v>1324.8</v>
      </c>
      <c r="J105" s="65" t="s">
        <v>41</v>
      </c>
      <c r="K105" s="65"/>
      <c r="L105" s="65" t="s">
        <v>42</v>
      </c>
      <c r="M105" s="156" t="s">
        <v>43</v>
      </c>
      <c r="N105" s="65" t="s">
        <v>239</v>
      </c>
      <c r="O105" s="178">
        <v>13.2</v>
      </c>
    </row>
    <row r="106" s="105" customFormat="1" spans="1:15">
      <c r="A106" s="64" t="s">
        <v>240</v>
      </c>
      <c r="B106" s="160" t="s">
        <v>238</v>
      </c>
      <c r="C106" s="160" t="s">
        <v>241</v>
      </c>
      <c r="D106" s="156" t="s">
        <v>38</v>
      </c>
      <c r="E106" s="160">
        <v>3200</v>
      </c>
      <c r="F106" s="157" t="s">
        <v>39</v>
      </c>
      <c r="G106" s="161">
        <v>0.138</v>
      </c>
      <c r="H106" s="159" t="s">
        <v>40</v>
      </c>
      <c r="I106" s="69">
        <f t="shared" si="3"/>
        <v>441.6</v>
      </c>
      <c r="J106" s="65" t="s">
        <v>41</v>
      </c>
      <c r="K106" s="65"/>
      <c r="L106" s="65" t="s">
        <v>42</v>
      </c>
      <c r="M106" s="156" t="s">
        <v>43</v>
      </c>
      <c r="N106" s="65" t="s">
        <v>239</v>
      </c>
      <c r="O106" s="178">
        <v>4.4</v>
      </c>
    </row>
    <row r="107" s="105" customFormat="1" spans="1:15">
      <c r="A107" s="64" t="s">
        <v>242</v>
      </c>
      <c r="B107" s="160" t="s">
        <v>243</v>
      </c>
      <c r="C107" s="160" t="s">
        <v>121</v>
      </c>
      <c r="D107" s="156" t="s">
        <v>38</v>
      </c>
      <c r="E107" s="160">
        <v>12800</v>
      </c>
      <c r="F107" s="157" t="s">
        <v>39</v>
      </c>
      <c r="G107" s="161">
        <v>0.073</v>
      </c>
      <c r="H107" s="159" t="s">
        <v>40</v>
      </c>
      <c r="I107" s="69">
        <f t="shared" si="3"/>
        <v>934.4</v>
      </c>
      <c r="J107" s="65" t="s">
        <v>41</v>
      </c>
      <c r="K107" s="65"/>
      <c r="L107" s="65" t="s">
        <v>42</v>
      </c>
      <c r="M107" s="156" t="s">
        <v>43</v>
      </c>
      <c r="N107" s="65" t="s">
        <v>244</v>
      </c>
      <c r="O107" s="178">
        <v>28.8</v>
      </c>
    </row>
    <row r="108" s="105" customFormat="1" spans="1:15">
      <c r="A108" s="64" t="s">
        <v>245</v>
      </c>
      <c r="B108" s="160" t="s">
        <v>243</v>
      </c>
      <c r="C108" s="160" t="s">
        <v>246</v>
      </c>
      <c r="D108" s="156" t="s">
        <v>38</v>
      </c>
      <c r="E108" s="160">
        <v>4800</v>
      </c>
      <c r="F108" s="157" t="s">
        <v>39</v>
      </c>
      <c r="G108" s="161">
        <v>0.073</v>
      </c>
      <c r="H108" s="159" t="s">
        <v>40</v>
      </c>
      <c r="I108" s="69">
        <f t="shared" si="3"/>
        <v>350.4</v>
      </c>
      <c r="J108" s="65" t="s">
        <v>41</v>
      </c>
      <c r="K108" s="65"/>
      <c r="L108" s="65" t="s">
        <v>42</v>
      </c>
      <c r="M108" s="156" t="s">
        <v>43</v>
      </c>
      <c r="N108" s="65" t="s">
        <v>244</v>
      </c>
      <c r="O108" s="178">
        <v>10.8</v>
      </c>
    </row>
    <row r="109" s="105" customFormat="1" spans="1:15">
      <c r="A109" s="64" t="s">
        <v>247</v>
      </c>
      <c r="B109" s="160" t="s">
        <v>248</v>
      </c>
      <c r="C109" s="160" t="s">
        <v>71</v>
      </c>
      <c r="D109" s="156" t="s">
        <v>38</v>
      </c>
      <c r="E109" s="160">
        <v>12632</v>
      </c>
      <c r="F109" s="157" t="s">
        <v>39</v>
      </c>
      <c r="G109" s="161">
        <v>0.108</v>
      </c>
      <c r="H109" s="159" t="s">
        <v>40</v>
      </c>
      <c r="I109" s="69">
        <f t="shared" si="3"/>
        <v>1364.26</v>
      </c>
      <c r="J109" s="65" t="s">
        <v>41</v>
      </c>
      <c r="K109" s="65"/>
      <c r="L109" s="65" t="s">
        <v>42</v>
      </c>
      <c r="M109" s="156" t="s">
        <v>43</v>
      </c>
      <c r="N109" s="65" t="s">
        <v>249</v>
      </c>
      <c r="O109" s="178">
        <v>26.91</v>
      </c>
    </row>
    <row r="110" s="105" customFormat="1" spans="1:15">
      <c r="A110" s="64" t="s">
        <v>250</v>
      </c>
      <c r="B110" s="160" t="s">
        <v>248</v>
      </c>
      <c r="C110" s="160" t="s">
        <v>74</v>
      </c>
      <c r="D110" s="156" t="s">
        <v>38</v>
      </c>
      <c r="E110" s="160">
        <v>4000</v>
      </c>
      <c r="F110" s="157" t="s">
        <v>39</v>
      </c>
      <c r="G110" s="161">
        <v>0.108</v>
      </c>
      <c r="H110" s="159" t="s">
        <v>40</v>
      </c>
      <c r="I110" s="69">
        <f t="shared" si="3"/>
        <v>432</v>
      </c>
      <c r="J110" s="65" t="s">
        <v>41</v>
      </c>
      <c r="K110" s="65"/>
      <c r="L110" s="65" t="s">
        <v>42</v>
      </c>
      <c r="M110" s="156" t="s">
        <v>43</v>
      </c>
      <c r="N110" s="65" t="s">
        <v>249</v>
      </c>
      <c r="O110" s="178">
        <v>8.52</v>
      </c>
    </row>
    <row r="111" s="105" customFormat="1" spans="1:15">
      <c r="A111" s="64" t="s">
        <v>251</v>
      </c>
      <c r="B111" s="160" t="s">
        <v>248</v>
      </c>
      <c r="C111" s="160" t="s">
        <v>252</v>
      </c>
      <c r="D111" s="156" t="s">
        <v>38</v>
      </c>
      <c r="E111" s="160">
        <v>6000</v>
      </c>
      <c r="F111" s="157" t="s">
        <v>39</v>
      </c>
      <c r="G111" s="161">
        <v>0.108</v>
      </c>
      <c r="H111" s="159" t="s">
        <v>40</v>
      </c>
      <c r="I111" s="69">
        <f t="shared" si="3"/>
        <v>648</v>
      </c>
      <c r="J111" s="65" t="s">
        <v>41</v>
      </c>
      <c r="K111" s="65"/>
      <c r="L111" s="65" t="s">
        <v>42</v>
      </c>
      <c r="M111" s="156" t="s">
        <v>43</v>
      </c>
      <c r="N111" s="65" t="s">
        <v>249</v>
      </c>
      <c r="O111" s="178">
        <v>12.78</v>
      </c>
    </row>
    <row r="112" s="105" customFormat="1" spans="1:15">
      <c r="A112" s="64" t="s">
        <v>253</v>
      </c>
      <c r="B112" s="160" t="s">
        <v>248</v>
      </c>
      <c r="C112" s="160" t="s">
        <v>76</v>
      </c>
      <c r="D112" s="156" t="s">
        <v>38</v>
      </c>
      <c r="E112" s="160">
        <v>16000</v>
      </c>
      <c r="F112" s="157" t="s">
        <v>39</v>
      </c>
      <c r="G112" s="161">
        <v>0.108</v>
      </c>
      <c r="H112" s="159" t="s">
        <v>40</v>
      </c>
      <c r="I112" s="69">
        <f t="shared" si="3"/>
        <v>1728</v>
      </c>
      <c r="J112" s="65" t="s">
        <v>41</v>
      </c>
      <c r="K112" s="65"/>
      <c r="L112" s="65" t="s">
        <v>42</v>
      </c>
      <c r="M112" s="156" t="s">
        <v>43</v>
      </c>
      <c r="N112" s="65" t="s">
        <v>249</v>
      </c>
      <c r="O112" s="178">
        <v>34.08</v>
      </c>
    </row>
    <row r="113" s="105" customFormat="1" spans="1:15">
      <c r="A113" s="64" t="s">
        <v>254</v>
      </c>
      <c r="B113" s="160" t="s">
        <v>248</v>
      </c>
      <c r="C113" s="160" t="s">
        <v>255</v>
      </c>
      <c r="D113" s="156" t="s">
        <v>38</v>
      </c>
      <c r="E113" s="160">
        <v>2000</v>
      </c>
      <c r="F113" s="157" t="s">
        <v>39</v>
      </c>
      <c r="G113" s="161">
        <v>0.108</v>
      </c>
      <c r="H113" s="159" t="s">
        <v>40</v>
      </c>
      <c r="I113" s="69">
        <f t="shared" si="3"/>
        <v>216</v>
      </c>
      <c r="J113" s="65" t="s">
        <v>41</v>
      </c>
      <c r="K113" s="65"/>
      <c r="L113" s="65" t="s">
        <v>42</v>
      </c>
      <c r="M113" s="156" t="s">
        <v>43</v>
      </c>
      <c r="N113" s="65" t="s">
        <v>249</v>
      </c>
      <c r="O113" s="178">
        <v>4.26</v>
      </c>
    </row>
    <row r="114" s="105" customFormat="1" spans="1:15">
      <c r="A114" s="64" t="s">
        <v>256</v>
      </c>
      <c r="B114" s="160" t="s">
        <v>248</v>
      </c>
      <c r="C114" s="160" t="s">
        <v>49</v>
      </c>
      <c r="D114" s="156" t="s">
        <v>38</v>
      </c>
      <c r="E114" s="160">
        <v>1368</v>
      </c>
      <c r="F114" s="157" t="s">
        <v>39</v>
      </c>
      <c r="G114" s="161">
        <v>0.108</v>
      </c>
      <c r="H114" s="159" t="s">
        <v>40</v>
      </c>
      <c r="I114" s="69">
        <f t="shared" si="3"/>
        <v>147.74</v>
      </c>
      <c r="J114" s="65" t="s">
        <v>41</v>
      </c>
      <c r="K114" s="65"/>
      <c r="L114" s="65" t="s">
        <v>42</v>
      </c>
      <c r="M114" s="156" t="s">
        <v>43</v>
      </c>
      <c r="N114" s="65" t="s">
        <v>249</v>
      </c>
      <c r="O114" s="178">
        <v>2.91</v>
      </c>
    </row>
    <row r="115" s="105" customFormat="1" spans="1:15">
      <c r="A115" s="64" t="s">
        <v>257</v>
      </c>
      <c r="B115" s="160" t="s">
        <v>258</v>
      </c>
      <c r="C115" s="160" t="s">
        <v>68</v>
      </c>
      <c r="D115" s="156" t="s">
        <v>38</v>
      </c>
      <c r="E115" s="160">
        <v>12438</v>
      </c>
      <c r="F115" s="157" t="s">
        <v>39</v>
      </c>
      <c r="G115" s="161">
        <v>0.153</v>
      </c>
      <c r="H115" s="159" t="s">
        <v>40</v>
      </c>
      <c r="I115" s="69">
        <f t="shared" si="3"/>
        <v>1903.01</v>
      </c>
      <c r="J115" s="65" t="s">
        <v>41</v>
      </c>
      <c r="K115" s="65"/>
      <c r="L115" s="65" t="s">
        <v>42</v>
      </c>
      <c r="M115" s="156" t="s">
        <v>43</v>
      </c>
      <c r="N115" s="65" t="s">
        <v>259</v>
      </c>
      <c r="O115" s="178">
        <v>103.65</v>
      </c>
    </row>
    <row r="116" s="105" customFormat="1" spans="1:15">
      <c r="A116" s="64" t="s">
        <v>260</v>
      </c>
      <c r="B116" s="160" t="s">
        <v>258</v>
      </c>
      <c r="C116" s="160" t="s">
        <v>55</v>
      </c>
      <c r="D116" s="156" t="s">
        <v>38</v>
      </c>
      <c r="E116" s="160">
        <v>5562</v>
      </c>
      <c r="F116" s="157" t="s">
        <v>39</v>
      </c>
      <c r="G116" s="161">
        <v>0.153</v>
      </c>
      <c r="H116" s="159" t="s">
        <v>40</v>
      </c>
      <c r="I116" s="69">
        <f t="shared" si="3"/>
        <v>850.99</v>
      </c>
      <c r="J116" s="65" t="s">
        <v>41</v>
      </c>
      <c r="K116" s="65"/>
      <c r="L116" s="65" t="s">
        <v>42</v>
      </c>
      <c r="M116" s="156" t="s">
        <v>43</v>
      </c>
      <c r="N116" s="65" t="s">
        <v>259</v>
      </c>
      <c r="O116" s="178">
        <v>46.35</v>
      </c>
    </row>
    <row r="117" s="105" customFormat="1" spans="1:15">
      <c r="A117" s="64" t="s">
        <v>261</v>
      </c>
      <c r="B117" s="160" t="s">
        <v>262</v>
      </c>
      <c r="C117" s="160" t="s">
        <v>263</v>
      </c>
      <c r="D117" s="156" t="s">
        <v>38</v>
      </c>
      <c r="E117" s="160">
        <v>80000</v>
      </c>
      <c r="F117" s="157" t="s">
        <v>39</v>
      </c>
      <c r="G117" s="161">
        <v>0.069</v>
      </c>
      <c r="H117" s="159" t="s">
        <v>40</v>
      </c>
      <c r="I117" s="69">
        <f t="shared" si="3"/>
        <v>5520</v>
      </c>
      <c r="J117" s="65" t="s">
        <v>41</v>
      </c>
      <c r="K117" s="65"/>
      <c r="L117" s="65" t="s">
        <v>42</v>
      </c>
      <c r="M117" s="156" t="s">
        <v>43</v>
      </c>
      <c r="N117" s="65" t="s">
        <v>264</v>
      </c>
      <c r="O117" s="178">
        <v>100</v>
      </c>
    </row>
    <row r="118" s="105" customFormat="1" spans="1:15">
      <c r="A118" s="64" t="s">
        <v>265</v>
      </c>
      <c r="B118" s="160" t="s">
        <v>266</v>
      </c>
      <c r="C118" s="160" t="s">
        <v>263</v>
      </c>
      <c r="D118" s="156" t="s">
        <v>38</v>
      </c>
      <c r="E118" s="160">
        <v>68000</v>
      </c>
      <c r="F118" s="157" t="s">
        <v>39</v>
      </c>
      <c r="G118" s="161">
        <v>0.188</v>
      </c>
      <c r="H118" s="159" t="s">
        <v>40</v>
      </c>
      <c r="I118" s="69">
        <f t="shared" si="3"/>
        <v>12784</v>
      </c>
      <c r="J118" s="65" t="s">
        <v>41</v>
      </c>
      <c r="K118" s="65"/>
      <c r="L118" s="65" t="s">
        <v>42</v>
      </c>
      <c r="M118" s="156" t="s">
        <v>43</v>
      </c>
      <c r="N118" s="65" t="s">
        <v>267</v>
      </c>
      <c r="O118" s="178">
        <v>437.59</v>
      </c>
    </row>
    <row r="119" s="105" customFormat="1" spans="1:15">
      <c r="A119" s="64"/>
      <c r="B119" s="179"/>
      <c r="C119" s="179"/>
      <c r="D119" s="156"/>
      <c r="E119" s="179"/>
      <c r="F119" s="157"/>
      <c r="G119" s="180"/>
      <c r="H119" s="159"/>
      <c r="I119" s="69"/>
      <c r="J119" s="65"/>
      <c r="K119" s="65"/>
      <c r="L119" s="65"/>
      <c r="M119" s="156"/>
      <c r="N119" s="179"/>
      <c r="O119" s="187"/>
    </row>
    <row r="120" ht="27" customHeight="1" spans="1:15">
      <c r="A120" s="181"/>
      <c r="B120" s="182"/>
      <c r="C120" s="183" t="s">
        <v>268</v>
      </c>
      <c r="D120" s="183"/>
      <c r="E120" s="184">
        <f>SUM(E20:E119)</f>
        <v>1279300</v>
      </c>
      <c r="F120" s="185"/>
      <c r="G120" s="186"/>
      <c r="H120" s="186"/>
      <c r="I120" s="188">
        <f>SUM(I20:I119)</f>
        <v>50473.05</v>
      </c>
      <c r="J120" s="189"/>
      <c r="K120" s="189"/>
      <c r="L120" s="189"/>
      <c r="M120" s="189"/>
      <c r="N120" s="189"/>
      <c r="O120" s="190">
        <f>SUM(O20:O119)</f>
        <v>1467.41</v>
      </c>
    </row>
    <row r="122" spans="7:10">
      <c r="G122" s="95" t="s">
        <v>269</v>
      </c>
      <c r="H122" s="96" t="s">
        <v>270</v>
      </c>
      <c r="I122"/>
      <c r="J122"/>
    </row>
    <row r="123" spans="7:10">
      <c r="G123" s="95" t="s">
        <v>271</v>
      </c>
      <c r="H123" s="95">
        <v>2358</v>
      </c>
      <c r="I123"/>
      <c r="J123"/>
    </row>
    <row r="124" spans="7:10">
      <c r="G124" s="95" t="s">
        <v>272</v>
      </c>
      <c r="H124" s="97" t="s">
        <v>273</v>
      </c>
      <c r="I124"/>
      <c r="J124"/>
    </row>
    <row r="125" spans="7:10">
      <c r="G125" s="95" t="s">
        <v>274</v>
      </c>
      <c r="H125" s="98" t="s">
        <v>275</v>
      </c>
      <c r="I125"/>
      <c r="J125"/>
    </row>
  </sheetData>
  <mergeCells count="8">
    <mergeCell ref="A1:O1"/>
    <mergeCell ref="E9:I9"/>
    <mergeCell ref="A15:B15"/>
    <mergeCell ref="C15:D15"/>
    <mergeCell ref="C18:D18"/>
    <mergeCell ref="C120:D120"/>
    <mergeCell ref="A4:D5"/>
    <mergeCell ref="A9:D10"/>
  </mergeCells>
  <pageMargins left="0.75" right="0.75" top="1" bottom="1" header="0.5" footer="0.5"/>
  <pageSetup paperSize="9" scale="52" fitToHeight="0" orientation="portrait"/>
  <headerFooter/>
  <rowBreaks count="3" manualBreakCount="3">
    <brk id="62" max="14" man="1"/>
    <brk id="107" max="14" man="1"/>
    <brk id="12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view="pageBreakPreview" zoomScaleNormal="100" zoomScaleSheetLayoutView="100" topLeftCell="A44" workbookViewId="0">
      <selection activeCell="I73" sqref="I73"/>
    </sheetView>
  </sheetViews>
  <sheetFormatPr defaultColWidth="9" defaultRowHeight="13.5"/>
  <cols>
    <col min="1" max="1" width="12.725" customWidth="1"/>
    <col min="2" max="2" width="11.3666666666667" customWidth="1"/>
    <col min="3" max="3" width="12.6333333333333" customWidth="1"/>
    <col min="6" max="6" width="11.8166666666667" customWidth="1"/>
    <col min="7" max="7" width="8.725" customWidth="1"/>
    <col min="10" max="10" width="12.3666666666667" customWidth="1"/>
  </cols>
  <sheetData>
    <row r="1" spans="1:10">
      <c r="A1" s="2" t="s">
        <v>276</v>
      </c>
      <c r="B1" s="3"/>
      <c r="C1" s="3"/>
      <c r="D1" s="3"/>
      <c r="E1" s="3"/>
      <c r="F1" s="3"/>
      <c r="G1" s="3"/>
      <c r="H1" s="3"/>
      <c r="I1" s="3"/>
      <c r="J1" s="70"/>
    </row>
    <row r="2" spans="1:10">
      <c r="A2" s="4"/>
      <c r="B2" s="5"/>
      <c r="C2" s="5"/>
      <c r="D2" s="5"/>
      <c r="E2" s="5"/>
      <c r="F2" s="5"/>
      <c r="G2" s="5"/>
      <c r="H2" s="5"/>
      <c r="I2" s="5"/>
      <c r="J2" s="71"/>
    </row>
    <row r="3" spans="1:10">
      <c r="A3" s="6" t="s">
        <v>1</v>
      </c>
      <c r="B3" s="7"/>
      <c r="C3" s="8"/>
      <c r="D3" s="8"/>
      <c r="E3" s="9"/>
      <c r="F3" s="7" t="s">
        <v>277</v>
      </c>
      <c r="G3" s="8"/>
      <c r="H3" s="8"/>
      <c r="I3" s="8"/>
      <c r="J3" s="72"/>
    </row>
    <row r="4" spans="1:10">
      <c r="A4" s="10" t="s">
        <v>278</v>
      </c>
      <c r="B4" s="11"/>
      <c r="C4" s="12"/>
      <c r="D4" s="12"/>
      <c r="E4" s="13"/>
      <c r="F4" s="14">
        <f>INVOICE!E3</f>
        <v>45884</v>
      </c>
      <c r="G4" s="12"/>
      <c r="H4" s="12"/>
      <c r="I4" s="12"/>
      <c r="J4" s="73"/>
    </row>
    <row r="5" spans="1:10">
      <c r="A5" s="15"/>
      <c r="B5" s="16"/>
      <c r="C5" s="16"/>
      <c r="D5" s="16"/>
      <c r="E5" s="17"/>
      <c r="F5" s="14" t="str">
        <f>INVOICE!E4</f>
        <v>CK2025081501</v>
      </c>
      <c r="G5" s="12"/>
      <c r="H5" s="12"/>
      <c r="I5" s="12"/>
      <c r="J5" s="73"/>
    </row>
    <row r="6" spans="1:10">
      <c r="A6" s="15"/>
      <c r="B6" s="16"/>
      <c r="C6" s="16"/>
      <c r="D6" s="16"/>
      <c r="E6" s="17"/>
      <c r="F6" s="18"/>
      <c r="G6" s="12"/>
      <c r="H6" s="12"/>
      <c r="I6" s="12"/>
      <c r="J6" s="73"/>
    </row>
    <row r="7" spans="1:10">
      <c r="A7" s="19"/>
      <c r="B7" s="20"/>
      <c r="C7" s="21"/>
      <c r="D7" s="21"/>
      <c r="E7" s="22"/>
      <c r="F7" s="23"/>
      <c r="G7" s="24"/>
      <c r="H7" s="24"/>
      <c r="I7" s="24"/>
      <c r="J7" s="40"/>
    </row>
    <row r="8" spans="1:10">
      <c r="A8" s="25" t="s">
        <v>5</v>
      </c>
      <c r="B8" s="7"/>
      <c r="C8" s="26"/>
      <c r="D8" s="26"/>
      <c r="E8" s="27"/>
      <c r="F8" s="28" t="s">
        <v>279</v>
      </c>
      <c r="G8" s="29"/>
      <c r="H8" s="29"/>
      <c r="I8" s="29"/>
      <c r="J8" s="73"/>
    </row>
    <row r="9" spans="1:10">
      <c r="A9" s="30" t="s">
        <v>280</v>
      </c>
      <c r="B9" s="11"/>
      <c r="C9" s="31"/>
      <c r="D9" s="31"/>
      <c r="E9" s="32"/>
      <c r="F9" s="33"/>
      <c r="G9" s="34"/>
      <c r="H9" s="34"/>
      <c r="I9" s="34"/>
      <c r="J9" s="73"/>
    </row>
    <row r="10" spans="1:10">
      <c r="A10" s="35"/>
      <c r="B10" s="36"/>
      <c r="C10" s="36"/>
      <c r="D10" s="36"/>
      <c r="E10" s="37"/>
      <c r="F10" s="33"/>
      <c r="G10" s="29"/>
      <c r="H10" s="12"/>
      <c r="I10" s="34"/>
      <c r="J10" s="73"/>
    </row>
    <row r="11" spans="1:10">
      <c r="A11" s="35"/>
      <c r="B11" s="36"/>
      <c r="C11" s="36"/>
      <c r="D11" s="36"/>
      <c r="E11" s="37"/>
      <c r="F11" s="33"/>
      <c r="G11" s="29"/>
      <c r="H11" s="12"/>
      <c r="I11" s="34"/>
      <c r="J11" s="73"/>
    </row>
    <row r="12" spans="1:10">
      <c r="A12" s="38"/>
      <c r="B12" s="39"/>
      <c r="C12" s="24"/>
      <c r="D12" s="24"/>
      <c r="E12" s="40"/>
      <c r="F12" s="12"/>
      <c r="G12" s="41"/>
      <c r="H12" s="41"/>
      <c r="I12" s="29"/>
      <c r="J12" s="73"/>
    </row>
    <row r="13" ht="16.5" spans="1:10">
      <c r="A13" s="25" t="s">
        <v>9</v>
      </c>
      <c r="B13" s="33"/>
      <c r="C13" s="29"/>
      <c r="D13" s="29"/>
      <c r="E13" s="13"/>
      <c r="F13" s="42"/>
      <c r="G13" s="43"/>
      <c r="H13" s="12"/>
      <c r="I13" s="29"/>
      <c r="J13" s="73"/>
    </row>
    <row r="14" ht="16.5" spans="1:10">
      <c r="A14" s="30" t="s">
        <v>280</v>
      </c>
      <c r="B14" s="44"/>
      <c r="C14" s="44"/>
      <c r="D14" s="44"/>
      <c r="E14" s="13"/>
      <c r="F14" s="42"/>
      <c r="G14" s="43"/>
      <c r="H14" s="12"/>
      <c r="I14" s="29"/>
      <c r="J14" s="73"/>
    </row>
    <row r="15" spans="1:10">
      <c r="A15" s="45"/>
      <c r="B15" s="44"/>
      <c r="C15" s="12"/>
      <c r="D15" s="12"/>
      <c r="E15" s="46"/>
      <c r="F15" s="29"/>
      <c r="G15" s="29"/>
      <c r="H15" s="29"/>
      <c r="I15" s="29"/>
      <c r="J15" s="73"/>
    </row>
    <row r="16" spans="1:10">
      <c r="A16" s="23"/>
      <c r="B16" s="24"/>
      <c r="C16" s="24"/>
      <c r="D16" s="24"/>
      <c r="E16" s="40"/>
      <c r="F16" s="47"/>
      <c r="G16" s="47"/>
      <c r="H16" s="48"/>
      <c r="I16" s="74"/>
      <c r="J16" s="73"/>
    </row>
    <row r="17" spans="1:10">
      <c r="A17" s="49" t="s">
        <v>281</v>
      </c>
      <c r="B17" s="28"/>
      <c r="C17" s="9"/>
      <c r="D17" s="28" t="s">
        <v>282</v>
      </c>
      <c r="E17" s="50"/>
      <c r="F17" s="47"/>
      <c r="G17" s="47"/>
      <c r="H17" s="51"/>
      <c r="I17" s="29"/>
      <c r="J17" s="73"/>
    </row>
    <row r="18" spans="1:10">
      <c r="A18" s="52"/>
      <c r="B18" s="53"/>
      <c r="C18" s="54"/>
      <c r="D18" s="52"/>
      <c r="E18" s="54"/>
      <c r="F18" s="47"/>
      <c r="G18" s="47"/>
      <c r="H18" s="51"/>
      <c r="I18" s="29"/>
      <c r="J18" s="73"/>
    </row>
    <row r="19" spans="1:10">
      <c r="A19" s="49" t="s">
        <v>16</v>
      </c>
      <c r="B19" s="55"/>
      <c r="C19" s="56"/>
      <c r="D19" s="28" t="s">
        <v>17</v>
      </c>
      <c r="E19" s="57"/>
      <c r="F19" s="12"/>
      <c r="G19" s="29"/>
      <c r="H19" s="29"/>
      <c r="I19" s="29"/>
      <c r="J19" s="73"/>
    </row>
    <row r="20" spans="1:10">
      <c r="A20" s="52"/>
      <c r="B20" s="53"/>
      <c r="C20" s="54"/>
      <c r="D20" s="58"/>
      <c r="E20" s="59"/>
      <c r="F20" s="24"/>
      <c r="G20" s="24"/>
      <c r="H20" s="24"/>
      <c r="I20" s="24"/>
      <c r="J20" s="73"/>
    </row>
    <row r="21" spans="1:10">
      <c r="A21" s="60" t="s">
        <v>283</v>
      </c>
      <c r="B21" s="61" t="s">
        <v>22</v>
      </c>
      <c r="C21" s="61" t="s">
        <v>21</v>
      </c>
      <c r="D21" s="61" t="s">
        <v>23</v>
      </c>
      <c r="E21" s="61"/>
      <c r="F21" s="62" t="s">
        <v>24</v>
      </c>
      <c r="G21" s="62" t="s">
        <v>25</v>
      </c>
      <c r="H21" s="63" t="s">
        <v>284</v>
      </c>
      <c r="I21" s="63" t="s">
        <v>285</v>
      </c>
      <c r="J21" s="75" t="s">
        <v>286</v>
      </c>
    </row>
    <row r="22" spans="1:10">
      <c r="A22" s="60"/>
      <c r="B22" s="61"/>
      <c r="C22" s="61"/>
      <c r="D22" s="61"/>
      <c r="E22" s="61"/>
      <c r="F22" s="62"/>
      <c r="G22" s="62"/>
      <c r="H22" s="63" t="s">
        <v>287</v>
      </c>
      <c r="I22" s="63" t="s">
        <v>287</v>
      </c>
      <c r="J22" s="76"/>
    </row>
    <row r="23" s="1" customFormat="1" spans="1:10">
      <c r="A23" s="64" t="s">
        <v>288</v>
      </c>
      <c r="B23" s="65"/>
      <c r="C23" s="65" t="s">
        <v>178</v>
      </c>
      <c r="D23" s="66" t="s">
        <v>289</v>
      </c>
      <c r="E23" s="66"/>
      <c r="F23" s="67">
        <v>4000</v>
      </c>
      <c r="G23" s="68" t="s">
        <v>39</v>
      </c>
      <c r="H23" s="69">
        <v>2</v>
      </c>
      <c r="I23" s="69">
        <v>2.7</v>
      </c>
      <c r="J23" s="77" t="s">
        <v>290</v>
      </c>
    </row>
    <row r="24" s="1" customFormat="1" spans="1:10">
      <c r="A24" s="64" t="s">
        <v>291</v>
      </c>
      <c r="B24" s="65"/>
      <c r="C24" s="65" t="s">
        <v>48</v>
      </c>
      <c r="D24" s="66" t="s">
        <v>289</v>
      </c>
      <c r="E24" s="66"/>
      <c r="F24" s="67">
        <v>3000</v>
      </c>
      <c r="G24" s="68" t="s">
        <v>39</v>
      </c>
      <c r="H24" s="69">
        <v>23.76</v>
      </c>
      <c r="I24" s="69">
        <v>28.51</v>
      </c>
      <c r="J24" s="77" t="s">
        <v>290</v>
      </c>
    </row>
    <row r="25" s="1" customFormat="1" spans="1:10">
      <c r="A25" s="64" t="s">
        <v>292</v>
      </c>
      <c r="B25" s="65"/>
      <c r="C25" s="65" t="s">
        <v>54</v>
      </c>
      <c r="D25" s="66" t="s">
        <v>289</v>
      </c>
      <c r="E25" s="66"/>
      <c r="F25" s="67">
        <v>66000</v>
      </c>
      <c r="G25" s="68" t="s">
        <v>39</v>
      </c>
      <c r="H25" s="69">
        <v>14.96</v>
      </c>
      <c r="I25" s="69">
        <v>17.95</v>
      </c>
      <c r="J25" s="77" t="s">
        <v>290</v>
      </c>
    </row>
    <row r="26" s="1" customFormat="1" spans="1:10">
      <c r="A26" s="64" t="s">
        <v>293</v>
      </c>
      <c r="B26" s="65"/>
      <c r="C26" s="65" t="s">
        <v>108</v>
      </c>
      <c r="D26" s="66" t="s">
        <v>289</v>
      </c>
      <c r="E26" s="66"/>
      <c r="F26" s="67">
        <v>4000</v>
      </c>
      <c r="G26" s="68" t="s">
        <v>39</v>
      </c>
      <c r="H26" s="69">
        <v>1.4</v>
      </c>
      <c r="I26" s="69">
        <v>1.98</v>
      </c>
      <c r="J26" s="77" t="s">
        <v>290</v>
      </c>
    </row>
    <row r="27" s="1" customFormat="1" spans="1:10">
      <c r="A27" s="64" t="s">
        <v>294</v>
      </c>
      <c r="B27" s="65"/>
      <c r="C27" s="65" t="s">
        <v>131</v>
      </c>
      <c r="D27" s="66" t="s">
        <v>289</v>
      </c>
      <c r="E27" s="66"/>
      <c r="F27" s="67">
        <v>54000</v>
      </c>
      <c r="G27" s="68" t="s">
        <v>39</v>
      </c>
      <c r="H27" s="69">
        <v>18.9</v>
      </c>
      <c r="I27" s="69">
        <v>22.68</v>
      </c>
      <c r="J27" s="77" t="s">
        <v>290</v>
      </c>
    </row>
    <row r="28" s="1" customFormat="1" spans="1:10">
      <c r="A28" s="64" t="s">
        <v>295</v>
      </c>
      <c r="B28" s="65"/>
      <c r="C28" s="65" t="s">
        <v>166</v>
      </c>
      <c r="D28" s="66" t="s">
        <v>289</v>
      </c>
      <c r="E28" s="66"/>
      <c r="F28" s="67">
        <v>26000</v>
      </c>
      <c r="G28" s="68" t="s">
        <v>39</v>
      </c>
      <c r="H28" s="69">
        <v>9.1</v>
      </c>
      <c r="I28" s="69">
        <v>11.42</v>
      </c>
      <c r="J28" s="77" t="s">
        <v>290</v>
      </c>
    </row>
    <row r="29" s="1" customFormat="1" spans="1:10">
      <c r="A29" s="64" t="s">
        <v>296</v>
      </c>
      <c r="B29" s="65"/>
      <c r="C29" s="65" t="s">
        <v>127</v>
      </c>
      <c r="D29" s="66" t="s">
        <v>289</v>
      </c>
      <c r="E29" s="66"/>
      <c r="F29" s="67">
        <v>18000</v>
      </c>
      <c r="G29" s="68" t="s">
        <v>39</v>
      </c>
      <c r="H29" s="69">
        <v>6.84</v>
      </c>
      <c r="I29" s="69">
        <v>8.21</v>
      </c>
      <c r="J29" s="77" t="s">
        <v>290</v>
      </c>
    </row>
    <row r="30" s="1" customFormat="1" spans="1:10">
      <c r="A30" s="64" t="s">
        <v>297</v>
      </c>
      <c r="B30" s="65"/>
      <c r="C30" s="65" t="s">
        <v>105</v>
      </c>
      <c r="D30" s="66" t="s">
        <v>289</v>
      </c>
      <c r="E30" s="66"/>
      <c r="F30" s="67">
        <v>18000</v>
      </c>
      <c r="G30" s="68" t="s">
        <v>39</v>
      </c>
      <c r="H30" s="69">
        <v>14.16</v>
      </c>
      <c r="I30" s="69">
        <v>16.99</v>
      </c>
      <c r="J30" s="77" t="s">
        <v>290</v>
      </c>
    </row>
    <row r="31" s="1" customFormat="1" spans="1:10">
      <c r="A31" s="64" t="s">
        <v>298</v>
      </c>
      <c r="B31" s="65"/>
      <c r="C31" s="65" t="s">
        <v>64</v>
      </c>
      <c r="D31" s="66" t="s">
        <v>289</v>
      </c>
      <c r="E31" s="66"/>
      <c r="F31" s="67">
        <v>63000</v>
      </c>
      <c r="G31" s="68" t="s">
        <v>39</v>
      </c>
      <c r="H31" s="69">
        <v>49.56</v>
      </c>
      <c r="I31" s="69">
        <v>59.47</v>
      </c>
      <c r="J31" s="77" t="s">
        <v>290</v>
      </c>
    </row>
    <row r="32" s="1" customFormat="1" spans="1:10">
      <c r="A32" s="64" t="s">
        <v>299</v>
      </c>
      <c r="B32" s="65"/>
      <c r="C32" s="65" t="s">
        <v>123</v>
      </c>
      <c r="D32" s="66" t="s">
        <v>289</v>
      </c>
      <c r="E32" s="66"/>
      <c r="F32" s="67">
        <v>4500</v>
      </c>
      <c r="G32" s="68" t="s">
        <v>39</v>
      </c>
      <c r="H32" s="69">
        <v>3.54</v>
      </c>
      <c r="I32" s="69">
        <v>4.25</v>
      </c>
      <c r="J32" s="77" t="s">
        <v>290</v>
      </c>
    </row>
    <row r="33" s="1" customFormat="1" spans="1:10">
      <c r="A33" s="64" t="s">
        <v>300</v>
      </c>
      <c r="B33" s="65"/>
      <c r="C33" s="65" t="s">
        <v>147</v>
      </c>
      <c r="D33" s="66" t="s">
        <v>289</v>
      </c>
      <c r="E33" s="66"/>
      <c r="F33" s="67">
        <v>1500</v>
      </c>
      <c r="G33" s="68" t="s">
        <v>39</v>
      </c>
      <c r="H33" s="69">
        <v>1.18</v>
      </c>
      <c r="I33" s="69">
        <v>1.92</v>
      </c>
      <c r="J33" s="77" t="s">
        <v>290</v>
      </c>
    </row>
    <row r="34" s="1" customFormat="1" spans="1:10">
      <c r="A34" s="64" t="s">
        <v>301</v>
      </c>
      <c r="B34" s="65"/>
      <c r="C34" s="65" t="s">
        <v>169</v>
      </c>
      <c r="D34" s="66" t="s">
        <v>289</v>
      </c>
      <c r="E34" s="66"/>
      <c r="F34" s="67">
        <v>40500</v>
      </c>
      <c r="G34" s="68" t="s">
        <v>39</v>
      </c>
      <c r="H34" s="69">
        <v>31.86</v>
      </c>
      <c r="I34" s="69">
        <v>38.23</v>
      </c>
      <c r="J34" s="77" t="s">
        <v>290</v>
      </c>
    </row>
    <row r="35" s="1" customFormat="1" spans="1:10">
      <c r="A35" s="64" t="s">
        <v>302</v>
      </c>
      <c r="B35" s="65"/>
      <c r="C35" s="65" t="s">
        <v>194</v>
      </c>
      <c r="D35" s="66" t="s">
        <v>289</v>
      </c>
      <c r="E35" s="66"/>
      <c r="F35" s="67">
        <v>84000</v>
      </c>
      <c r="G35" s="68" t="s">
        <v>39</v>
      </c>
      <c r="H35" s="69">
        <v>66.08</v>
      </c>
      <c r="I35" s="69">
        <v>79.8</v>
      </c>
      <c r="J35" s="77" t="s">
        <v>290</v>
      </c>
    </row>
    <row r="36" s="1" customFormat="1" spans="1:10">
      <c r="A36" s="64" t="s">
        <v>303</v>
      </c>
      <c r="B36" s="65"/>
      <c r="C36" s="65" t="s">
        <v>60</v>
      </c>
      <c r="D36" s="66" t="s">
        <v>289</v>
      </c>
      <c r="E36" s="66"/>
      <c r="F36" s="67">
        <v>15000</v>
      </c>
      <c r="G36" s="68" t="s">
        <v>39</v>
      </c>
      <c r="H36" s="69">
        <v>2.1</v>
      </c>
      <c r="I36" s="69">
        <v>2.52</v>
      </c>
      <c r="J36" s="77" t="s">
        <v>290</v>
      </c>
    </row>
    <row r="37" s="1" customFormat="1" spans="1:10">
      <c r="A37" s="64" t="s">
        <v>304</v>
      </c>
      <c r="B37" s="65"/>
      <c r="C37" s="65" t="s">
        <v>158</v>
      </c>
      <c r="D37" s="66" t="s">
        <v>289</v>
      </c>
      <c r="E37" s="66"/>
      <c r="F37" s="67">
        <v>8000</v>
      </c>
      <c r="G37" s="68" t="s">
        <v>39</v>
      </c>
      <c r="H37" s="69">
        <v>2.8</v>
      </c>
      <c r="I37" s="69">
        <v>3.36</v>
      </c>
      <c r="J37" s="77" t="s">
        <v>290</v>
      </c>
    </row>
    <row r="38" s="1" customFormat="1" spans="1:10">
      <c r="A38" s="64" t="s">
        <v>305</v>
      </c>
      <c r="B38" s="65"/>
      <c r="C38" s="65" t="s">
        <v>219</v>
      </c>
      <c r="D38" s="66" t="s">
        <v>289</v>
      </c>
      <c r="E38" s="66"/>
      <c r="F38" s="67">
        <v>22000</v>
      </c>
      <c r="G38" s="68" t="s">
        <v>39</v>
      </c>
      <c r="H38" s="69">
        <v>7.7</v>
      </c>
      <c r="I38" s="69">
        <v>9.24</v>
      </c>
      <c r="J38" s="77" t="s">
        <v>290</v>
      </c>
    </row>
    <row r="39" s="1" customFormat="1" spans="1:10">
      <c r="A39" s="64" t="s">
        <v>306</v>
      </c>
      <c r="B39" s="65"/>
      <c r="C39" s="65" t="s">
        <v>36</v>
      </c>
      <c r="D39" s="66" t="s">
        <v>289</v>
      </c>
      <c r="E39" s="66"/>
      <c r="F39" s="67">
        <v>6000</v>
      </c>
      <c r="G39" s="68" t="s">
        <v>39</v>
      </c>
      <c r="H39" s="69">
        <v>7.5</v>
      </c>
      <c r="I39" s="69">
        <v>9</v>
      </c>
      <c r="J39" s="77" t="s">
        <v>290</v>
      </c>
    </row>
    <row r="40" s="1" customFormat="1" spans="1:10">
      <c r="A40" s="64" t="s">
        <v>307</v>
      </c>
      <c r="B40" s="65"/>
      <c r="C40" s="65" t="s">
        <v>161</v>
      </c>
      <c r="D40" s="66" t="s">
        <v>289</v>
      </c>
      <c r="E40" s="66"/>
      <c r="F40" s="67">
        <v>16500</v>
      </c>
      <c r="G40" s="68" t="s">
        <v>39</v>
      </c>
      <c r="H40" s="69">
        <v>10.56</v>
      </c>
      <c r="I40" s="69">
        <v>12.67</v>
      </c>
      <c r="J40" s="77" t="s">
        <v>290</v>
      </c>
    </row>
    <row r="41" s="1" customFormat="1" spans="1:10">
      <c r="A41" s="64" t="s">
        <v>308</v>
      </c>
      <c r="B41" s="65"/>
      <c r="C41" s="65" t="s">
        <v>204</v>
      </c>
      <c r="D41" s="66" t="s">
        <v>289</v>
      </c>
      <c r="E41" s="66"/>
      <c r="F41" s="67">
        <v>21000</v>
      </c>
      <c r="G41" s="68" t="s">
        <v>39</v>
      </c>
      <c r="H41" s="69">
        <v>13.44</v>
      </c>
      <c r="I41" s="69">
        <v>16.63</v>
      </c>
      <c r="J41" s="77" t="s">
        <v>290</v>
      </c>
    </row>
    <row r="42" s="1" customFormat="1" spans="1:10">
      <c r="A42" s="64" t="s">
        <v>309</v>
      </c>
      <c r="B42" s="65"/>
      <c r="C42" s="65" t="s">
        <v>188</v>
      </c>
      <c r="D42" s="66" t="s">
        <v>289</v>
      </c>
      <c r="E42" s="66"/>
      <c r="F42" s="67">
        <v>18000</v>
      </c>
      <c r="G42" s="68" t="s">
        <v>39</v>
      </c>
      <c r="H42" s="69">
        <v>4.8</v>
      </c>
      <c r="I42" s="69">
        <v>5.76</v>
      </c>
      <c r="J42" s="77" t="s">
        <v>290</v>
      </c>
    </row>
    <row r="43" s="1" customFormat="1" spans="1:10">
      <c r="A43" s="64" t="s">
        <v>310</v>
      </c>
      <c r="B43" s="65"/>
      <c r="C43" s="65" t="s">
        <v>135</v>
      </c>
      <c r="D43" s="66" t="s">
        <v>289</v>
      </c>
      <c r="E43" s="66"/>
      <c r="F43" s="67">
        <v>24000</v>
      </c>
      <c r="G43" s="68" t="s">
        <v>39</v>
      </c>
      <c r="H43" s="69">
        <v>6.4</v>
      </c>
      <c r="I43" s="69">
        <v>7.98</v>
      </c>
      <c r="J43" s="77" t="s">
        <v>290</v>
      </c>
    </row>
    <row r="44" s="1" customFormat="1" spans="1:10">
      <c r="A44" s="64" t="s">
        <v>311</v>
      </c>
      <c r="B44" s="65"/>
      <c r="C44" s="65" t="s">
        <v>172</v>
      </c>
      <c r="D44" s="66" t="s">
        <v>289</v>
      </c>
      <c r="E44" s="66"/>
      <c r="F44" s="67">
        <v>78000</v>
      </c>
      <c r="G44" s="68" t="s">
        <v>39</v>
      </c>
      <c r="H44" s="69">
        <v>20.8</v>
      </c>
      <c r="I44" s="69">
        <v>25.26</v>
      </c>
      <c r="J44" s="77" t="s">
        <v>290</v>
      </c>
    </row>
    <row r="45" s="1" customFormat="1" spans="1:10">
      <c r="A45" s="64" t="s">
        <v>312</v>
      </c>
      <c r="B45" s="65"/>
      <c r="C45" s="65" t="s">
        <v>216</v>
      </c>
      <c r="D45" s="66" t="s">
        <v>289</v>
      </c>
      <c r="E45" s="66"/>
      <c r="F45" s="67">
        <v>93000</v>
      </c>
      <c r="G45" s="68" t="s">
        <v>39</v>
      </c>
      <c r="H45" s="69">
        <v>24.8</v>
      </c>
      <c r="I45" s="69">
        <v>30.26</v>
      </c>
      <c r="J45" s="77" t="s">
        <v>290</v>
      </c>
    </row>
    <row r="46" s="1" customFormat="1" spans="1:10">
      <c r="A46" s="64" t="s">
        <v>313</v>
      </c>
      <c r="B46" s="65"/>
      <c r="C46" s="65" t="s">
        <v>227</v>
      </c>
      <c r="D46" s="66" t="s">
        <v>289</v>
      </c>
      <c r="E46" s="66"/>
      <c r="F46" s="67">
        <v>2000</v>
      </c>
      <c r="G46" s="68" t="s">
        <v>39</v>
      </c>
      <c r="H46" s="69">
        <v>0.97</v>
      </c>
      <c r="I46" s="69">
        <v>1.66</v>
      </c>
      <c r="J46" s="77" t="s">
        <v>290</v>
      </c>
    </row>
    <row r="47" s="1" customFormat="1" spans="1:10">
      <c r="A47" s="64" t="s">
        <v>314</v>
      </c>
      <c r="B47" s="65"/>
      <c r="C47" s="65" t="s">
        <v>142</v>
      </c>
      <c r="D47" s="66" t="s">
        <v>289</v>
      </c>
      <c r="E47" s="66"/>
      <c r="F47" s="67">
        <v>24000</v>
      </c>
      <c r="G47" s="68" t="s">
        <v>39</v>
      </c>
      <c r="H47" s="69">
        <v>15.52</v>
      </c>
      <c r="I47" s="69">
        <v>18.62</v>
      </c>
      <c r="J47" s="77" t="s">
        <v>290</v>
      </c>
    </row>
    <row r="48" s="1" customFormat="1" spans="1:10">
      <c r="A48" s="64" t="s">
        <v>315</v>
      </c>
      <c r="B48" s="65"/>
      <c r="C48" s="65" t="s">
        <v>212</v>
      </c>
      <c r="D48" s="66" t="s">
        <v>289</v>
      </c>
      <c r="E48" s="66"/>
      <c r="F48" s="67">
        <v>51000</v>
      </c>
      <c r="G48" s="68" t="s">
        <v>39</v>
      </c>
      <c r="H48" s="69">
        <v>32.98</v>
      </c>
      <c r="I48" s="69">
        <v>39.58</v>
      </c>
      <c r="J48" s="77" t="s">
        <v>290</v>
      </c>
    </row>
    <row r="49" s="1" customFormat="1" spans="1:10">
      <c r="A49" s="64" t="s">
        <v>316</v>
      </c>
      <c r="B49" s="65"/>
      <c r="C49" s="65" t="s">
        <v>150</v>
      </c>
      <c r="D49" s="66" t="s">
        <v>289</v>
      </c>
      <c r="E49" s="66"/>
      <c r="F49" s="67">
        <v>46500</v>
      </c>
      <c r="G49" s="68" t="s">
        <v>39</v>
      </c>
      <c r="H49" s="69">
        <v>41.54</v>
      </c>
      <c r="I49" s="69">
        <v>50.35</v>
      </c>
      <c r="J49" s="77" t="s">
        <v>290</v>
      </c>
    </row>
    <row r="50" s="1" customFormat="1" spans="1:10">
      <c r="A50" s="64" t="s">
        <v>317</v>
      </c>
      <c r="B50" s="65"/>
      <c r="C50" s="65" t="s">
        <v>223</v>
      </c>
      <c r="D50" s="66" t="s">
        <v>289</v>
      </c>
      <c r="E50" s="66"/>
      <c r="F50" s="67">
        <v>9000</v>
      </c>
      <c r="G50" s="68" t="s">
        <v>39</v>
      </c>
      <c r="H50" s="69">
        <v>8.04</v>
      </c>
      <c r="I50" s="69">
        <v>9.65</v>
      </c>
      <c r="J50" s="77" t="s">
        <v>290</v>
      </c>
    </row>
    <row r="51" s="1" customFormat="1" spans="1:10">
      <c r="A51" s="64" t="s">
        <v>318</v>
      </c>
      <c r="B51" s="65"/>
      <c r="C51" s="65" t="s">
        <v>97</v>
      </c>
      <c r="D51" s="66" t="s">
        <v>289</v>
      </c>
      <c r="E51" s="66"/>
      <c r="F51" s="67">
        <v>18000</v>
      </c>
      <c r="G51" s="68" t="s">
        <v>39</v>
      </c>
      <c r="H51" s="69">
        <v>16.08</v>
      </c>
      <c r="I51" s="69">
        <v>19.3</v>
      </c>
      <c r="J51" s="77" t="s">
        <v>290</v>
      </c>
    </row>
    <row r="52" s="1" customFormat="1" spans="1:10">
      <c r="A52" s="64" t="s">
        <v>319</v>
      </c>
      <c r="B52" s="65"/>
      <c r="C52" s="65" t="s">
        <v>78</v>
      </c>
      <c r="D52" s="66" t="s">
        <v>289</v>
      </c>
      <c r="E52" s="66"/>
      <c r="F52" s="67">
        <v>16500</v>
      </c>
      <c r="G52" s="68" t="s">
        <v>39</v>
      </c>
      <c r="H52" s="69">
        <v>14.74</v>
      </c>
      <c r="I52" s="69">
        <v>17.69</v>
      </c>
      <c r="J52" s="77" t="s">
        <v>290</v>
      </c>
    </row>
    <row r="53" s="1" customFormat="1" spans="1:10">
      <c r="A53" s="64" t="s">
        <v>320</v>
      </c>
      <c r="B53" s="65"/>
      <c r="C53" s="65" t="s">
        <v>102</v>
      </c>
      <c r="D53" s="66" t="s">
        <v>289</v>
      </c>
      <c r="E53" s="66"/>
      <c r="F53" s="67">
        <v>6000</v>
      </c>
      <c r="G53" s="68" t="s">
        <v>39</v>
      </c>
      <c r="H53" s="69">
        <v>36</v>
      </c>
      <c r="I53" s="69">
        <v>43.2</v>
      </c>
      <c r="J53" s="77" t="s">
        <v>290</v>
      </c>
    </row>
    <row r="54" s="1" customFormat="1" spans="1:10">
      <c r="A54" s="64" t="s">
        <v>321</v>
      </c>
      <c r="B54" s="65"/>
      <c r="C54" s="65" t="s">
        <v>208</v>
      </c>
      <c r="D54" s="66" t="s">
        <v>289</v>
      </c>
      <c r="E54" s="66"/>
      <c r="F54" s="67">
        <v>400</v>
      </c>
      <c r="G54" s="68" t="s">
        <v>39</v>
      </c>
      <c r="H54" s="69">
        <v>2.4</v>
      </c>
      <c r="I54" s="69">
        <v>3.38</v>
      </c>
      <c r="J54" s="77" t="s">
        <v>290</v>
      </c>
    </row>
    <row r="55" s="1" customFormat="1" spans="1:10">
      <c r="A55" s="64" t="s">
        <v>322</v>
      </c>
      <c r="B55" s="65"/>
      <c r="C55" s="65" t="s">
        <v>91</v>
      </c>
      <c r="D55" s="66" t="s">
        <v>289</v>
      </c>
      <c r="E55" s="66"/>
      <c r="F55" s="67">
        <v>19500</v>
      </c>
      <c r="G55" s="68" t="s">
        <v>39</v>
      </c>
      <c r="H55" s="69">
        <v>12.48</v>
      </c>
      <c r="I55" s="69">
        <v>15.48</v>
      </c>
      <c r="J55" s="77" t="s">
        <v>290</v>
      </c>
    </row>
    <row r="56" s="1" customFormat="1" spans="1:10">
      <c r="A56" s="64" t="s">
        <v>323</v>
      </c>
      <c r="B56" s="65"/>
      <c r="C56" s="65" t="s">
        <v>182</v>
      </c>
      <c r="D56" s="66" t="s">
        <v>289</v>
      </c>
      <c r="E56" s="66"/>
      <c r="F56" s="67">
        <v>90000</v>
      </c>
      <c r="G56" s="68" t="s">
        <v>39</v>
      </c>
      <c r="H56" s="69">
        <v>80.4</v>
      </c>
      <c r="I56" s="69">
        <v>96.48</v>
      </c>
      <c r="J56" s="77" t="s">
        <v>290</v>
      </c>
    </row>
    <row r="57" s="1" customFormat="1" spans="1:10">
      <c r="A57" s="64" t="s">
        <v>324</v>
      </c>
      <c r="B57" s="65"/>
      <c r="C57" s="65" t="s">
        <v>115</v>
      </c>
      <c r="D57" s="66" t="s">
        <v>289</v>
      </c>
      <c r="E57" s="66"/>
      <c r="F57" s="67">
        <v>9000</v>
      </c>
      <c r="G57" s="68" t="s">
        <v>39</v>
      </c>
      <c r="H57" s="69">
        <v>8.04</v>
      </c>
      <c r="I57" s="69">
        <v>9.65</v>
      </c>
      <c r="J57" s="77" t="s">
        <v>290</v>
      </c>
    </row>
    <row r="58" s="1" customFormat="1" spans="1:10">
      <c r="A58" s="64" t="s">
        <v>325</v>
      </c>
      <c r="B58" s="65"/>
      <c r="C58" s="65" t="s">
        <v>231</v>
      </c>
      <c r="D58" s="66" t="s">
        <v>289</v>
      </c>
      <c r="E58" s="66"/>
      <c r="F58" s="67">
        <v>6000</v>
      </c>
      <c r="G58" s="68" t="s">
        <v>39</v>
      </c>
      <c r="H58" s="69">
        <v>8.86</v>
      </c>
      <c r="I58" s="69">
        <v>10.63</v>
      </c>
      <c r="J58" s="77" t="s">
        <v>290</v>
      </c>
    </row>
    <row r="59" s="1" customFormat="1" spans="1:10">
      <c r="A59" s="64" t="s">
        <v>326</v>
      </c>
      <c r="B59" s="65"/>
      <c r="C59" s="65" t="s">
        <v>238</v>
      </c>
      <c r="D59" s="66" t="s">
        <v>289</v>
      </c>
      <c r="E59" s="66"/>
      <c r="F59" s="67">
        <v>12800</v>
      </c>
      <c r="G59" s="68" t="s">
        <v>39</v>
      </c>
      <c r="H59" s="69">
        <v>17.6</v>
      </c>
      <c r="I59" s="69">
        <v>21.12</v>
      </c>
      <c r="J59" s="77" t="s">
        <v>290</v>
      </c>
    </row>
    <row r="60" s="1" customFormat="1" spans="1:10">
      <c r="A60" s="64" t="s">
        <v>327</v>
      </c>
      <c r="B60" s="65"/>
      <c r="C60" s="65" t="s">
        <v>258</v>
      </c>
      <c r="D60" s="66" t="s">
        <v>289</v>
      </c>
      <c r="E60" s="66"/>
      <c r="F60" s="67">
        <v>18000</v>
      </c>
      <c r="G60" s="68" t="s">
        <v>39</v>
      </c>
      <c r="H60" s="69">
        <v>150</v>
      </c>
      <c r="I60" s="69">
        <v>180</v>
      </c>
      <c r="J60" s="77" t="s">
        <v>328</v>
      </c>
    </row>
    <row r="61" s="1" customFormat="1" spans="1:10">
      <c r="A61" s="64" t="s">
        <v>329</v>
      </c>
      <c r="B61" s="65"/>
      <c r="C61" s="65" t="s">
        <v>191</v>
      </c>
      <c r="D61" s="66" t="s">
        <v>289</v>
      </c>
      <c r="E61" s="66"/>
      <c r="F61" s="67">
        <v>24000</v>
      </c>
      <c r="G61" s="68" t="s">
        <v>39</v>
      </c>
      <c r="H61" s="69">
        <v>1.09</v>
      </c>
      <c r="I61" s="69">
        <v>1.81</v>
      </c>
      <c r="J61" s="77" t="s">
        <v>330</v>
      </c>
    </row>
    <row r="62" s="1" customFormat="1" spans="1:10">
      <c r="A62" s="64" t="s">
        <v>331</v>
      </c>
      <c r="B62" s="65"/>
      <c r="C62" s="65" t="s">
        <v>111</v>
      </c>
      <c r="D62" s="66" t="s">
        <v>289</v>
      </c>
      <c r="E62" s="66"/>
      <c r="F62" s="67">
        <v>6000</v>
      </c>
      <c r="G62" s="68" t="s">
        <v>39</v>
      </c>
      <c r="H62" s="69">
        <v>0.36</v>
      </c>
      <c r="I62" s="69">
        <v>1.23</v>
      </c>
      <c r="J62" s="77" t="s">
        <v>330</v>
      </c>
    </row>
    <row r="63" s="1" customFormat="1" spans="1:10">
      <c r="A63" s="64" t="s">
        <v>332</v>
      </c>
      <c r="B63" s="65"/>
      <c r="C63" s="65" t="s">
        <v>83</v>
      </c>
      <c r="D63" s="66" t="s">
        <v>289</v>
      </c>
      <c r="E63" s="66"/>
      <c r="F63" s="67">
        <v>21000</v>
      </c>
      <c r="G63" s="68" t="s">
        <v>39</v>
      </c>
      <c r="H63" s="69">
        <v>1.26</v>
      </c>
      <c r="I63" s="69">
        <v>2.11</v>
      </c>
      <c r="J63" s="77" t="s">
        <v>330</v>
      </c>
    </row>
    <row r="64" s="1" customFormat="1" spans="1:10">
      <c r="A64" s="64" t="s">
        <v>333</v>
      </c>
      <c r="B64" s="65"/>
      <c r="C64" s="65" t="s">
        <v>243</v>
      </c>
      <c r="D64" s="66" t="s">
        <v>289</v>
      </c>
      <c r="E64" s="66"/>
      <c r="F64" s="67">
        <v>17600</v>
      </c>
      <c r="G64" s="68" t="s">
        <v>39</v>
      </c>
      <c r="H64" s="69">
        <v>39.6</v>
      </c>
      <c r="I64" s="69">
        <v>47.52</v>
      </c>
      <c r="J64" s="77" t="s">
        <v>334</v>
      </c>
    </row>
    <row r="65" s="1" customFormat="1" spans="1:10">
      <c r="A65" s="64" t="s">
        <v>335</v>
      </c>
      <c r="B65" s="65"/>
      <c r="C65" s="65" t="s">
        <v>234</v>
      </c>
      <c r="D65" s="66" t="s">
        <v>289</v>
      </c>
      <c r="E65" s="66"/>
      <c r="F65" s="67">
        <v>4000</v>
      </c>
      <c r="G65" s="68" t="s">
        <v>39</v>
      </c>
      <c r="H65" s="69">
        <v>8.16</v>
      </c>
      <c r="I65" s="69">
        <v>9.79</v>
      </c>
      <c r="J65" s="77" t="s">
        <v>334</v>
      </c>
    </row>
    <row r="66" s="1" customFormat="1" spans="1:10">
      <c r="A66" s="64" t="s">
        <v>336</v>
      </c>
      <c r="B66" s="65"/>
      <c r="C66" s="65" t="s">
        <v>248</v>
      </c>
      <c r="D66" s="66" t="s">
        <v>289</v>
      </c>
      <c r="E66" s="66"/>
      <c r="F66" s="67">
        <v>42000</v>
      </c>
      <c r="G66" s="68" t="s">
        <v>39</v>
      </c>
      <c r="H66" s="69">
        <v>89.46</v>
      </c>
      <c r="I66" s="69">
        <v>107.35</v>
      </c>
      <c r="J66" s="77" t="s">
        <v>334</v>
      </c>
    </row>
    <row r="67" s="1" customFormat="1" spans="1:10">
      <c r="A67" s="64" t="s">
        <v>337</v>
      </c>
      <c r="B67" s="65"/>
      <c r="C67" s="65" t="s">
        <v>262</v>
      </c>
      <c r="D67" s="66" t="s">
        <v>289</v>
      </c>
      <c r="E67" s="66"/>
      <c r="F67" s="67">
        <v>80000</v>
      </c>
      <c r="G67" s="68" t="s">
        <v>39</v>
      </c>
      <c r="H67" s="69">
        <v>100</v>
      </c>
      <c r="I67" s="69">
        <v>120</v>
      </c>
      <c r="J67" s="77" t="s">
        <v>334</v>
      </c>
    </row>
    <row r="68" s="1" customFormat="1" spans="1:10">
      <c r="A68" s="64" t="s">
        <v>338</v>
      </c>
      <c r="B68" s="65"/>
      <c r="C68" s="65" t="s">
        <v>266</v>
      </c>
      <c r="D68" s="66" t="s">
        <v>289</v>
      </c>
      <c r="E68" s="66"/>
      <c r="F68" s="67">
        <v>19440</v>
      </c>
      <c r="G68" s="68" t="s">
        <v>39</v>
      </c>
      <c r="H68" s="69">
        <v>125.1</v>
      </c>
      <c r="I68" s="69">
        <v>150.12</v>
      </c>
      <c r="J68" s="77" t="s">
        <v>334</v>
      </c>
    </row>
    <row r="69" s="1" customFormat="1" spans="1:10">
      <c r="A69" s="64" t="s">
        <v>339</v>
      </c>
      <c r="B69" s="65"/>
      <c r="C69" s="65" t="s">
        <v>266</v>
      </c>
      <c r="D69" s="66" t="s">
        <v>289</v>
      </c>
      <c r="E69" s="66"/>
      <c r="F69" s="67">
        <v>48560</v>
      </c>
      <c r="G69" s="68" t="s">
        <v>39</v>
      </c>
      <c r="H69" s="69">
        <v>312.49</v>
      </c>
      <c r="I69" s="69">
        <v>374.99</v>
      </c>
      <c r="J69" s="77" t="s">
        <v>334</v>
      </c>
    </row>
    <row r="70" ht="14.25" spans="1:10">
      <c r="A70" s="78"/>
      <c r="B70" s="79"/>
      <c r="C70" s="80"/>
      <c r="D70" s="80"/>
      <c r="E70" s="80"/>
      <c r="F70" s="81"/>
      <c r="G70" s="80"/>
      <c r="H70" s="82"/>
      <c r="I70" s="99"/>
      <c r="J70" s="100"/>
    </row>
    <row r="71" spans="1:10">
      <c r="A71" s="83">
        <v>233</v>
      </c>
      <c r="B71" s="12"/>
      <c r="C71" s="55"/>
      <c r="D71" s="84"/>
      <c r="E71" s="85" t="s">
        <v>340</v>
      </c>
      <c r="F71" s="86">
        <f>SUM(F23:F70)</f>
        <v>1279300</v>
      </c>
      <c r="G71" s="87"/>
      <c r="H71" s="88">
        <f>SUM(H23:H70)</f>
        <v>1467.41</v>
      </c>
      <c r="I71" s="88">
        <f>SUM(I23:I70)</f>
        <v>1768.5</v>
      </c>
      <c r="J71" s="101" t="s">
        <v>341</v>
      </c>
    </row>
    <row r="72" spans="1:10">
      <c r="A72" s="89"/>
      <c r="E72" s="90" t="s">
        <v>342</v>
      </c>
      <c r="F72" s="91">
        <v>5</v>
      </c>
      <c r="G72">
        <v>14</v>
      </c>
      <c r="I72" s="102">
        <f>G72*F72</f>
        <v>70</v>
      </c>
      <c r="J72" s="103" t="s">
        <v>343</v>
      </c>
    </row>
    <row r="73" spans="1:10">
      <c r="A73" s="89"/>
      <c r="E73" s="90" t="s">
        <v>344</v>
      </c>
      <c r="F73" s="92" t="s">
        <v>345</v>
      </c>
      <c r="I73" s="102">
        <f>SUM(I71:I72)</f>
        <v>1838.5</v>
      </c>
      <c r="J73" s="103" t="s">
        <v>346</v>
      </c>
    </row>
    <row r="74" spans="1:10">
      <c r="A74" s="89"/>
      <c r="E74" s="90" t="s">
        <v>347</v>
      </c>
      <c r="F74" s="92" t="s">
        <v>348</v>
      </c>
      <c r="J74" s="103"/>
    </row>
    <row r="75" spans="1:10">
      <c r="A75" s="93"/>
      <c r="B75" s="94"/>
      <c r="C75" s="94"/>
      <c r="D75" s="94"/>
      <c r="E75" s="94"/>
      <c r="F75" s="94"/>
      <c r="G75" s="94"/>
      <c r="H75" s="94"/>
      <c r="I75" s="94"/>
      <c r="J75" s="104"/>
    </row>
    <row r="77" spans="7:8">
      <c r="G77" s="95" t="s">
        <v>269</v>
      </c>
      <c r="H77" s="96" t="s">
        <v>270</v>
      </c>
    </row>
    <row r="78" spans="7:8">
      <c r="G78" s="95" t="s">
        <v>271</v>
      </c>
      <c r="H78" s="95">
        <v>2358</v>
      </c>
    </row>
    <row r="79" spans="7:8">
      <c r="G79" s="95" t="s">
        <v>272</v>
      </c>
      <c r="H79" s="97" t="s">
        <v>273</v>
      </c>
    </row>
    <row r="80" spans="7:8">
      <c r="G80" s="95" t="s">
        <v>274</v>
      </c>
      <c r="H80" s="98" t="s">
        <v>275</v>
      </c>
    </row>
  </sheetData>
  <mergeCells count="64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A21:A22"/>
    <mergeCell ref="B21:B22"/>
    <mergeCell ref="C21:C22"/>
    <mergeCell ref="F21:F22"/>
    <mergeCell ref="G21:G22"/>
    <mergeCell ref="J21:J22"/>
    <mergeCell ref="A5:E6"/>
    <mergeCell ref="A10:E11"/>
    <mergeCell ref="D21:E22"/>
  </mergeCells>
  <pageMargins left="0.75" right="0.75" top="1" bottom="1" header="0.5" footer="0.5"/>
  <pageSetup paperSize="9" scale="76" orientation="portrait"/>
  <headerFooter/>
  <rowBreaks count="1" manualBreakCount="1">
    <brk id="59" max="10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A000427</cp:lastModifiedBy>
  <dcterms:created xsi:type="dcterms:W3CDTF">2025-07-17T08:11:00Z</dcterms:created>
  <dcterms:modified xsi:type="dcterms:W3CDTF">2025-08-18T06:59:02Z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1279283927A64A93B634F9800A39E2BA_13</vt:lpwstr>
  </property>
  <property fmtid="{D5CDD505-2E9C-101B-9397-08002B2CF9AE}" pid="3" name="KSOProductBuildVer">
    <vt:lpwstr>2052-10.8.2.6837</vt:lpwstr>
  </property>
  <property fmtid="{D5CDD505-2E9C-101B-9397-08002B2CF9AE}" pid="4" name="KSOReadingLayout">
    <vt:bool>true</vt:bool>
  </property>
</Properties>
</file>