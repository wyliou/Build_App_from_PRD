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5"/>
  <workbookPr codeName="ThisWorkbook"/>
  <xr:revisionPtr revIDLastSave="1" documentId="11_07C5E82040FB6406B812D526E0504CCD921A3F12" xr6:coauthVersionLast="47" xr6:coauthVersionMax="47" xr10:uidLastSave="{F88D9ABD-AD52-430C-90DA-03E701BC08C7}"/>
  <bookViews>
    <workbookView xWindow="0" yWindow="0" windowWidth="20490" windowHeight="7860" xr2:uid="{00000000-000D-0000-FFFF-FFFF00000000}"/>
  </bookViews>
  <sheets>
    <sheet name="INVOICE" sheetId="1" r:id="rId1"/>
    <sheet name="PACKING" sheetId="2" r:id="rId2"/>
  </sheets>
  <definedNames>
    <definedName name="_xlnm.Print_Area" localSheetId="0">INVOICE!$A$1:$O$39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I26" i="1"/>
  <c r="I25" i="1"/>
  <c r="I24" i="1"/>
  <c r="I23" i="1"/>
  <c r="I22" i="1"/>
  <c r="I21" i="1"/>
  <c r="I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K20" authorId="0" shapeId="0" xr:uid="{00000000-0006-0000-0000-000001000000}">
      <text>
        <r>
          <rPr>
            <sz val="14"/>
            <rFont val="宋体"/>
            <charset val="134"/>
          </rPr>
          <t>若是集成电路，需提供晶圆制造地,非集成电路,无需晶圆制造地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D29" authorId="0" shapeId="0" xr:uid="{00000000-0006-0000-0100-000001000000}">
      <text>
        <r>
          <rPr>
            <sz val="10"/>
            <rFont val="宋体"/>
            <charset val="134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<sst xmlns="http://schemas.openxmlformats.org/spreadsheetml/2006/main" count="188" uniqueCount="84">
  <si>
    <t>COMMERCIAL INVOICE</t>
  </si>
  <si>
    <t>Shipper/Exporter</t>
  </si>
  <si>
    <t>No. &amp; Date of Invoice</t>
  </si>
  <si>
    <t>香港新捷盛贸易有限公司</t>
  </si>
  <si>
    <t>XJSZL251202</t>
  </si>
  <si>
    <t xml:space="preserve"> HONG KONG NEW JIE SHENG TRADING LTD</t>
  </si>
  <si>
    <t>Bill To:</t>
  </si>
  <si>
    <t xml:space="preserve"> Payment Term</t>
  </si>
  <si>
    <t>中磊电子（苏州）有限公司</t>
  </si>
  <si>
    <t>SN_FTM 120 Days</t>
  </si>
  <si>
    <t>SERCOMM CORPORATION</t>
  </si>
  <si>
    <t>Ship To:</t>
  </si>
  <si>
    <t xml:space="preserve"> Trade Term</t>
  </si>
  <si>
    <t>DDU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</si>
  <si>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</si>
  <si>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</si>
  <si>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</si>
  <si>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</si>
  <si>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</si>
  <si>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</si>
  <si>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中国香港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</si>
  <si>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</si>
  <si>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</si>
  <si>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</si>
  <si>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</si>
  <si>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</si>
  <si>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</si>
  <si>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</si>
  <si>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</si>
  <si>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</si>
  <si>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</si>
  <si>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</si>
  <si>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</si>
  <si>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</si>
  <si>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</si>
  <si>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</si>
  <si>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3100006RAM</t>
  </si>
  <si>
    <t>A-D5X1RGY-S1</t>
  </si>
  <si>
    <t>PCS</t>
  </si>
  <si>
    <t>USD</t>
  </si>
  <si>
    <t>CHINA</t>
  </si>
  <si>
    <t>无品牌</t>
  </si>
  <si>
    <t>3100065PAM</t>
  </si>
  <si>
    <t>A-SL668YW1D-G20-JY-4T</t>
  </si>
  <si>
    <t>310006A8AM</t>
  </si>
  <si>
    <t>A-SP192YR6AC-C02-4T</t>
  </si>
  <si>
    <t>310006CCAM</t>
  </si>
  <si>
    <t>A-SC3804UW-A01-5C-ZDX</t>
  </si>
  <si>
    <t xml:space="preserve">                  TOTAL</t>
  </si>
  <si>
    <t>4.95KG</t>
  </si>
  <si>
    <r>
      <rPr>
        <sz val="11"/>
        <rFont val="Arial"/>
        <charset val="134"/>
      </rPr>
      <t>1.</t>
    </r>
    <r>
      <rPr>
        <sz val="11"/>
        <rFont val="宋体"/>
        <charset val="134"/>
      </rPr>
      <t>进境口岸关别代码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：</t>
    </r>
  </si>
  <si>
    <r>
      <rPr>
        <sz val="11"/>
        <rFont val="Calibri"/>
      </rPr>
      <t>2358</t>
    </r>
    <r>
      <rPr>
        <sz val="11"/>
        <rFont val="宋体"/>
      </rPr>
      <t>苏园保税</t>
    </r>
  </si>
  <si>
    <r>
      <rPr>
        <sz val="11"/>
        <rFont val="Arial"/>
        <charset val="134"/>
      </rPr>
      <t>2.</t>
    </r>
    <r>
      <rPr>
        <sz val="11"/>
        <rFont val="宋体"/>
        <charset val="134"/>
      </rPr>
      <t>申报地口岸关别代码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：</t>
    </r>
  </si>
  <si>
    <r>
      <rPr>
        <sz val="11"/>
        <rFont val="Arial"/>
        <charset val="134"/>
      </rPr>
      <t>3.</t>
    </r>
    <r>
      <rPr>
        <sz val="11"/>
        <rFont val="宋体"/>
        <charset val="134"/>
      </rPr>
      <t>报关行名称及代码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：</t>
    </r>
  </si>
  <si>
    <r>
      <rPr>
        <sz val="11"/>
        <rFont val="Calibri"/>
      </rPr>
      <t xml:space="preserve">(3205280029) (91320594771514931X) </t>
    </r>
    <r>
      <rPr>
        <sz val="11"/>
        <rFont val="宋体"/>
        <charset val="134"/>
      </rPr>
      <t>苏州工业园区恒信国际货运代理有限公司</t>
    </r>
  </si>
  <si>
    <r>
      <rPr>
        <sz val="11"/>
        <rFont val="Arial"/>
        <charset val="134"/>
      </rPr>
      <t>4.</t>
    </r>
    <r>
      <rPr>
        <sz val="11"/>
        <rFont val="宋体"/>
        <charset val="134"/>
      </rPr>
      <t>关联手册</t>
    </r>
    <r>
      <rPr>
        <sz val="11"/>
        <rFont val="Arial"/>
        <charset val="134"/>
      </rPr>
      <t>(</t>
    </r>
    <r>
      <rPr>
        <sz val="11"/>
        <rFont val="宋体"/>
        <charset val="134"/>
      </rPr>
      <t>账册）编号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：</t>
    </r>
  </si>
  <si>
    <t>T2358W000208</t>
  </si>
  <si>
    <r>
      <rPr>
        <sz val="11"/>
        <rFont val="Arial"/>
        <charset val="134"/>
      </rPr>
      <t>5.</t>
    </r>
    <r>
      <rPr>
        <sz val="11"/>
        <rFont val="宋体"/>
        <charset val="134"/>
      </rPr>
      <t>贸易国</t>
    </r>
    <r>
      <rPr>
        <sz val="11"/>
        <rFont val="Arial"/>
        <charset val="134"/>
      </rPr>
      <t xml:space="preserve"> ---</t>
    </r>
  </si>
  <si>
    <r>
      <rPr>
        <sz val="11"/>
        <rFont val="Arial"/>
        <charset val="134"/>
      </rPr>
      <t>6.</t>
    </r>
    <r>
      <rPr>
        <sz val="11"/>
        <rFont val="宋体"/>
        <charset val="134"/>
      </rPr>
      <t>中英文品牌</t>
    </r>
    <r>
      <rPr>
        <sz val="11"/>
        <rFont val="Arial"/>
        <charset val="134"/>
      </rPr>
      <t>;</t>
    </r>
  </si>
  <si>
    <t>无</t>
  </si>
  <si>
    <r>
      <rPr>
        <sz val="11"/>
        <rFont val="Arial"/>
        <charset val="134"/>
      </rPr>
      <t>7.</t>
    </r>
    <r>
      <rPr>
        <sz val="11"/>
        <rFont val="宋体"/>
        <charset val="134"/>
      </rPr>
      <t>品牌类型</t>
    </r>
    <r>
      <rPr>
        <sz val="11"/>
        <rFont val="Arial"/>
        <charset val="134"/>
      </rPr>
      <t>;</t>
    </r>
  </si>
  <si>
    <r>
      <rPr>
        <sz val="11"/>
        <rFont val="Arial"/>
        <charset val="134"/>
      </rPr>
      <t>8.</t>
    </r>
    <r>
      <rPr>
        <sz val="11"/>
        <rFont val="宋体"/>
        <charset val="134"/>
      </rPr>
      <t>型号</t>
    </r>
  </si>
  <si>
    <r>
      <rPr>
        <sz val="11"/>
        <rFont val="Calibri"/>
      </rPr>
      <t>A-D5X1RGY-S1</t>
    </r>
    <r>
      <rPr>
        <sz val="11"/>
        <rFont val="宋体"/>
      </rPr>
      <t>等</t>
    </r>
  </si>
  <si>
    <r>
      <rPr>
        <sz val="11"/>
        <rFont val="Arial"/>
        <charset val="134"/>
      </rPr>
      <t>9.</t>
    </r>
    <r>
      <rPr>
        <sz val="11"/>
        <rFont val="宋体"/>
        <charset val="134"/>
      </rPr>
      <t>成交方式（条款）</t>
    </r>
  </si>
  <si>
    <r>
      <rPr>
        <sz val="11"/>
        <rFont val="Arial"/>
        <charset val="134"/>
      </rPr>
      <t>10.</t>
    </r>
    <r>
      <rPr>
        <sz val="11"/>
        <rFont val="宋体"/>
        <charset val="134"/>
      </rPr>
      <t>原产国</t>
    </r>
  </si>
  <si>
    <r>
      <rPr>
        <sz val="11"/>
        <rFont val="Arial"/>
        <charset val="134"/>
      </rPr>
      <t>11.</t>
    </r>
    <r>
      <rPr>
        <sz val="11"/>
        <rFont val="宋体"/>
        <charset val="134"/>
      </rPr>
      <t>包装方式：</t>
    </r>
  </si>
  <si>
    <t>纸箱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</si>
  <si>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</si>
  <si>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</si>
  <si>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</si>
  <si>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</si>
  <si>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</si>
  <si>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</si>
  <si>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</si>
  <si>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</si>
  <si>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</si>
  <si>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</si>
  <si>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35*24*12</t>
  </si>
  <si>
    <t>36*25*25</t>
  </si>
  <si>
    <t>TOTAL</t>
  </si>
  <si>
    <t>6.33KG</t>
  </si>
  <si>
    <t>件数</t>
  </si>
  <si>
    <t>包装种类</t>
  </si>
  <si>
    <t>托盘材质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</si>
</sst>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8" formatCode="0.0000_);[Red]\(0.0000\)"/>
    <numFmt numFmtId="180" formatCode="0.00_ "/>
    <numFmt numFmtId="182" formatCode="yyyy/m/d;@"/>
    <numFmt numFmtId="183" formatCode="0.000_ "/>
    <numFmt numFmtId="184" formatCode="0.00_);[Red]\(0.00\)"/>
    <numFmt numFmtId="185" formatCode="0_ "/>
    <numFmt numFmtId="186" formatCode="#,##0.00_ "/>
  </numFmts>
  <fonts count="31">
    <font>
      <sz val="11"/>
      <color theme="1"/>
      <name val="宋体"/>
      <charset val="134"/>
      <scheme val="minor"/>
    </font>
    <font>
      <b/>
      <sz val="2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0"/>
      <name val="微软雅黑"/>
      <charset val="134"/>
    </font>
    <font>
      <sz val="10"/>
      <color rgb="FFFF0000"/>
      <name val="宋体"/>
      <charset val="134"/>
    </font>
    <font>
      <b/>
      <sz val="12"/>
      <name val="Calibri"/>
      <charset val="134"/>
    </font>
    <font>
      <sz val="12"/>
      <name val="Calibri"/>
      <charset val="134"/>
    </font>
    <font>
      <sz val="12"/>
      <name val="Calibri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name val="宋体"/>
      <charset val="134"/>
    </font>
    <font>
      <sz val="11"/>
      <name val="Arial"/>
      <charset val="134"/>
    </font>
    <font>
      <sz val="11"/>
      <name val="Calibri"/>
    </font>
    <font>
      <sz val="11"/>
      <name val="Calibri"/>
      <charset val="134"/>
    </font>
    <font>
      <sz val="11"/>
      <name val="宋体"/>
      <charset val="134"/>
    </font>
    <font>
      <sz val="10"/>
      <name val="新細明體"/>
      <charset val="136"/>
    </font>
    <font>
      <b/>
      <sz val="12"/>
      <name val="Calibri"/>
      <charset val="136"/>
    </font>
    <font>
      <sz val="18"/>
      <color theme="1"/>
      <name val="Calibri"/>
      <charset val="134"/>
    </font>
    <font>
      <sz val="18"/>
      <color theme="1"/>
      <name val="宋体"/>
      <charset val="134"/>
      <scheme val="minor"/>
    </font>
    <font>
      <b/>
      <sz val="18"/>
      <name val="Arial"/>
      <charset val="134"/>
    </font>
    <font>
      <sz val="10"/>
      <color rgb="FFFF0000"/>
      <name val="Arial"/>
      <charset val="134"/>
    </font>
    <font>
      <b/>
      <sz val="12"/>
      <name val="Arial"/>
      <charset val="134"/>
    </font>
    <font>
      <sz val="12"/>
      <color theme="1"/>
      <name val="Calibri"/>
    </font>
    <font>
      <sz val="10"/>
      <color indexed="12"/>
      <name val="新細明體"/>
      <charset val="136"/>
    </font>
    <font>
      <b/>
      <sz val="12"/>
      <name val="新細明體"/>
      <charset val="136"/>
    </font>
    <font>
      <b/>
      <sz val="12"/>
      <name val="宋体"/>
      <charset val="136"/>
    </font>
    <font>
      <sz val="12"/>
      <name val="新細明體"/>
      <charset val="136"/>
    </font>
    <font>
      <sz val="11"/>
      <name val="宋体"/>
    </font>
    <font>
      <sz val="14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</borders>
  <cellStyleXfs count="6">
    <xf numFmtId="0" fontId="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28" fillId="0" borderId="0"/>
  </cellStyleXfs>
  <cellXfs count="17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2" fillId="0" borderId="2" xfId="1" applyFont="1" applyBorder="1"/>
    <xf numFmtId="0" fontId="3" fillId="0" borderId="2" xfId="1" applyFont="1" applyBorder="1"/>
    <xf numFmtId="0" fontId="3" fillId="0" borderId="2" xfId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Font="1"/>
    <xf numFmtId="0" fontId="3" fillId="0" borderId="3" xfId="0" applyFont="1" applyBorder="1" applyAlignment="1"/>
    <xf numFmtId="0" fontId="3" fillId="0" borderId="0" xfId="1" applyFont="1" applyAlignment="1">
      <alignment horizontal="center"/>
    </xf>
    <xf numFmtId="182" fontId="3" fillId="0" borderId="3" xfId="0" applyNumberFormat="1" applyFont="1" applyBorder="1" applyAlignment="1">
      <alignment horizontal="left"/>
    </xf>
    <xf numFmtId="0" fontId="3" fillId="0" borderId="3" xfId="1" applyFont="1" applyBorder="1"/>
    <xf numFmtId="0" fontId="2" fillId="2" borderId="1" xfId="3" applyFont="1" applyFill="1" applyBorder="1" applyAlignment="1">
      <alignment horizontal="left"/>
    </xf>
    <xf numFmtId="0" fontId="3" fillId="0" borderId="3" xfId="1" applyFont="1" applyBorder="1" applyAlignment="1">
      <alignment horizontal="left"/>
    </xf>
    <xf numFmtId="0" fontId="2" fillId="0" borderId="0" xfId="1" applyFont="1"/>
    <xf numFmtId="0" fontId="3" fillId="0" borderId="0" xfId="3" applyFont="1"/>
    <xf numFmtId="0" fontId="3" fillId="0" borderId="0" xfId="3" applyFont="1" applyAlignment="1">
      <alignment horizontal="center"/>
    </xf>
    <xf numFmtId="0" fontId="5" fillId="0" borderId="0" xfId="1" applyFont="1"/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6" fillId="0" borderId="4" xfId="1" applyFont="1" applyBorder="1"/>
    <xf numFmtId="180" fontId="3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6" fillId="0" borderId="8" xfId="1" applyFont="1" applyBorder="1"/>
    <xf numFmtId="182" fontId="3" fillId="0" borderId="5" xfId="0" applyNumberFormat="1" applyFont="1" applyBorder="1" applyAlignment="1">
      <alignment horizontal="left"/>
    </xf>
    <xf numFmtId="0" fontId="3" fillId="0" borderId="6" xfId="1" applyFont="1" applyBorder="1"/>
    <xf numFmtId="0" fontId="3" fillId="0" borderId="6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9" xfId="3" applyFont="1" applyBorder="1" applyAlignment="1">
      <alignment horizontal="center" vertical="center"/>
    </xf>
    <xf numFmtId="0" fontId="9" fillId="2" borderId="9" xfId="3" applyFont="1" applyFill="1" applyBorder="1" applyAlignment="1">
      <alignment horizontal="center" vertical="center"/>
    </xf>
    <xf numFmtId="0" fontId="9" fillId="0" borderId="9" xfId="3" applyFont="1" applyBorder="1" applyAlignment="1">
      <alignment horizontal="center" vertical="center" wrapText="1"/>
    </xf>
    <xf numFmtId="183" fontId="8" fillId="0" borderId="9" xfId="0" applyNumberFormat="1" applyFont="1" applyBorder="1" applyAlignment="1">
      <alignment horizontal="center" vertical="center" wrapText="1" shrinkToFit="1"/>
    </xf>
    <xf numFmtId="184" fontId="8" fillId="0" borderId="9" xfId="0" applyNumberFormat="1" applyFont="1" applyBorder="1" applyAlignment="1">
      <alignment horizontal="center" vertical="center" shrinkToFit="1"/>
    </xf>
    <xf numFmtId="0" fontId="9" fillId="0" borderId="9" xfId="0" applyFont="1" applyBorder="1" applyAlignment="1">
      <alignment horizontal="center" vertical="center" wrapText="1" shrinkToFit="1"/>
    </xf>
    <xf numFmtId="0" fontId="8" fillId="0" borderId="9" xfId="0" applyFont="1" applyBorder="1" applyAlignment="1">
      <alignment horizontal="center" vertical="center" shrinkToFit="1"/>
    </xf>
    <xf numFmtId="185" fontId="7" fillId="0" borderId="9" xfId="1" applyNumberFormat="1" applyFont="1" applyBorder="1" applyAlignment="1">
      <alignment horizontal="center"/>
    </xf>
    <xf numFmtId="0" fontId="8" fillId="0" borderId="9" xfId="1" applyFont="1" applyBorder="1"/>
    <xf numFmtId="0" fontId="7" fillId="0" borderId="9" xfId="1" applyFont="1" applyBorder="1"/>
    <xf numFmtId="0" fontId="7" fillId="0" borderId="9" xfId="1" applyFont="1" applyBorder="1" applyAlignment="1">
      <alignment horizontal="center"/>
    </xf>
    <xf numFmtId="183" fontId="7" fillId="0" borderId="9" xfId="1" applyNumberFormat="1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184" fontId="7" fillId="0" borderId="9" xfId="1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12" fillId="0" borderId="0" xfId="1" applyAlignment="1">
      <alignment horizontal="center" vertical="center"/>
    </xf>
    <xf numFmtId="0" fontId="8" fillId="0" borderId="0" xfId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17" fillId="0" borderId="8" xfId="0" applyFont="1" applyBorder="1" applyAlignment="1"/>
    <xf numFmtId="0" fontId="9" fillId="0" borderId="9" xfId="0" applyFont="1" applyBorder="1" applyAlignment="1">
      <alignment horizontal="center" vertical="center" shrinkToFit="1"/>
    </xf>
    <xf numFmtId="0" fontId="11" fillId="0" borderId="8" xfId="0" applyFont="1" applyBorder="1">
      <alignment vertical="center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" fillId="2" borderId="1" xfId="3" applyFont="1" applyFill="1" applyBorder="1"/>
    <xf numFmtId="0" fontId="2" fillId="2" borderId="2" xfId="3" applyFont="1" applyFill="1" applyBorder="1"/>
    <xf numFmtId="0" fontId="3" fillId="0" borderId="2" xfId="3" applyFont="1" applyBorder="1"/>
    <xf numFmtId="0" fontId="3" fillId="2" borderId="2" xfId="3" applyFont="1" applyFill="1" applyBorder="1"/>
    <xf numFmtId="0" fontId="4" fillId="0" borderId="3" xfId="0" applyFont="1" applyBorder="1" applyAlignment="1"/>
    <xf numFmtId="0" fontId="3" fillId="0" borderId="8" xfId="3" applyFont="1" applyBorder="1"/>
    <xf numFmtId="49" fontId="3" fillId="0" borderId="0" xfId="3" applyNumberFormat="1" applyFont="1" applyAlignment="1">
      <alignment horizontal="center"/>
    </xf>
    <xf numFmtId="182" fontId="3" fillId="0" borderId="0" xfId="0" applyNumberFormat="1" applyFont="1" applyAlignment="1"/>
    <xf numFmtId="182" fontId="3" fillId="0" borderId="0" xfId="0" applyNumberFormat="1" applyFont="1" applyAlignment="1">
      <alignment horizontal="left"/>
    </xf>
    <xf numFmtId="0" fontId="3" fillId="0" borderId="3" xfId="3" applyFont="1" applyBorder="1"/>
    <xf numFmtId="0" fontId="3" fillId="0" borderId="5" xfId="3" applyFont="1" applyBorder="1" applyAlignment="1">
      <alignment horizontal="left"/>
    </xf>
    <xf numFmtId="0" fontId="3" fillId="0" borderId="6" xfId="3" applyFont="1" applyBorder="1" applyAlignment="1">
      <alignment horizontal="left"/>
    </xf>
    <xf numFmtId="0" fontId="3" fillId="0" borderId="6" xfId="3" applyFont="1" applyBorder="1"/>
    <xf numFmtId="0" fontId="3" fillId="0" borderId="7" xfId="3" applyFont="1" applyBorder="1"/>
    <xf numFmtId="0" fontId="3" fillId="0" borderId="5" xfId="3" applyFont="1" applyBorder="1"/>
    <xf numFmtId="0" fontId="2" fillId="0" borderId="2" xfId="3" applyFont="1" applyBorder="1"/>
    <xf numFmtId="0" fontId="3" fillId="0" borderId="4" xfId="3" applyFont="1" applyBorder="1"/>
    <xf numFmtId="0" fontId="2" fillId="0" borderId="1" xfId="3" applyFont="1" applyBorder="1"/>
    <xf numFmtId="0" fontId="4" fillId="0" borderId="3" xfId="1" applyFont="1" applyBorder="1" applyAlignment="1">
      <alignment horizontal="left"/>
    </xf>
    <xf numFmtId="0" fontId="2" fillId="0" borderId="0" xfId="1" applyFont="1" applyAlignment="1">
      <alignment horizontal="left"/>
    </xf>
    <xf numFmtId="0" fontId="2" fillId="0" borderId="8" xfId="1" applyFont="1" applyBorder="1" applyAlignment="1">
      <alignment horizontal="left"/>
    </xf>
    <xf numFmtId="0" fontId="3" fillId="0" borderId="5" xfId="1" applyFont="1" applyBorder="1"/>
    <xf numFmtId="0" fontId="2" fillId="0" borderId="0" xfId="3" applyFont="1"/>
    <xf numFmtId="0" fontId="4" fillId="0" borderId="0" xfId="3" applyFont="1"/>
    <xf numFmtId="0" fontId="3" fillId="0" borderId="5" xfId="0" applyFont="1" applyBorder="1" applyAlignment="1"/>
    <xf numFmtId="0" fontId="3" fillId="0" borderId="6" xfId="0" applyFont="1" applyBorder="1" applyAlignment="1"/>
    <xf numFmtId="0" fontId="4" fillId="0" borderId="5" xfId="0" applyFont="1" applyBorder="1" applyAlignment="1"/>
    <xf numFmtId="0" fontId="2" fillId="0" borderId="3" xfId="3" applyFont="1" applyBorder="1"/>
    <xf numFmtId="0" fontId="22" fillId="0" borderId="8" xfId="1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0" fontId="23" fillId="0" borderId="9" xfId="3" applyFont="1" applyBorder="1" applyAlignment="1">
      <alignment horizontal="center" vertical="center"/>
    </xf>
    <xf numFmtId="0" fontId="23" fillId="2" borderId="9" xfId="3" applyFont="1" applyFill="1" applyBorder="1" applyAlignment="1">
      <alignment horizontal="center" vertical="center"/>
    </xf>
    <xf numFmtId="0" fontId="23" fillId="0" borderId="9" xfId="3" applyFont="1" applyBorder="1" applyAlignment="1">
      <alignment horizontal="center" vertical="center" wrapText="1"/>
    </xf>
    <xf numFmtId="186" fontId="8" fillId="0" borderId="9" xfId="0" applyNumberFormat="1" applyFont="1" applyBorder="1" applyAlignment="1">
      <alignment horizontal="center" vertical="center" wrapText="1" shrinkToFit="1"/>
    </xf>
    <xf numFmtId="0" fontId="8" fillId="0" borderId="9" xfId="0" applyFont="1" applyBorder="1" applyAlignment="1">
      <alignment horizontal="center" vertical="center" wrapText="1" shrinkToFit="1"/>
    </xf>
    <xf numFmtId="0" fontId="24" fillId="0" borderId="9" xfId="0" applyFont="1" applyBorder="1" applyAlignment="1">
      <alignment horizontal="center" vertical="center"/>
    </xf>
    <xf numFmtId="178" fontId="9" fillId="0" borderId="9" xfId="0" applyNumberFormat="1" applyFont="1" applyBorder="1" applyAlignment="1">
      <alignment horizontal="center" vertical="center" wrapText="1" shrinkToFit="1"/>
    </xf>
    <xf numFmtId="0" fontId="9" fillId="0" borderId="12" xfId="0" applyFont="1" applyBorder="1" applyAlignment="1">
      <alignment horizontal="center" vertical="center" wrapText="1" shrinkToFit="1"/>
    </xf>
    <xf numFmtId="0" fontId="7" fillId="0" borderId="9" xfId="0" applyFont="1" applyBorder="1" applyAlignment="1">
      <alignment horizontal="center" vertical="center" wrapText="1" shrinkToFit="1"/>
    </xf>
    <xf numFmtId="0" fontId="7" fillId="0" borderId="9" xfId="3" applyFont="1" applyBorder="1" applyAlignment="1">
      <alignment horizontal="center"/>
    </xf>
    <xf numFmtId="183" fontId="7" fillId="0" borderId="9" xfId="3" applyNumberFormat="1" applyFont="1" applyBorder="1" applyAlignment="1">
      <alignment horizontal="center"/>
    </xf>
    <xf numFmtId="178" fontId="7" fillId="0" borderId="9" xfId="3" applyNumberFormat="1" applyFont="1" applyBorder="1" applyAlignment="1">
      <alignment horizontal="center"/>
    </xf>
    <xf numFmtId="0" fontId="7" fillId="0" borderId="0" xfId="0" applyFont="1" applyAlignment="1">
      <alignment horizontal="center" vertical="center" wrapText="1" shrinkToFit="1"/>
    </xf>
    <xf numFmtId="0" fontId="7" fillId="0" borderId="0" xfId="3" applyFont="1"/>
    <xf numFmtId="0" fontId="7" fillId="0" borderId="0" xfId="3" applyFont="1" applyAlignment="1">
      <alignment horizontal="left"/>
    </xf>
    <xf numFmtId="183" fontId="7" fillId="0" borderId="0" xfId="3" applyNumberFormat="1" applyFont="1" applyAlignment="1">
      <alignment horizontal="left"/>
    </xf>
    <xf numFmtId="178" fontId="7" fillId="0" borderId="0" xfId="3" applyNumberFormat="1" applyFont="1" applyAlignment="1">
      <alignment horizontal="center"/>
    </xf>
    <xf numFmtId="0" fontId="17" fillId="0" borderId="0" xfId="0" applyFont="1" applyAlignment="1"/>
    <xf numFmtId="0" fontId="17" fillId="0" borderId="2" xfId="0" applyFont="1" applyBorder="1" applyAlignment="1"/>
    <xf numFmtId="0" fontId="17" fillId="0" borderId="6" xfId="0" applyFont="1" applyBorder="1">
      <alignment vertical="center"/>
    </xf>
    <xf numFmtId="0" fontId="17" fillId="0" borderId="2" xfId="0" applyFont="1" applyBorder="1">
      <alignment vertical="center"/>
    </xf>
    <xf numFmtId="0" fontId="17" fillId="0" borderId="0" xfId="0" applyFont="1">
      <alignment vertical="center"/>
    </xf>
    <xf numFmtId="0" fontId="25" fillId="0" borderId="0" xfId="0" applyFont="1">
      <alignment vertical="center"/>
    </xf>
    <xf numFmtId="0" fontId="6" fillId="0" borderId="6" xfId="1" applyFont="1" applyBorder="1"/>
    <xf numFmtId="0" fontId="17" fillId="0" borderId="6" xfId="0" applyFont="1" applyBorder="1" applyAlignment="1"/>
    <xf numFmtId="0" fontId="26" fillId="2" borderId="9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0" fontId="23" fillId="0" borderId="9" xfId="1" applyFont="1" applyBorder="1" applyAlignment="1">
      <alignment horizontal="center"/>
    </xf>
    <xf numFmtId="0" fontId="8" fillId="2" borderId="9" xfId="3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 shrinkToFit="1"/>
    </xf>
    <xf numFmtId="184" fontId="7" fillId="0" borderId="9" xfId="3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184" fontId="7" fillId="0" borderId="0" xfId="3" applyNumberFormat="1" applyFont="1" applyAlignment="1">
      <alignment horizontal="center"/>
    </xf>
    <xf numFmtId="0" fontId="18" fillId="0" borderId="0" xfId="0" applyFont="1" applyAlignment="1"/>
    <xf numFmtId="0" fontId="10" fillId="0" borderId="0" xfId="0" applyFont="1" applyAlignment="1">
      <alignment horizontal="center" vertical="center"/>
    </xf>
    <xf numFmtId="0" fontId="21" fillId="0" borderId="1" xfId="3" applyFont="1" applyBorder="1" applyAlignment="1">
      <alignment horizontal="center"/>
    </xf>
    <xf numFmtId="0" fontId="21" fillId="0" borderId="2" xfId="3" applyFont="1" applyBorder="1" applyAlignment="1">
      <alignment horizontal="center"/>
    </xf>
    <xf numFmtId="0" fontId="3" fillId="0" borderId="3" xfId="3" applyFont="1" applyBorder="1" applyAlignment="1">
      <alignment horizontal="center"/>
    </xf>
    <xf numFmtId="0" fontId="3" fillId="0" borderId="0" xfId="3" applyFont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182" fontId="3" fillId="0" borderId="5" xfId="0" applyNumberFormat="1" applyFont="1" applyBorder="1" applyAlignment="1">
      <alignment horizontal="left"/>
    </xf>
    <xf numFmtId="182" fontId="3" fillId="0" borderId="7" xfId="0" applyNumberFormat="1" applyFont="1" applyBorder="1" applyAlignment="1">
      <alignment horizontal="left"/>
    </xf>
    <xf numFmtId="0" fontId="7" fillId="0" borderId="9" xfId="3" applyFont="1" applyBorder="1" applyAlignment="1">
      <alignment horizontal="center"/>
    </xf>
    <xf numFmtId="0" fontId="13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/>
    </xf>
    <xf numFmtId="0" fontId="8" fillId="0" borderId="10" xfId="3" applyFont="1" applyBorder="1" applyAlignment="1">
      <alignment horizontal="center" vertical="center"/>
    </xf>
    <xf numFmtId="0" fontId="8" fillId="0" borderId="11" xfId="3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7" fillId="0" borderId="3" xfId="3" applyFont="1" applyBorder="1" applyAlignment="1">
      <alignment horizontal="left" vertical="center"/>
    </xf>
    <xf numFmtId="0" fontId="7" fillId="0" borderId="0" xfId="3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3" fillId="0" borderId="3" xfId="3" applyFont="1" applyBorder="1" applyAlignment="1">
      <alignment horizontal="left" vertical="center" wrapText="1"/>
    </xf>
    <xf numFmtId="0" fontId="3" fillId="0" borderId="0" xfId="3" applyFont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3" fillId="0" borderId="0" xfId="1" applyFont="1" applyAlignment="1">
      <alignment vertical="center" wrapText="1"/>
    </xf>
  </cellXfs>
  <cellStyles count="6">
    <cellStyle name="一般" xfId="0" builtinId="0"/>
    <cellStyle name="一般_OMRON" xfId="3" xr:uid="{00000000-0005-0000-0000-000033000000}"/>
    <cellStyle name="一般_OMRON海運出口" xfId="1" xr:uid="{00000000-0005-0000-0000-00001F000000}"/>
    <cellStyle name="一般_合同1207TW" xfId="2" xr:uid="{00000000-0005-0000-0000-00002D000000}"/>
    <cellStyle name="常规_Sheet1_1" xfId="4" xr:uid="{00000000-0005-0000-0000-000034000000}"/>
    <cellStyle name="常规_啟德一般貿易" xfId="5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9"/>
  <sheetViews>
    <sheetView tabSelected="1" view="pageBreakPreview" topLeftCell="A26" zoomScaleNormal="100" workbookViewId="0">
      <selection activeCell="N29" sqref="N29"/>
    </sheetView>
  </sheetViews>
  <sheetFormatPr defaultColWidth="9" defaultRowHeight="22.5"/>
  <cols>
    <col min="1" max="1" width="8" style="62" customWidth="1"/>
    <col min="2" max="2" width="16.75" style="62" customWidth="1"/>
    <col min="3" max="3" width="16.25" style="62" customWidth="1"/>
    <col min="4" max="4" width="26.625" style="62" customWidth="1"/>
    <col min="5" max="5" width="12.375" style="62" customWidth="1"/>
    <col min="6" max="6" width="9" style="62"/>
    <col min="7" max="7" width="11.625" style="62" customWidth="1"/>
    <col min="8" max="9" width="9" style="62"/>
    <col min="10" max="10" width="7.375" style="62" customWidth="1"/>
    <col min="11" max="11" width="6.5" style="62" customWidth="1"/>
    <col min="12" max="12" width="7.25" style="62" customWidth="1"/>
    <col min="13" max="13" width="8.875" style="62" customWidth="1"/>
    <col min="14" max="14" width="27.875" style="62" customWidth="1"/>
    <col min="15" max="15" width="13.875" style="62" customWidth="1"/>
    <col min="16" max="16384" width="9" style="62"/>
  </cols>
  <sheetData>
    <row r="1" spans="1:14" ht="51.95" customHeight="1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1:14" ht="13.5">
      <c r="A2" s="63" t="s">
        <v>1</v>
      </c>
      <c r="B2" s="64"/>
      <c r="C2" s="65"/>
      <c r="D2" s="23"/>
      <c r="E2" s="63" t="s">
        <v>2</v>
      </c>
      <c r="F2" s="66"/>
      <c r="G2" s="66"/>
      <c r="H2" s="65"/>
      <c r="I2" s="65"/>
      <c r="J2" s="113"/>
      <c r="K2" s="113"/>
      <c r="L2" s="113"/>
      <c r="M2" s="113"/>
      <c r="N2" s="113"/>
    </row>
    <row r="3" spans="1:14" ht="13.5">
      <c r="A3" s="67" t="s">
        <v>3</v>
      </c>
      <c r="B3" s="8"/>
      <c r="C3" s="17"/>
      <c r="D3" s="68"/>
      <c r="E3" s="10" t="s">
        <v>4</v>
      </c>
      <c r="F3" s="17"/>
      <c r="G3" s="69"/>
      <c r="H3" s="69"/>
      <c r="I3" s="17"/>
      <c r="J3" s="112"/>
      <c r="K3" s="112"/>
      <c r="L3" s="112"/>
      <c r="M3" s="112"/>
      <c r="N3" s="112"/>
    </row>
    <row r="4" spans="1:14" ht="13.5">
      <c r="A4" s="149" t="s">
        <v>5</v>
      </c>
      <c r="B4" s="150"/>
      <c r="C4" s="150"/>
      <c r="D4" s="151"/>
      <c r="E4" s="12">
        <v>45993</v>
      </c>
      <c r="F4" s="70"/>
      <c r="G4" s="70"/>
      <c r="H4" s="71"/>
      <c r="I4" s="17"/>
      <c r="J4" s="112"/>
      <c r="K4" s="112"/>
      <c r="L4" s="112"/>
      <c r="M4" s="112"/>
      <c r="N4" s="112"/>
    </row>
    <row r="5" spans="1:14" ht="13.5">
      <c r="A5" s="149"/>
      <c r="B5" s="150"/>
      <c r="C5" s="150"/>
      <c r="D5" s="151"/>
      <c r="E5" s="72"/>
      <c r="F5" s="17"/>
      <c r="G5" s="17"/>
      <c r="H5" s="17"/>
      <c r="I5" s="17"/>
      <c r="J5" s="112"/>
      <c r="K5" s="112"/>
      <c r="L5" s="112"/>
      <c r="M5" s="112"/>
      <c r="N5" s="112"/>
    </row>
    <row r="6" spans="1:14" ht="13.5">
      <c r="A6" s="73"/>
      <c r="B6" s="74"/>
      <c r="C6" s="75"/>
      <c r="D6" s="76"/>
      <c r="E6" s="77"/>
      <c r="F6" s="75"/>
      <c r="G6" s="75"/>
      <c r="H6" s="75"/>
      <c r="I6" s="75"/>
      <c r="J6" s="114"/>
      <c r="K6" s="114"/>
      <c r="L6" s="114"/>
      <c r="M6" s="114"/>
      <c r="N6" s="114"/>
    </row>
    <row r="7" spans="1:14" ht="13.5">
      <c r="A7" s="63" t="s">
        <v>6</v>
      </c>
      <c r="B7" s="78"/>
      <c r="C7" s="65"/>
      <c r="D7" s="79"/>
      <c r="E7" s="80" t="s">
        <v>7</v>
      </c>
      <c r="F7" s="65"/>
      <c r="G7" s="65"/>
      <c r="H7" s="65"/>
      <c r="I7" s="65"/>
      <c r="J7" s="115"/>
      <c r="K7" s="116"/>
      <c r="L7" s="116"/>
      <c r="M7" s="116"/>
      <c r="N7" s="116"/>
    </row>
    <row r="8" spans="1:14" ht="13.5">
      <c r="A8" s="81" t="s">
        <v>8</v>
      </c>
      <c r="B8" s="8"/>
      <c r="C8" s="82"/>
      <c r="D8" s="83"/>
      <c r="E8" s="72" t="s">
        <v>9</v>
      </c>
      <c r="F8" s="17"/>
      <c r="G8" s="17"/>
      <c r="H8" s="17"/>
      <c r="I8" s="17"/>
      <c r="J8" s="116"/>
      <c r="K8" s="116"/>
      <c r="L8" s="116"/>
      <c r="M8" s="116"/>
      <c r="N8" s="116"/>
    </row>
    <row r="9" spans="1:14" ht="13.5">
      <c r="A9" s="149" t="s">
        <v>10</v>
      </c>
      <c r="B9" s="150"/>
      <c r="C9" s="150"/>
      <c r="D9" s="151"/>
      <c r="E9" s="133"/>
      <c r="F9" s="134"/>
      <c r="G9" s="134"/>
      <c r="H9" s="134"/>
      <c r="I9" s="134"/>
      <c r="J9" s="117"/>
      <c r="K9" s="117"/>
      <c r="L9" s="117"/>
      <c r="M9" s="117"/>
      <c r="N9" s="117"/>
    </row>
    <row r="10" spans="1:14" ht="13.5">
      <c r="A10" s="149"/>
      <c r="B10" s="150"/>
      <c r="C10" s="150"/>
      <c r="D10" s="151"/>
      <c r="E10" s="72"/>
      <c r="F10" s="17"/>
      <c r="G10" s="17"/>
      <c r="H10" s="17"/>
      <c r="I10" s="17"/>
      <c r="J10" s="117"/>
      <c r="K10" s="117"/>
      <c r="L10" s="117"/>
      <c r="M10" s="117"/>
      <c r="N10" s="117"/>
    </row>
    <row r="11" spans="1:14" ht="13.5">
      <c r="A11" s="63" t="s">
        <v>11</v>
      </c>
      <c r="B11" s="65"/>
      <c r="C11" s="65"/>
      <c r="D11" s="79"/>
      <c r="E11" s="80" t="s">
        <v>12</v>
      </c>
      <c r="F11" s="65"/>
      <c r="G11" s="65"/>
      <c r="H11" s="65"/>
      <c r="I11" s="65"/>
      <c r="J11" s="65"/>
      <c r="K11" s="65"/>
      <c r="L11" s="65"/>
      <c r="M11" s="65"/>
      <c r="N11" s="65"/>
    </row>
    <row r="12" spans="1:14" ht="13.5">
      <c r="A12" s="15" t="s">
        <v>8</v>
      </c>
      <c r="B12" s="8"/>
      <c r="C12" s="8"/>
      <c r="D12" s="68"/>
      <c r="E12" s="72" t="s">
        <v>13</v>
      </c>
      <c r="F12" s="20"/>
      <c r="G12" s="20"/>
      <c r="H12" s="20"/>
      <c r="I12" s="20"/>
      <c r="J12" s="112"/>
      <c r="K12" s="112"/>
      <c r="L12" s="112"/>
      <c r="M12" s="112"/>
      <c r="N12" s="112"/>
    </row>
    <row r="13" spans="1:14" ht="13.5">
      <c r="A13" s="15" t="s">
        <v>10</v>
      </c>
      <c r="B13" s="8"/>
      <c r="C13" s="8"/>
      <c r="D13" s="68"/>
      <c r="E13" s="72"/>
      <c r="F13" s="20"/>
      <c r="G13" s="20"/>
      <c r="H13" s="20"/>
      <c r="I13" s="20"/>
      <c r="J13" s="112"/>
      <c r="K13" s="112"/>
      <c r="L13" s="112"/>
      <c r="M13" s="112"/>
      <c r="N13" s="112"/>
    </row>
    <row r="14" spans="1:14" ht="13.5">
      <c r="A14" s="84"/>
      <c r="B14" s="28"/>
      <c r="C14" s="28"/>
      <c r="D14" s="76"/>
      <c r="E14" s="77"/>
      <c r="F14" s="75"/>
      <c r="G14" s="75"/>
      <c r="H14" s="75"/>
      <c r="I14" s="118"/>
      <c r="J14" s="112"/>
      <c r="K14" s="112"/>
      <c r="L14" s="112"/>
      <c r="M14" s="112"/>
      <c r="N14" s="112"/>
    </row>
    <row r="15" spans="1:14" ht="13.5">
      <c r="A15" s="80" t="s">
        <v>14</v>
      </c>
      <c r="B15" s="65"/>
      <c r="C15" s="80" t="s">
        <v>15</v>
      </c>
      <c r="D15" s="79"/>
      <c r="E15" s="85" t="s">
        <v>16</v>
      </c>
      <c r="F15" s="9"/>
      <c r="G15" s="9"/>
      <c r="H15" s="9"/>
      <c r="I15" s="17"/>
      <c r="J15" s="113"/>
      <c r="K15" s="113"/>
      <c r="L15" s="113"/>
      <c r="M15" s="113"/>
      <c r="N15" s="113"/>
    </row>
    <row r="16" spans="1:14" ht="13.5">
      <c r="A16" s="135"/>
      <c r="B16" s="136"/>
      <c r="C16" s="135"/>
      <c r="D16" s="136"/>
      <c r="E16" s="86"/>
      <c r="F16" s="17"/>
      <c r="G16" s="17"/>
      <c r="H16" s="17"/>
      <c r="I16" s="17"/>
      <c r="J16" s="112"/>
      <c r="K16" s="112"/>
      <c r="L16" s="112"/>
      <c r="M16" s="112"/>
      <c r="N16" s="112"/>
    </row>
    <row r="17" spans="1:15" ht="13.5">
      <c r="A17" s="87"/>
      <c r="B17" s="88"/>
      <c r="C17" s="89"/>
      <c r="D17" s="76"/>
      <c r="E17" s="86"/>
      <c r="F17" s="20"/>
      <c r="G17" s="17"/>
      <c r="H17" s="17"/>
      <c r="I17" s="17"/>
      <c r="J17" s="112"/>
      <c r="K17" s="112"/>
      <c r="L17" s="112"/>
      <c r="M17" s="112"/>
      <c r="N17" s="112"/>
    </row>
    <row r="18" spans="1:15" ht="13.5">
      <c r="A18" s="80" t="s">
        <v>17</v>
      </c>
      <c r="B18" s="79"/>
      <c r="C18" s="90" t="s">
        <v>18</v>
      </c>
      <c r="D18" s="91"/>
      <c r="E18" s="86"/>
      <c r="F18" s="20"/>
      <c r="G18" s="17"/>
      <c r="H18" s="17"/>
      <c r="I18" s="17"/>
      <c r="J18" s="112"/>
      <c r="K18" s="112"/>
      <c r="L18" s="112"/>
      <c r="M18" s="112"/>
      <c r="N18" s="112"/>
    </row>
    <row r="19" spans="1:15" ht="13.5">
      <c r="A19" s="25"/>
      <c r="B19" s="92"/>
      <c r="C19" s="137"/>
      <c r="D19" s="138"/>
      <c r="E19" s="93" t="s">
        <v>19</v>
      </c>
      <c r="F19" s="94" t="s">
        <v>20</v>
      </c>
      <c r="G19" s="75"/>
      <c r="H19" s="75"/>
      <c r="I19" s="75"/>
      <c r="J19" s="119"/>
      <c r="K19" s="112"/>
      <c r="L19" s="112"/>
      <c r="M19" s="112"/>
      <c r="N19" s="112"/>
    </row>
    <row r="20" spans="1:15" ht="15.75">
      <c r="A20" s="95" t="s">
        <v>21</v>
      </c>
      <c r="B20" s="96" t="s">
        <v>22</v>
      </c>
      <c r="C20" s="96" t="s">
        <v>23</v>
      </c>
      <c r="D20" s="97" t="s">
        <v>24</v>
      </c>
      <c r="E20" s="96" t="s">
        <v>25</v>
      </c>
      <c r="F20" s="96" t="s">
        <v>26</v>
      </c>
      <c r="G20" s="96" t="s">
        <v>27</v>
      </c>
      <c r="H20" s="96" t="s">
        <v>28</v>
      </c>
      <c r="I20" s="96" t="s">
        <v>29</v>
      </c>
      <c r="J20" s="120" t="s">
        <v>30</v>
      </c>
      <c r="K20" s="120" t="s">
        <v>31</v>
      </c>
      <c r="L20" s="121" t="s">
        <v>32</v>
      </c>
      <c r="M20" s="121" t="s">
        <v>33</v>
      </c>
      <c r="N20" s="121" t="s">
        <v>34</v>
      </c>
      <c r="O20" s="122" t="s">
        <v>35</v>
      </c>
    </row>
    <row r="21" spans="1:15" s="61" customFormat="1" ht="20.100000000000001" customHeight="1">
      <c r="A21" s="31">
        <v>1</v>
      </c>
      <c r="B21" s="32" t="s">
        <v>36</v>
      </c>
      <c r="C21" s="32">
        <v>2250900341</v>
      </c>
      <c r="D21" s="33" t="s">
        <v>37</v>
      </c>
      <c r="E21" s="32">
        <v>2000</v>
      </c>
      <c r="F21" s="98" t="s">
        <v>38</v>
      </c>
      <c r="G21" s="32">
        <v>0.17</v>
      </c>
      <c r="H21" s="99" t="s">
        <v>39</v>
      </c>
      <c r="I21" s="123">
        <f t="shared" ref="I21:I26" si="0">E21*G21</f>
        <v>340</v>
      </c>
      <c r="J21" s="99" t="s">
        <v>40</v>
      </c>
      <c r="K21" s="124"/>
      <c r="L21" s="125" t="s">
        <v>41</v>
      </c>
      <c r="M21" s="125" t="s">
        <v>41</v>
      </c>
      <c r="N21" s="33" t="s">
        <v>37</v>
      </c>
      <c r="O21" s="35">
        <v>2.0499999999999998</v>
      </c>
    </row>
    <row r="22" spans="1:15" s="61" customFormat="1" ht="20.100000000000001" customHeight="1">
      <c r="A22" s="145">
        <v>2</v>
      </c>
      <c r="B22" s="32" t="s">
        <v>42</v>
      </c>
      <c r="C22" s="32">
        <v>2250802498</v>
      </c>
      <c r="D22" s="33" t="s">
        <v>43</v>
      </c>
      <c r="E22" s="32">
        <v>16000</v>
      </c>
      <c r="F22" s="98" t="s">
        <v>38</v>
      </c>
      <c r="G22" s="32">
        <v>2.8899999999999999E-2</v>
      </c>
      <c r="H22" s="99" t="s">
        <v>39</v>
      </c>
      <c r="I22" s="123">
        <f t="shared" si="0"/>
        <v>462.4</v>
      </c>
      <c r="J22" s="99" t="s">
        <v>40</v>
      </c>
      <c r="K22" s="124"/>
      <c r="L22" s="125" t="s">
        <v>41</v>
      </c>
      <c r="M22" s="125" t="s">
        <v>41</v>
      </c>
      <c r="N22" s="33" t="s">
        <v>43</v>
      </c>
      <c r="O22" s="35">
        <v>0.45</v>
      </c>
    </row>
    <row r="23" spans="1:15" s="61" customFormat="1" ht="20.100000000000001" customHeight="1">
      <c r="A23" s="146"/>
      <c r="B23" s="32" t="s">
        <v>42</v>
      </c>
      <c r="C23" s="32">
        <v>2250900505</v>
      </c>
      <c r="D23" s="33" t="s">
        <v>43</v>
      </c>
      <c r="E23" s="32">
        <v>36000</v>
      </c>
      <c r="F23" s="98" t="s">
        <v>38</v>
      </c>
      <c r="G23" s="32">
        <v>2.8899999999999999E-2</v>
      </c>
      <c r="H23" s="99" t="s">
        <v>39</v>
      </c>
      <c r="I23" s="123">
        <f t="shared" si="0"/>
        <v>1040.3999999999999</v>
      </c>
      <c r="J23" s="99" t="s">
        <v>40</v>
      </c>
      <c r="K23" s="124"/>
      <c r="L23" s="125" t="s">
        <v>41</v>
      </c>
      <c r="M23" s="125" t="s">
        <v>41</v>
      </c>
      <c r="N23" s="33" t="s">
        <v>43</v>
      </c>
      <c r="O23" s="35">
        <v>1</v>
      </c>
    </row>
    <row r="24" spans="1:15" ht="20.100000000000001" customHeight="1">
      <c r="A24" s="147">
        <v>3</v>
      </c>
      <c r="B24" s="36" t="s">
        <v>44</v>
      </c>
      <c r="C24" s="100">
        <v>2250802498</v>
      </c>
      <c r="D24" s="36" t="s">
        <v>45</v>
      </c>
      <c r="E24" s="32">
        <v>8000</v>
      </c>
      <c r="F24" s="98" t="s">
        <v>38</v>
      </c>
      <c r="G24" s="101">
        <v>1.8599999999999998E-2</v>
      </c>
      <c r="H24" s="99" t="s">
        <v>39</v>
      </c>
      <c r="I24" s="123">
        <f t="shared" si="0"/>
        <v>148.79999999999998</v>
      </c>
      <c r="J24" s="99" t="s">
        <v>40</v>
      </c>
      <c r="K24" s="99"/>
      <c r="L24" s="125" t="s">
        <v>41</v>
      </c>
      <c r="M24" s="125" t="s">
        <v>41</v>
      </c>
      <c r="N24" s="36" t="s">
        <v>45</v>
      </c>
      <c r="O24" s="35">
        <v>0.19</v>
      </c>
    </row>
    <row r="25" spans="1:15" ht="20.100000000000001" customHeight="1">
      <c r="A25" s="148"/>
      <c r="B25" s="102" t="s">
        <v>44</v>
      </c>
      <c r="C25" s="102">
        <v>2250900505</v>
      </c>
      <c r="D25" s="102" t="s">
        <v>45</v>
      </c>
      <c r="E25" s="36">
        <v>40000</v>
      </c>
      <c r="F25" s="98" t="s">
        <v>38</v>
      </c>
      <c r="G25" s="101">
        <v>1.8599999999999998E-2</v>
      </c>
      <c r="H25" s="99" t="s">
        <v>39</v>
      </c>
      <c r="I25" s="123">
        <f t="shared" si="0"/>
        <v>743.99999999999989</v>
      </c>
      <c r="J25" s="99" t="s">
        <v>40</v>
      </c>
      <c r="K25" s="99"/>
      <c r="L25" s="125" t="s">
        <v>41</v>
      </c>
      <c r="M25" s="125" t="s">
        <v>41</v>
      </c>
      <c r="N25" s="102" t="s">
        <v>45</v>
      </c>
      <c r="O25" s="35">
        <v>0.96</v>
      </c>
    </row>
    <row r="26" spans="1:15" ht="20.100000000000001" customHeight="1">
      <c r="A26" s="37">
        <v>4</v>
      </c>
      <c r="B26" s="102" t="s">
        <v>46</v>
      </c>
      <c r="C26" s="102">
        <v>2250400290</v>
      </c>
      <c r="D26" s="102" t="s">
        <v>47</v>
      </c>
      <c r="E26" s="36">
        <v>10000</v>
      </c>
      <c r="F26" s="98" t="s">
        <v>38</v>
      </c>
      <c r="G26" s="101">
        <v>2.9499999999999998E-2</v>
      </c>
      <c r="H26" s="99" t="s">
        <v>39</v>
      </c>
      <c r="I26" s="123">
        <f t="shared" si="0"/>
        <v>295</v>
      </c>
      <c r="J26" s="99" t="s">
        <v>40</v>
      </c>
      <c r="K26" s="99"/>
      <c r="L26" s="125" t="s">
        <v>41</v>
      </c>
      <c r="M26" s="125" t="s">
        <v>41</v>
      </c>
      <c r="N26" s="102" t="s">
        <v>47</v>
      </c>
      <c r="O26" s="35">
        <v>0.3</v>
      </c>
    </row>
    <row r="27" spans="1:15" ht="20.100000000000001" customHeight="1">
      <c r="A27" s="103"/>
      <c r="B27" s="104"/>
      <c r="C27" s="139" t="s">
        <v>48</v>
      </c>
      <c r="D27" s="139"/>
      <c r="E27" s="105"/>
      <c r="F27" s="104"/>
      <c r="G27" s="106"/>
      <c r="H27" s="106"/>
      <c r="I27" s="126">
        <f>SUM(I21:I26)</f>
        <v>3030.5999999999995</v>
      </c>
      <c r="J27" s="127"/>
      <c r="K27" s="127"/>
      <c r="L27" s="127"/>
      <c r="M27" s="127"/>
      <c r="N27" s="127"/>
      <c r="O27" s="43" t="s">
        <v>49</v>
      </c>
    </row>
    <row r="28" spans="1:15" ht="24.95" customHeight="1">
      <c r="A28" s="107"/>
      <c r="B28" s="108"/>
      <c r="C28" s="109"/>
      <c r="D28" s="109"/>
      <c r="E28" s="110"/>
      <c r="F28" s="108"/>
      <c r="G28" s="111"/>
      <c r="H28" s="111"/>
      <c r="I28" s="128"/>
      <c r="J28" s="129"/>
      <c r="K28" s="129"/>
      <c r="L28" s="129"/>
      <c r="M28" s="129"/>
      <c r="N28" s="129"/>
      <c r="O28" s="130"/>
    </row>
    <row r="29" spans="1:15" ht="30" customHeight="1">
      <c r="A29" s="140" t="s">
        <v>50</v>
      </c>
      <c r="B29" s="140"/>
      <c r="C29" s="141" t="s">
        <v>51</v>
      </c>
      <c r="D29" s="141"/>
    </row>
    <row r="30" spans="1:15" ht="30" customHeight="1">
      <c r="A30" s="140" t="s">
        <v>52</v>
      </c>
      <c r="B30" s="140"/>
      <c r="C30" s="142">
        <v>2358</v>
      </c>
      <c r="D30" s="142"/>
    </row>
    <row r="31" spans="1:15" ht="78" customHeight="1">
      <c r="A31" s="140" t="s">
        <v>53</v>
      </c>
      <c r="B31" s="140"/>
      <c r="C31" s="141" t="s">
        <v>54</v>
      </c>
      <c r="D31" s="141"/>
      <c r="F31" s="112"/>
    </row>
    <row r="32" spans="1:15" ht="30" customHeight="1">
      <c r="A32" s="140" t="s">
        <v>55</v>
      </c>
      <c r="B32" s="140"/>
      <c r="C32" s="141" t="s">
        <v>56</v>
      </c>
      <c r="D32" s="141"/>
    </row>
    <row r="33" spans="1:4" ht="30" customHeight="1">
      <c r="A33" s="140" t="s">
        <v>57</v>
      </c>
      <c r="B33" s="140"/>
      <c r="C33" s="143" t="s">
        <v>20</v>
      </c>
      <c r="D33" s="143"/>
    </row>
    <row r="34" spans="1:4" ht="30" customHeight="1">
      <c r="A34" s="140" t="s">
        <v>58</v>
      </c>
      <c r="B34" s="140"/>
      <c r="C34" s="143" t="s">
        <v>59</v>
      </c>
      <c r="D34" s="141"/>
    </row>
    <row r="35" spans="1:4" ht="30" customHeight="1">
      <c r="A35" s="140" t="s">
        <v>60</v>
      </c>
      <c r="B35" s="140"/>
      <c r="C35" s="143" t="s">
        <v>59</v>
      </c>
      <c r="D35" s="141"/>
    </row>
    <row r="36" spans="1:4" ht="30" customHeight="1">
      <c r="A36" s="140" t="s">
        <v>61</v>
      </c>
      <c r="B36" s="140"/>
      <c r="C36" s="141" t="s">
        <v>62</v>
      </c>
      <c r="D36" s="141"/>
    </row>
    <row r="37" spans="1:4" ht="30" customHeight="1">
      <c r="A37" s="144" t="s">
        <v>63</v>
      </c>
      <c r="B37" s="144"/>
      <c r="C37" s="141" t="s">
        <v>13</v>
      </c>
      <c r="D37" s="141"/>
    </row>
    <row r="38" spans="1:4" ht="30" customHeight="1">
      <c r="A38" s="140" t="s">
        <v>64</v>
      </c>
      <c r="B38" s="140"/>
      <c r="C38" s="141" t="s">
        <v>40</v>
      </c>
      <c r="D38" s="141"/>
    </row>
    <row r="39" spans="1:4" ht="30" customHeight="1">
      <c r="A39" s="140" t="s">
        <v>65</v>
      </c>
      <c r="B39" s="140"/>
      <c r="C39" s="143" t="s">
        <v>66</v>
      </c>
      <c r="D39" s="141"/>
    </row>
  </sheetData>
  <mergeCells count="32">
    <mergeCell ref="A22:A23"/>
    <mergeCell ref="A24:A25"/>
    <mergeCell ref="A4:D5"/>
    <mergeCell ref="A9:D10"/>
    <mergeCell ref="A37:B37"/>
    <mergeCell ref="C37:D37"/>
    <mergeCell ref="A38:B38"/>
    <mergeCell ref="C38:D38"/>
    <mergeCell ref="A39:B39"/>
    <mergeCell ref="C39:D39"/>
    <mergeCell ref="A34:B34"/>
    <mergeCell ref="C34:D34"/>
    <mergeCell ref="A35:B35"/>
    <mergeCell ref="C35:D35"/>
    <mergeCell ref="A36:B36"/>
    <mergeCell ref="C36:D36"/>
    <mergeCell ref="A31:B31"/>
    <mergeCell ref="C31:D31"/>
    <mergeCell ref="A32:B32"/>
    <mergeCell ref="C32:D32"/>
    <mergeCell ref="A33:B33"/>
    <mergeCell ref="C33:D33"/>
    <mergeCell ref="C27:D27"/>
    <mergeCell ref="A29:B29"/>
    <mergeCell ref="C29:D29"/>
    <mergeCell ref="A30:B30"/>
    <mergeCell ref="C30:D30"/>
    <mergeCell ref="A1:N1"/>
    <mergeCell ref="E9:I9"/>
    <mergeCell ref="A16:B16"/>
    <mergeCell ref="C16:D16"/>
    <mergeCell ref="C19:D19"/>
  </mergeCells>
  <pageMargins left="0.196527777777778" right="0.156944444444444" top="0.27500000000000002" bottom="1" header="0.5" footer="0.5"/>
  <pageSetup paperSize="9" scale="52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41"/>
  <sheetViews>
    <sheetView topLeftCell="A16" workbookViewId="0">
      <selection activeCell="N32" sqref="N32"/>
    </sheetView>
  </sheetViews>
  <sheetFormatPr defaultColWidth="9" defaultRowHeight="20.100000000000001" customHeight="1"/>
  <cols>
    <col min="1" max="1" width="9" style="1"/>
    <col min="2" max="2" width="13.5" customWidth="1"/>
    <col min="3" max="3" width="19.75" customWidth="1"/>
    <col min="4" max="4" width="31.25" customWidth="1"/>
    <col min="5" max="5" width="15" customWidth="1"/>
    <col min="6" max="6" width="10.25" customWidth="1"/>
    <col min="7" max="7" width="14.5" style="2" customWidth="1"/>
    <col min="8" max="8" width="13.875" style="2" customWidth="1"/>
    <col min="9" max="9" width="16.875" customWidth="1"/>
  </cols>
  <sheetData>
    <row r="1" spans="1:9" ht="44.1" customHeight="1">
      <c r="A1" s="152" t="s">
        <v>67</v>
      </c>
      <c r="B1" s="153"/>
      <c r="C1" s="153"/>
      <c r="D1" s="153"/>
      <c r="E1" s="153"/>
      <c r="F1" s="153"/>
      <c r="G1" s="153"/>
      <c r="H1" s="153"/>
      <c r="I1" s="154"/>
    </row>
    <row r="2" spans="1:9" ht="20.100000000000001" customHeight="1">
      <c r="A2" s="3" t="s">
        <v>1</v>
      </c>
      <c r="B2" s="4"/>
      <c r="C2" s="5"/>
      <c r="D2" s="5"/>
      <c r="E2" s="4" t="s">
        <v>68</v>
      </c>
      <c r="F2" s="5"/>
      <c r="G2" s="6"/>
      <c r="H2" s="6"/>
      <c r="I2" s="56"/>
    </row>
    <row r="3" spans="1:9" ht="20.100000000000001" customHeight="1">
      <c r="A3" s="7" t="s">
        <v>3</v>
      </c>
      <c r="B3" s="8"/>
      <c r="C3" s="9"/>
      <c r="D3" s="9"/>
      <c r="E3" s="10" t="s">
        <v>4</v>
      </c>
      <c r="F3" s="9"/>
      <c r="G3" s="11"/>
      <c r="H3" s="11"/>
      <c r="I3" s="56"/>
    </row>
    <row r="4" spans="1:9" ht="20.100000000000001" customHeight="1">
      <c r="A4" s="166" t="s">
        <v>5</v>
      </c>
      <c r="B4" s="167"/>
      <c r="C4" s="167"/>
      <c r="D4" s="167"/>
      <c r="E4" s="12">
        <v>45993</v>
      </c>
      <c r="F4" s="9"/>
      <c r="G4" s="11"/>
      <c r="H4" s="11"/>
      <c r="I4" s="56"/>
    </row>
    <row r="5" spans="1:9" ht="20.100000000000001" customHeight="1">
      <c r="A5" s="166"/>
      <c r="B5" s="167"/>
      <c r="C5" s="167"/>
      <c r="D5" s="167"/>
      <c r="E5" s="13"/>
      <c r="F5" s="9"/>
      <c r="G5" s="11"/>
      <c r="H5" s="11"/>
      <c r="I5" s="56"/>
    </row>
    <row r="6" spans="1:9" ht="18" customHeight="1">
      <c r="A6" s="14" t="s">
        <v>6</v>
      </c>
      <c r="B6" s="4"/>
      <c r="C6" s="5"/>
      <c r="D6" s="5"/>
      <c r="E6" s="4" t="s">
        <v>69</v>
      </c>
      <c r="F6" s="9"/>
      <c r="G6" s="11"/>
      <c r="H6" s="11"/>
      <c r="I6" s="56"/>
    </row>
    <row r="7" spans="1:9" ht="18" customHeight="1">
      <c r="A7" s="15" t="s">
        <v>8</v>
      </c>
      <c r="B7" s="8"/>
      <c r="C7" s="9"/>
      <c r="D7" s="9"/>
      <c r="E7" s="16"/>
      <c r="F7" s="17"/>
      <c r="G7" s="18"/>
      <c r="H7" s="18"/>
      <c r="I7" s="56"/>
    </row>
    <row r="8" spans="1:9" ht="18" customHeight="1">
      <c r="A8" s="168" t="s">
        <v>10</v>
      </c>
      <c r="B8" s="169"/>
      <c r="C8" s="169"/>
      <c r="D8" s="169"/>
      <c r="E8" s="16"/>
      <c r="F8" s="9"/>
      <c r="G8" s="11"/>
      <c r="H8" s="18"/>
      <c r="I8" s="56"/>
    </row>
    <row r="9" spans="1:9" ht="18" customHeight="1">
      <c r="A9" s="168"/>
      <c r="B9" s="169"/>
      <c r="C9" s="169"/>
      <c r="D9" s="169"/>
      <c r="E9" s="16"/>
      <c r="F9" s="9"/>
      <c r="G9" s="11"/>
      <c r="H9" s="18"/>
      <c r="I9" s="56"/>
    </row>
    <row r="10" spans="1:9" ht="18" customHeight="1">
      <c r="A10" s="14" t="s">
        <v>11</v>
      </c>
      <c r="B10" s="16"/>
      <c r="C10" s="9"/>
      <c r="D10" s="9"/>
      <c r="E10" s="19"/>
      <c r="F10" s="20"/>
      <c r="G10" s="11"/>
      <c r="H10" s="11"/>
      <c r="I10" s="56"/>
    </row>
    <row r="11" spans="1:9" ht="18" customHeight="1">
      <c r="A11" s="15" t="s">
        <v>8</v>
      </c>
      <c r="B11" s="8"/>
      <c r="C11" s="9"/>
      <c r="D11" s="9"/>
      <c r="E11" s="19"/>
      <c r="F11" s="20"/>
      <c r="G11" s="11"/>
      <c r="H11" s="11"/>
      <c r="I11" s="56"/>
    </row>
    <row r="12" spans="1:9" ht="18" customHeight="1">
      <c r="A12" s="168" t="s">
        <v>10</v>
      </c>
      <c r="B12" s="169"/>
      <c r="C12" s="169"/>
      <c r="D12" s="169"/>
      <c r="E12" s="9"/>
      <c r="F12" s="9"/>
      <c r="G12" s="11"/>
      <c r="H12" s="11"/>
      <c r="I12" s="56"/>
    </row>
    <row r="13" spans="1:9" ht="18" customHeight="1">
      <c r="A13" s="168"/>
      <c r="B13" s="169"/>
      <c r="C13" s="169"/>
      <c r="D13" s="169"/>
      <c r="E13" s="155"/>
      <c r="F13" s="155"/>
      <c r="G13" s="21"/>
      <c r="H13" s="22"/>
      <c r="I13" s="56"/>
    </row>
    <row r="14" spans="1:9" ht="18" customHeight="1">
      <c r="A14" s="3" t="s">
        <v>70</v>
      </c>
      <c r="B14" s="4"/>
      <c r="C14" s="23"/>
      <c r="D14" s="4" t="s">
        <v>71</v>
      </c>
      <c r="E14" s="155"/>
      <c r="F14" s="155"/>
      <c r="G14" s="24"/>
      <c r="H14" s="11"/>
      <c r="I14" s="56"/>
    </row>
    <row r="15" spans="1:9" ht="18" customHeight="1">
      <c r="A15" s="156"/>
      <c r="B15" s="157"/>
      <c r="C15" s="158"/>
      <c r="D15" s="25"/>
      <c r="E15" s="155"/>
      <c r="F15" s="155"/>
      <c r="G15" s="24"/>
      <c r="H15" s="11"/>
      <c r="I15" s="56"/>
    </row>
    <row r="16" spans="1:9" ht="18" customHeight="1">
      <c r="A16" s="3" t="s">
        <v>17</v>
      </c>
      <c r="B16" s="16"/>
      <c r="C16" s="26"/>
      <c r="D16" s="4" t="s">
        <v>18</v>
      </c>
      <c r="E16" s="9"/>
      <c r="F16" s="9"/>
      <c r="G16" s="11"/>
      <c r="H16" s="11"/>
      <c r="I16" s="56"/>
    </row>
    <row r="17" spans="1:9" ht="18" customHeight="1">
      <c r="A17" s="156"/>
      <c r="B17" s="157"/>
      <c r="C17" s="158"/>
      <c r="D17" s="27"/>
      <c r="E17" s="28"/>
      <c r="F17" s="28"/>
      <c r="G17" s="29"/>
      <c r="H17" s="29"/>
      <c r="I17" s="56"/>
    </row>
    <row r="18" spans="1:9" ht="20.100000000000001" customHeight="1">
      <c r="A18" s="159" t="s">
        <v>72</v>
      </c>
      <c r="B18" s="160" t="s">
        <v>23</v>
      </c>
      <c r="C18" s="160" t="s">
        <v>22</v>
      </c>
      <c r="D18" s="160" t="s">
        <v>24</v>
      </c>
      <c r="E18" s="161" t="s">
        <v>25</v>
      </c>
      <c r="F18" s="161" t="s">
        <v>26</v>
      </c>
      <c r="G18" s="30" t="s">
        <v>73</v>
      </c>
      <c r="H18" s="30" t="s">
        <v>74</v>
      </c>
      <c r="I18" s="162" t="s">
        <v>75</v>
      </c>
    </row>
    <row r="19" spans="1:9" ht="20.100000000000001" customHeight="1">
      <c r="A19" s="159"/>
      <c r="B19" s="160"/>
      <c r="C19" s="160"/>
      <c r="D19" s="160"/>
      <c r="E19" s="161"/>
      <c r="F19" s="161"/>
      <c r="G19" s="30" t="s">
        <v>76</v>
      </c>
      <c r="H19" s="30" t="s">
        <v>76</v>
      </c>
      <c r="I19" s="163"/>
    </row>
    <row r="20" spans="1:9" ht="20.100000000000001" customHeight="1">
      <c r="A20" s="31">
        <v>1</v>
      </c>
      <c r="B20" s="32">
        <v>2250900341</v>
      </c>
      <c r="C20" s="32" t="s">
        <v>36</v>
      </c>
      <c r="D20" s="33" t="s">
        <v>37</v>
      </c>
      <c r="E20" s="32">
        <v>2000</v>
      </c>
      <c r="F20" s="34" t="s">
        <v>38</v>
      </c>
      <c r="G20" s="35">
        <v>2.0499999999999998</v>
      </c>
      <c r="H20" s="35">
        <v>2.4</v>
      </c>
      <c r="I20" s="57" t="s">
        <v>77</v>
      </c>
    </row>
    <row r="21" spans="1:9" ht="20.100000000000001" customHeight="1">
      <c r="A21" s="145">
        <v>2</v>
      </c>
      <c r="B21" s="32">
        <v>2250802498</v>
      </c>
      <c r="C21" s="32" t="s">
        <v>42</v>
      </c>
      <c r="D21" s="33" t="s">
        <v>43</v>
      </c>
      <c r="E21" s="32">
        <v>16000</v>
      </c>
      <c r="F21" s="34" t="s">
        <v>38</v>
      </c>
      <c r="G21" s="35">
        <v>0.45</v>
      </c>
      <c r="H21" s="35">
        <v>0.57999999999999996</v>
      </c>
      <c r="I21" s="164" t="s">
        <v>78</v>
      </c>
    </row>
    <row r="22" spans="1:9" ht="20.100000000000001" customHeight="1">
      <c r="A22" s="146"/>
      <c r="B22" s="32">
        <v>2250900505</v>
      </c>
      <c r="C22" s="32" t="s">
        <v>42</v>
      </c>
      <c r="D22" s="33" t="s">
        <v>43</v>
      </c>
      <c r="E22" s="32">
        <v>36000</v>
      </c>
      <c r="F22" s="34" t="s">
        <v>38</v>
      </c>
      <c r="G22" s="35">
        <v>1</v>
      </c>
      <c r="H22" s="35">
        <v>1.05</v>
      </c>
      <c r="I22" s="165"/>
    </row>
    <row r="23" spans="1:9" ht="20.100000000000001" customHeight="1">
      <c r="A23" s="147">
        <v>3</v>
      </c>
      <c r="B23" s="36">
        <v>2250802498</v>
      </c>
      <c r="C23" s="36" t="s">
        <v>44</v>
      </c>
      <c r="D23" s="36" t="s">
        <v>45</v>
      </c>
      <c r="E23" s="32">
        <v>8000</v>
      </c>
      <c r="F23" s="34" t="s">
        <v>38</v>
      </c>
      <c r="G23" s="35">
        <v>0.19</v>
      </c>
      <c r="H23" s="35">
        <v>0.27</v>
      </c>
      <c r="I23" s="164" t="s">
        <v>78</v>
      </c>
    </row>
    <row r="24" spans="1:9" ht="20.100000000000001" customHeight="1">
      <c r="A24" s="148"/>
      <c r="B24" s="36">
        <v>2250900505</v>
      </c>
      <c r="C24" s="36" t="s">
        <v>44</v>
      </c>
      <c r="D24" s="36" t="s">
        <v>45</v>
      </c>
      <c r="E24" s="36">
        <v>40000</v>
      </c>
      <c r="F24" s="34" t="s">
        <v>38</v>
      </c>
      <c r="G24" s="35">
        <v>0.96</v>
      </c>
      <c r="H24" s="35">
        <v>1.33</v>
      </c>
      <c r="I24" s="165"/>
    </row>
    <row r="25" spans="1:9" ht="20.100000000000001" customHeight="1">
      <c r="A25" s="37">
        <v>4</v>
      </c>
      <c r="B25" s="36">
        <v>2250400290</v>
      </c>
      <c r="C25" s="36" t="s">
        <v>46</v>
      </c>
      <c r="D25" s="36" t="s">
        <v>47</v>
      </c>
      <c r="E25" s="36">
        <v>10000</v>
      </c>
      <c r="F25" s="34" t="s">
        <v>38</v>
      </c>
      <c r="G25" s="35">
        <v>0.3</v>
      </c>
      <c r="H25" s="35">
        <v>0.7</v>
      </c>
      <c r="I25" s="57" t="s">
        <v>77</v>
      </c>
    </row>
    <row r="26" spans="1:9" ht="20.100000000000001" customHeight="1">
      <c r="A26" s="38"/>
      <c r="B26" s="39"/>
      <c r="C26" s="40"/>
      <c r="D26" s="41" t="s">
        <v>79</v>
      </c>
      <c r="E26" s="42">
        <f>SUM(E20:E25)</f>
        <v>112000</v>
      </c>
      <c r="F26" s="41"/>
      <c r="G26" s="43" t="s">
        <v>49</v>
      </c>
      <c r="H26" s="44" t="s">
        <v>80</v>
      </c>
      <c r="I26" s="44"/>
    </row>
    <row r="27" spans="1:9" ht="20.100000000000001" customHeight="1">
      <c r="A27" s="45"/>
      <c r="B27" s="46"/>
      <c r="C27" s="46"/>
      <c r="D27" s="47" t="s">
        <v>81</v>
      </c>
      <c r="E27" s="48">
        <v>4</v>
      </c>
      <c r="F27" s="46"/>
      <c r="G27" s="49"/>
      <c r="H27" s="49"/>
      <c r="I27" s="58"/>
    </row>
    <row r="28" spans="1:9" ht="20.100000000000001" customHeight="1">
      <c r="A28" s="50"/>
      <c r="D28" s="51" t="s">
        <v>82</v>
      </c>
      <c r="E28" s="52" t="s">
        <v>66</v>
      </c>
      <c r="I28" s="59"/>
    </row>
    <row r="29" spans="1:9" ht="20.100000000000001" customHeight="1">
      <c r="A29" s="50"/>
      <c r="D29" s="51" t="s">
        <v>83</v>
      </c>
      <c r="E29" s="52" t="s">
        <v>59</v>
      </c>
      <c r="I29" s="59"/>
    </row>
    <row r="30" spans="1:9" ht="20.100000000000001" customHeight="1">
      <c r="A30" s="53"/>
      <c r="B30" s="54"/>
      <c r="C30" s="54"/>
      <c r="D30" s="54"/>
      <c r="E30" s="54"/>
      <c r="F30" s="54"/>
      <c r="G30" s="55"/>
      <c r="H30" s="55"/>
      <c r="I30" s="60"/>
    </row>
    <row r="31" spans="1:9" ht="41.1" customHeight="1">
      <c r="A31" s="140" t="s">
        <v>50</v>
      </c>
      <c r="B31" s="140"/>
      <c r="C31" s="141" t="s">
        <v>51</v>
      </c>
      <c r="D31" s="141"/>
    </row>
    <row r="32" spans="1:9" ht="27.95" customHeight="1">
      <c r="A32" s="140" t="s">
        <v>52</v>
      </c>
      <c r="B32" s="140"/>
      <c r="C32" s="142">
        <v>2358</v>
      </c>
      <c r="D32" s="142"/>
    </row>
    <row r="33" spans="1:7" ht="59.1" customHeight="1">
      <c r="A33" s="140" t="s">
        <v>53</v>
      </c>
      <c r="B33" s="140"/>
      <c r="C33" s="141" t="s">
        <v>54</v>
      </c>
      <c r="D33" s="141"/>
      <c r="G33"/>
    </row>
    <row r="34" spans="1:7" ht="33.950000000000003" customHeight="1">
      <c r="A34" s="140" t="s">
        <v>55</v>
      </c>
      <c r="B34" s="140"/>
      <c r="C34" s="141" t="s">
        <v>56</v>
      </c>
      <c r="D34" s="141"/>
    </row>
    <row r="35" spans="1:7" ht="32.1" customHeight="1">
      <c r="A35" s="140" t="s">
        <v>57</v>
      </c>
      <c r="B35" s="140"/>
      <c r="C35" s="143" t="s">
        <v>20</v>
      </c>
      <c r="D35" s="143"/>
    </row>
    <row r="36" spans="1:7" ht="20.100000000000001" customHeight="1">
      <c r="A36" s="140" t="s">
        <v>58</v>
      </c>
      <c r="B36" s="140"/>
      <c r="C36" s="143" t="s">
        <v>59</v>
      </c>
      <c r="D36" s="141"/>
    </row>
    <row r="37" spans="1:7" ht="20.100000000000001" customHeight="1">
      <c r="A37" s="140" t="s">
        <v>60</v>
      </c>
      <c r="B37" s="140"/>
      <c r="C37" s="143" t="s">
        <v>59</v>
      </c>
      <c r="D37" s="141"/>
    </row>
    <row r="38" spans="1:7" ht="30" customHeight="1">
      <c r="A38" s="140" t="s">
        <v>61</v>
      </c>
      <c r="B38" s="140"/>
      <c r="C38" s="141" t="s">
        <v>62</v>
      </c>
      <c r="D38" s="141"/>
    </row>
    <row r="39" spans="1:7" ht="20.100000000000001" customHeight="1">
      <c r="A39" s="144" t="s">
        <v>63</v>
      </c>
      <c r="B39" s="144"/>
      <c r="C39" s="141" t="s">
        <v>13</v>
      </c>
      <c r="D39" s="141"/>
    </row>
    <row r="40" spans="1:7" ht="20.100000000000001" customHeight="1">
      <c r="A40" s="140" t="s">
        <v>64</v>
      </c>
      <c r="B40" s="140"/>
      <c r="C40" s="141" t="s">
        <v>40</v>
      </c>
      <c r="D40" s="141"/>
    </row>
    <row r="41" spans="1:7" ht="20.100000000000001" customHeight="1">
      <c r="A41" s="140" t="s">
        <v>65</v>
      </c>
      <c r="B41" s="140"/>
      <c r="C41" s="143" t="s">
        <v>66</v>
      </c>
      <c r="D41" s="141"/>
    </row>
  </sheetData>
  <mergeCells count="42">
    <mergeCell ref="E18:E19"/>
    <mergeCell ref="F18:F19"/>
    <mergeCell ref="I18:I19"/>
    <mergeCell ref="I21:I22"/>
    <mergeCell ref="I23:I24"/>
    <mergeCell ref="A39:B39"/>
    <mergeCell ref="C39:D39"/>
    <mergeCell ref="A40:B40"/>
    <mergeCell ref="C40:D40"/>
    <mergeCell ref="A41:B41"/>
    <mergeCell ref="C41:D41"/>
    <mergeCell ref="A36:B36"/>
    <mergeCell ref="C36:D36"/>
    <mergeCell ref="A37:B37"/>
    <mergeCell ref="C37:D37"/>
    <mergeCell ref="A38:B38"/>
    <mergeCell ref="C38:D38"/>
    <mergeCell ref="A33:B33"/>
    <mergeCell ref="C33:D33"/>
    <mergeCell ref="A34:B34"/>
    <mergeCell ref="C34:D34"/>
    <mergeCell ref="A35:B35"/>
    <mergeCell ref="C35:D35"/>
    <mergeCell ref="A17:C17"/>
    <mergeCell ref="A31:B31"/>
    <mergeCell ref="C31:D31"/>
    <mergeCell ref="A32:B32"/>
    <mergeCell ref="C32:D32"/>
    <mergeCell ref="A18:A19"/>
    <mergeCell ref="A21:A22"/>
    <mergeCell ref="A23:A24"/>
    <mergeCell ref="B18:B19"/>
    <mergeCell ref="C18:C19"/>
    <mergeCell ref="D18:D19"/>
    <mergeCell ref="A1:I1"/>
    <mergeCell ref="E13:F13"/>
    <mergeCell ref="E14:F14"/>
    <mergeCell ref="A15:C15"/>
    <mergeCell ref="E15:F15"/>
    <mergeCell ref="A4:D5"/>
    <mergeCell ref="A8:D9"/>
    <mergeCell ref="A12:D13"/>
  </mergeCells>
  <pageMargins left="0.31458333333333299" right="0.23611111111111099" top="0.27500000000000002" bottom="0.118055555555556" header="0.5" footer="0.5"/>
  <pageSetup paperSize="9" scale="6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D000208</dc:creator>
  <cp:keywords/>
  <dc:description/>
  <cp:lastModifiedBy>Alex Liou</cp:lastModifiedBy>
  <cp:revision/>
  <dcterms:created xsi:type="dcterms:W3CDTF">2025-07-17T08:11:00Z</dcterms:created>
  <dcterms:modified xsi:type="dcterms:W3CDTF">2025-12-03T14:00:02Z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