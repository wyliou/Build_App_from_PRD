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xr:revisionPtr revIDLastSave="0" documentId="11_8D8B712A72FBCED858858B47B00F84D2B6309B2D" xr6:coauthVersionLast="47" xr6:coauthVersionMax="47" xr10:uidLastSave="{00000000-0000-0000-0000-000000000000}"/>
  <bookViews>
    <workbookView xWindow="0" yWindow="0" windowWidth="20490" windowHeight="7860" xr2:uid="{00000000-000D-0000-FFFF-FFFF00000000}"/>
  </bookViews>
  <sheets>
    <sheet name="INVOICE" sheetId="1" r:id="rId1"/>
    <sheet name="PACKING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" i="2" l="1"/>
  <c r="H26" i="2"/>
  <c r="F26" i="2"/>
  <c r="A25" i="2"/>
  <c r="A24" i="2"/>
  <c r="A23" i="2"/>
  <c r="A15" i="2"/>
  <c r="A14" i="2"/>
  <c r="A10" i="2"/>
  <c r="A9" i="2"/>
  <c r="F5" i="2"/>
  <c r="A5" i="2"/>
  <c r="F4" i="2"/>
  <c r="A4" i="2"/>
  <c r="O23" i="1"/>
  <c r="I23" i="1"/>
  <c r="E23" i="1"/>
  <c r="I22" i="1"/>
  <c r="I21" i="1"/>
  <c r="I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D000208</author>
  </authors>
  <commentList>
    <comment ref="K19" authorId="0" shapeId="0" xr:uid="{00000000-0006-0000-0000-000001000000}">
      <text>
        <r>
          <rPr>
            <sz val="14"/>
            <rFont val="宋体"/>
            <charset val="134"/>
          </rPr>
          <t>若是集成电路，需提供晶圆制造地,非集成电路,无需晶圆制造地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D000208</author>
  </authors>
  <commentList>
    <comment ref="E29" authorId="0" shapeId="0" xr:uid="{00000000-0006-0000-0100-000001000000}">
      <text>
        <r>
          <rPr>
            <sz val="10"/>
            <rFont val="宋体"/>
            <charset val="134"/>
          </rPr>
          <t xml:space="preserve">若是托盘，则需要注明托盘材质
</t>
        </r>
      </text>
    </comment>
  </commentList>
</comments>
</file>

<file path=xl/sharedStrings.xml><?xml version="1.0" encoding="utf-8"?>
<sst xmlns="http://schemas.openxmlformats.org/spreadsheetml/2006/main" count="114" uniqueCount="80">
  <si>
    <t>COMMERCIAL INVOICE</t>
  </si>
  <si>
    <t>Shipper/Exporter</t>
  </si>
  <si>
    <t>No. &amp; Date of Invoice</t>
  </si>
  <si>
    <r>
      <rPr>
        <sz val="10"/>
        <rFont val="Arial"/>
        <charset val="134"/>
      </rPr>
      <t>Jama Technology</t>
    </r>
    <r>
      <rPr>
        <sz val="10"/>
        <rFont val="宋体"/>
        <charset val="134"/>
      </rPr>
      <t>（</t>
    </r>
    <r>
      <rPr>
        <sz val="10"/>
        <rFont val="Arial"/>
        <charset val="134"/>
      </rPr>
      <t>Hongkong</t>
    </r>
    <r>
      <rPr>
        <sz val="10"/>
        <rFont val="宋体"/>
        <charset val="134"/>
      </rPr>
      <t>）</t>
    </r>
    <r>
      <rPr>
        <sz val="10"/>
        <rFont val="Arial"/>
        <charset val="134"/>
      </rPr>
      <t>Company Limited</t>
    </r>
  </si>
  <si>
    <t>20005025120801</t>
  </si>
  <si>
    <t>ROOM D10/FTOWER A BILLION CENTRE 1 WANG KWONG ROAD KOWLOON BAY KL HONGKONG</t>
  </si>
  <si>
    <t>Bill To:</t>
  </si>
  <si>
    <t xml:space="preserve"> Payment Term</t>
  </si>
  <si>
    <t>中磊電子（蘇州）有限公司</t>
  </si>
  <si>
    <t>SN_FTM 180
Days</t>
  </si>
  <si>
    <r>
      <rPr>
        <sz val="10"/>
        <rFont val="宋体"/>
        <charset val="134"/>
      </rPr>
      <t>地址：江苏省苏州市苏州工业园区唐庄路</t>
    </r>
    <r>
      <rPr>
        <sz val="10"/>
        <rFont val="Arial"/>
        <charset val="134"/>
      </rPr>
      <t>8</t>
    </r>
    <r>
      <rPr>
        <sz val="10"/>
        <rFont val="宋体"/>
        <charset val="134"/>
      </rPr>
      <t>号</t>
    </r>
  </si>
  <si>
    <t>Ship To:</t>
  </si>
  <si>
    <t xml:space="preserve"> Trade Term</t>
  </si>
  <si>
    <t>DAP-SZ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</si>
  <si>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</si>
  <si>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</si>
  <si>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</si>
  <si>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</si>
  <si>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</si>
  <si>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</si>
  <si>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中国香港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</si>
  <si>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</si>
  <si>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</si>
  <si>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</si>
  <si>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</si>
  <si>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</si>
  <si>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</si>
  <si>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</si>
  <si>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</si>
  <si>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</si>
  <si>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</si>
  <si>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</si>
  <si>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</si>
  <si>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</si>
  <si>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</si>
  <si>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</si>
  <si>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r>
      <rPr>
        <sz val="10"/>
        <color theme="1"/>
        <rFont val="宋体"/>
        <charset val="134"/>
      </rPr>
      <t>项号</t>
    </r>
  </si>
  <si>
    <t>1</t>
  </si>
  <si>
    <t>911052121MS</t>
  </si>
  <si>
    <t>2250701165</t>
  </si>
  <si>
    <r>
      <rPr>
        <sz val="8"/>
        <rFont val="宋体"/>
        <charset val="134"/>
      </rPr>
      <t>中文品名：电源适配器</t>
    </r>
    <r>
      <rPr>
        <sz val="8"/>
        <rFont val="Arial"/>
        <charset val="134"/>
      </rPr>
      <t xml:space="preserve">
PWR W MS-V0500R120-012H0-DE
SB067-V1,12V/0.5A 5.5x2.1x9.5 EU VI
(HF) SMP</t>
    </r>
  </si>
  <si>
    <t>PCS</t>
  </si>
  <si>
    <t>USD</t>
  </si>
  <si>
    <t>中国</t>
  </si>
  <si>
    <t>MOSO</t>
  </si>
  <si>
    <t>境内自主品牌</t>
  </si>
  <si>
    <t>MS-V0500R120-012H0-DE</t>
  </si>
  <si>
    <t>911152124MS</t>
  </si>
  <si>
    <t>2250700287</t>
  </si>
  <si>
    <r>
      <rPr>
        <sz val="8"/>
        <rFont val="宋体"/>
        <charset val="134"/>
      </rPr>
      <t xml:space="preserve">中文品名：电源适配器
</t>
    </r>
    <r>
      <rPr>
        <sz val="8"/>
        <rFont val="Arial"/>
        <charset val="134"/>
      </rPr>
      <t>PWR W MS-H1500R120-018S0-DE SB068-V0,12V/1.5A 5.5x2.1x9.5 EU VI WH (HF) SMP</t>
    </r>
  </si>
  <si>
    <t>MS-H1500R120-018S0-DE</t>
  </si>
  <si>
    <t>911302120MS</t>
  </si>
  <si>
    <t>2250301749</t>
  </si>
  <si>
    <r>
      <rPr>
        <sz val="8"/>
        <rFont val="宋体"/>
        <charset val="134"/>
      </rPr>
      <t>中文品名：电源适配器</t>
    </r>
    <r>
      <rPr>
        <sz val="8"/>
        <rFont val="Arial"/>
        <charset val="134"/>
      </rPr>
      <t xml:space="preserve">
PWR W MS-V3000R120-036L0-DE,(UA),12V 3A 5.5x2.5x9.5 EU VI SMP</t>
    </r>
  </si>
  <si>
    <t>MS-V3000R120-036L0-DE</t>
  </si>
  <si>
    <t xml:space="preserve">                  TOTAL</t>
  </si>
  <si>
    <t>1.进境口岸关别代码 ：2369（昆山综保）</t>
  </si>
  <si>
    <t>2.申报地口岸关别代码 ：2369（昆山综保）</t>
  </si>
  <si>
    <t>3.报关行名称及代码 ：昆山聚通报关有限公司 3223680003</t>
  </si>
  <si>
    <t>4.关联手册(账册）编号 ：T2369W000177</t>
  </si>
  <si>
    <t>5、运输方式：保税港区</t>
  </si>
  <si>
    <t>PACKING LIST</t>
  </si>
  <si>
    <t>No &amp; Date of Invoice</t>
  </si>
  <si>
    <t>Remarks: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</si>
  <si>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</si>
  <si>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</si>
  <si>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</si>
  <si>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</si>
  <si>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</si>
  <si>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</si>
  <si>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</si>
  <si>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中文品名：电源适配器
PWR W MS-V0500R120-012H0-DE
SB067-V1,12V/0.5A 5.5x2.1x9.5 EU VI
(HF) SMP</t>
  </si>
  <si>
    <t>45*39*33.5</t>
  </si>
  <si>
    <t>中文品名：电源适配器
PWR W MS-H1500R120-018S0-DE SB068-V0,12V/1.5A 5.5x2.1x9.5 EU VI WH (HF) SMP</t>
  </si>
  <si>
    <t>40*32*30</t>
  </si>
  <si>
    <t>TOTAL</t>
  </si>
  <si>
    <t>25.30m³</t>
  </si>
  <si>
    <t>件数</t>
  </si>
  <si>
    <t>包装种类</t>
  </si>
  <si>
    <t>天然木托/纸制或纤维板制盒/箱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</si>
</sst>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8" formatCode="yyyy/m/d;@"/>
    <numFmt numFmtId="181" formatCode="0.00_ "/>
    <numFmt numFmtId="182" formatCode="0.000_ "/>
    <numFmt numFmtId="183" formatCode="0_ "/>
    <numFmt numFmtId="184" formatCode="0.00_);[Red]\(0.00\)"/>
    <numFmt numFmtId="185" formatCode="#,##0.00_ "/>
    <numFmt numFmtId="186" formatCode="0.0000_);[Red]\(0.0000\)"/>
  </numFmts>
  <fonts count="22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color theme="1"/>
      <name val="宋体"/>
      <charset val="134"/>
      <scheme val="minor"/>
    </font>
    <font>
      <sz val="10"/>
      <name val="Arial"/>
      <charset val="134"/>
    </font>
    <font>
      <sz val="10"/>
      <color rgb="FFFF0000"/>
      <name val="宋体"/>
      <charset val="134"/>
    </font>
    <font>
      <sz val="10"/>
      <name val="Times New Roman"/>
      <charset val="134"/>
    </font>
    <font>
      <sz val="10"/>
      <name val="微软雅黑"/>
      <charset val="134"/>
    </font>
    <font>
      <sz val="10"/>
      <color rgb="FFFF0000"/>
      <name val="Arial"/>
      <charset val="134"/>
    </font>
    <font>
      <sz val="8"/>
      <name val="宋体"/>
      <charset val="134"/>
    </font>
    <font>
      <sz val="8"/>
      <name val="Arial"/>
      <charset val="134"/>
    </font>
    <font>
      <sz val="10"/>
      <name val="宋体"/>
      <charset val="134"/>
    </font>
    <font>
      <sz val="12"/>
      <name val="宋体"/>
      <charset val="134"/>
    </font>
    <font>
      <sz val="10"/>
      <name val="新細明體"/>
      <charset val="136"/>
    </font>
    <font>
      <b/>
      <sz val="10"/>
      <name val="宋体"/>
      <charset val="134"/>
    </font>
    <font>
      <b/>
      <sz val="10"/>
      <name val="新細明體"/>
      <charset val="136"/>
    </font>
    <font>
      <sz val="18"/>
      <color theme="1"/>
      <name val="宋体"/>
      <charset val="134"/>
      <scheme val="minor"/>
    </font>
    <font>
      <b/>
      <sz val="18"/>
      <name val="Arial"/>
      <charset val="134"/>
    </font>
    <font>
      <sz val="10"/>
      <color indexed="12"/>
      <name val="新細明體"/>
      <charset val="136"/>
    </font>
    <font>
      <sz val="10"/>
      <color theme="1"/>
      <name val="Arial"/>
      <charset val="134"/>
    </font>
    <font>
      <sz val="12"/>
      <name val="新細明體"/>
      <charset val="136"/>
    </font>
    <font>
      <sz val="10"/>
      <color theme="1"/>
      <name val="宋体"/>
      <charset val="134"/>
    </font>
    <font>
      <sz val="14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1" fillId="0" borderId="0">
      <alignment vertical="center"/>
    </xf>
    <xf numFmtId="0" fontId="11" fillId="0" borderId="0"/>
    <xf numFmtId="0" fontId="19" fillId="0" borderId="0"/>
    <xf numFmtId="0" fontId="11" fillId="0" borderId="0"/>
  </cellStyleXfs>
  <cellXfs count="15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1" fillId="2" borderId="5" xfId="2" applyFont="1" applyFill="1" applyBorder="1"/>
    <xf numFmtId="0" fontId="1" fillId="2" borderId="0" xfId="2" applyFont="1" applyFill="1"/>
    <xf numFmtId="0" fontId="3" fillId="2" borderId="0" xfId="2" applyFont="1" applyFill="1"/>
    <xf numFmtId="0" fontId="4" fillId="2" borderId="6" xfId="2" applyFont="1" applyFill="1" applyBorder="1"/>
    <xf numFmtId="0" fontId="3" fillId="2" borderId="5" xfId="0" applyFont="1" applyFill="1" applyBorder="1" applyAlignment="1"/>
    <xf numFmtId="0" fontId="3" fillId="2" borderId="0" xfId="2" applyFont="1" applyFill="1" applyAlignment="1">
      <alignment horizontal="left"/>
    </xf>
    <xf numFmtId="0" fontId="3" fillId="2" borderId="6" xfId="2" applyFont="1" applyFill="1" applyBorder="1"/>
    <xf numFmtId="178" fontId="3" fillId="2" borderId="5" xfId="0" applyNumberFormat="1" applyFont="1" applyFill="1" applyBorder="1" applyAlignment="1"/>
    <xf numFmtId="0" fontId="3" fillId="2" borderId="5" xfId="2" applyFont="1" applyFill="1" applyBorder="1"/>
    <xf numFmtId="0" fontId="3" fillId="2" borderId="3" xfId="4" applyFont="1" applyFill="1" applyBorder="1" applyAlignment="1">
      <alignment horizontal="left"/>
    </xf>
    <xf numFmtId="0" fontId="3" fillId="2" borderId="4" xfId="4" applyFont="1" applyFill="1" applyBorder="1"/>
    <xf numFmtId="0" fontId="3" fillId="2" borderId="4" xfId="3" applyFont="1" applyFill="1" applyBorder="1"/>
    <xf numFmtId="0" fontId="3" fillId="2" borderId="7" xfId="3" applyFont="1" applyFill="1" applyBorder="1"/>
    <xf numFmtId="0" fontId="3" fillId="2" borderId="3" xfId="2" applyFont="1" applyFill="1" applyBorder="1"/>
    <xf numFmtId="0" fontId="3" fillId="2" borderId="4" xfId="2" applyFont="1" applyFill="1" applyBorder="1"/>
    <xf numFmtId="0" fontId="1" fillId="2" borderId="1" xfId="4" applyFont="1" applyFill="1" applyBorder="1"/>
    <xf numFmtId="0" fontId="1" fillId="2" borderId="2" xfId="2" applyFont="1" applyFill="1" applyBorder="1"/>
    <xf numFmtId="0" fontId="3" fillId="2" borderId="2" xfId="2" applyFont="1" applyFill="1" applyBorder="1"/>
    <xf numFmtId="0" fontId="3" fillId="2" borderId="8" xfId="2" applyFont="1" applyFill="1" applyBorder="1"/>
    <xf numFmtId="0" fontId="3" fillId="2" borderId="5" xfId="2" applyFont="1" applyFill="1" applyBorder="1" applyAlignment="1">
      <alignment horizontal="left"/>
    </xf>
    <xf numFmtId="0" fontId="3" fillId="2" borderId="0" xfId="4" applyFont="1" applyFill="1"/>
    <xf numFmtId="0" fontId="3" fillId="2" borderId="3" xfId="0" applyFont="1" applyFill="1" applyBorder="1" applyAlignment="1"/>
    <xf numFmtId="0" fontId="3" fillId="2" borderId="4" xfId="0" applyFont="1" applyFill="1" applyBorder="1" applyAlignment="1"/>
    <xf numFmtId="0" fontId="3" fillId="2" borderId="7" xfId="2" applyFont="1" applyFill="1" applyBorder="1"/>
    <xf numFmtId="0" fontId="5" fillId="2" borderId="0" xfId="2" applyFont="1" applyFill="1"/>
    <xf numFmtId="0" fontId="6" fillId="2" borderId="0" xfId="2" applyFont="1" applyFill="1"/>
    <xf numFmtId="0" fontId="3" fillId="2" borderId="0" xfId="0" applyFont="1" applyFill="1" applyAlignment="1"/>
    <xf numFmtId="0" fontId="3" fillId="2" borderId="6" xfId="2" applyFont="1" applyFill="1" applyBorder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1" fillId="2" borderId="1" xfId="2" applyFont="1" applyFill="1" applyBorder="1"/>
    <xf numFmtId="0" fontId="4" fillId="2" borderId="8" xfId="2" applyFont="1" applyFill="1" applyBorder="1"/>
    <xf numFmtId="0" fontId="4" fillId="2" borderId="8" xfId="4" applyFont="1" applyFill="1" applyBorder="1"/>
    <xf numFmtId="181" fontId="3" fillId="2" borderId="0" xfId="0" applyNumberFormat="1" applyFont="1" applyFill="1" applyAlignment="1">
      <alignment horizontal="center" vertical="center"/>
    </xf>
    <xf numFmtId="0" fontId="3" fillId="2" borderId="3" xfId="0" applyFont="1" applyFill="1" applyBorder="1" applyAlignment="1">
      <alignment horizontal="left"/>
    </xf>
    <xf numFmtId="0" fontId="7" fillId="2" borderId="6" xfId="2" applyFont="1" applyFill="1" applyBorder="1" applyAlignment="1">
      <alignment horizontal="right"/>
    </xf>
    <xf numFmtId="0" fontId="1" fillId="2" borderId="1" xfId="4" applyFont="1" applyFill="1" applyBorder="1" applyAlignment="1">
      <alignment horizontal="center" vertical="center"/>
    </xf>
    <xf numFmtId="0" fontId="1" fillId="2" borderId="2" xfId="4" applyFont="1" applyFill="1" applyBorder="1" applyAlignment="1">
      <alignment horizontal="center" vertical="center"/>
    </xf>
    <xf numFmtId="0" fontId="1" fillId="2" borderId="2" xfId="2" applyFont="1" applyFill="1" applyBorder="1" applyAlignment="1">
      <alignment horizontal="center"/>
    </xf>
    <xf numFmtId="0" fontId="1" fillId="2" borderId="0" xfId="2" applyFont="1" applyFill="1" applyAlignment="1">
      <alignment horizontal="center"/>
    </xf>
    <xf numFmtId="0" fontId="3" fillId="2" borderId="5" xfId="0" applyFont="1" applyFill="1" applyBorder="1" applyAlignment="1">
      <alignment horizontal="center" vertical="center" wrapText="1" shrinkToFit="1"/>
    </xf>
    <xf numFmtId="0" fontId="3" fillId="2" borderId="0" xfId="0" applyFont="1" applyFill="1" applyAlignment="1">
      <alignment horizontal="center" vertical="center" wrapText="1" shrinkToFit="1"/>
    </xf>
    <xf numFmtId="182" fontId="3" fillId="2" borderId="0" xfId="0" applyNumberFormat="1" applyFont="1" applyFill="1" applyAlignment="1">
      <alignment horizontal="center" vertical="center" wrapText="1" shrinkToFit="1"/>
    </xf>
    <xf numFmtId="181" fontId="3" fillId="2" borderId="0" xfId="0" applyNumberFormat="1" applyFont="1" applyFill="1" applyAlignment="1">
      <alignment horizontal="center" vertical="center" wrapText="1" shrinkToFit="1"/>
    </xf>
    <xf numFmtId="183" fontId="1" fillId="2" borderId="5" xfId="2" applyNumberFormat="1" applyFont="1" applyFill="1" applyBorder="1" applyAlignment="1">
      <alignment horizontal="center"/>
    </xf>
    <xf numFmtId="0" fontId="1" fillId="2" borderId="0" xfId="2" applyFont="1" applyFill="1" applyAlignment="1">
      <alignment horizontal="left"/>
    </xf>
    <xf numFmtId="182" fontId="1" fillId="2" borderId="0" xfId="2" applyNumberFormat="1" applyFont="1" applyFill="1" applyAlignment="1">
      <alignment horizontal="center"/>
    </xf>
    <xf numFmtId="184" fontId="1" fillId="2" borderId="0" xfId="2" applyNumberFormat="1" applyFont="1" applyFill="1" applyAlignment="1">
      <alignment horizontal="center"/>
    </xf>
    <xf numFmtId="0" fontId="0" fillId="2" borderId="5" xfId="0" applyFill="1" applyBorder="1">
      <alignment vertical="center"/>
    </xf>
    <xf numFmtId="0" fontId="10" fillId="2" borderId="0" xfId="2" applyFont="1" applyFill="1" applyAlignment="1">
      <alignment horizontal="center" vertical="center"/>
    </xf>
    <xf numFmtId="0" fontId="10" fillId="2" borderId="0" xfId="2" applyFont="1" applyFill="1"/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11" fillId="2" borderId="0" xfId="1" applyFill="1">
      <alignment vertical="center"/>
    </xf>
    <xf numFmtId="0" fontId="2" fillId="2" borderId="7" xfId="0" applyFont="1" applyFill="1" applyBorder="1">
      <alignment vertical="center"/>
    </xf>
    <xf numFmtId="0" fontId="12" fillId="2" borderId="6" xfId="0" applyFont="1" applyFill="1" applyBorder="1" applyAlignment="1"/>
    <xf numFmtId="0" fontId="3" fillId="2" borderId="0" xfId="2" applyFont="1" applyFill="1" applyAlignment="1">
      <alignment horizontal="center" vertical="center"/>
    </xf>
    <xf numFmtId="0" fontId="13" fillId="2" borderId="8" xfId="0" applyFont="1" applyFill="1" applyBorder="1" applyAlignment="1">
      <alignment horizontal="center" vertical="center" wrapText="1"/>
    </xf>
    <xf numFmtId="184" fontId="3" fillId="2" borderId="0" xfId="0" applyNumberFormat="1" applyFont="1" applyFill="1" applyAlignment="1">
      <alignment horizontal="center" vertical="center" wrapText="1" shrinkToFit="1"/>
    </xf>
    <xf numFmtId="0" fontId="3" fillId="2" borderId="6" xfId="0" applyFont="1" applyFill="1" applyBorder="1" applyAlignment="1">
      <alignment horizontal="center" vertical="center" wrapText="1"/>
    </xf>
    <xf numFmtId="181" fontId="0" fillId="2" borderId="0" xfId="0" applyNumberFormat="1" applyFill="1">
      <alignment vertical="center"/>
    </xf>
    <xf numFmtId="184" fontId="1" fillId="2" borderId="6" xfId="2" applyNumberFormat="1" applyFont="1" applyFill="1" applyBorder="1" applyAlignment="1">
      <alignment horizont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15" fillId="2" borderId="0" xfId="0" applyFont="1" applyFill="1">
      <alignment vertical="center"/>
    </xf>
    <xf numFmtId="0" fontId="1" fillId="2" borderId="5" xfId="4" applyFont="1" applyFill="1" applyBorder="1"/>
    <xf numFmtId="0" fontId="1" fillId="2" borderId="0" xfId="4" applyFont="1" applyFill="1"/>
    <xf numFmtId="0" fontId="3" fillId="2" borderId="6" xfId="4" applyFont="1" applyFill="1" applyBorder="1"/>
    <xf numFmtId="49" fontId="3" fillId="2" borderId="0" xfId="4" applyNumberFormat="1" applyFont="1" applyFill="1" applyAlignment="1">
      <alignment horizontal="center"/>
    </xf>
    <xf numFmtId="178" fontId="3" fillId="2" borderId="5" xfId="0" applyNumberFormat="1" applyFont="1" applyFill="1" applyBorder="1" applyAlignment="1">
      <alignment horizontal="left"/>
    </xf>
    <xf numFmtId="178" fontId="3" fillId="2" borderId="0" xfId="0" applyNumberFormat="1" applyFont="1" applyFill="1" applyAlignment="1"/>
    <xf numFmtId="178" fontId="3" fillId="2" borderId="0" xfId="0" applyNumberFormat="1" applyFont="1" applyFill="1" applyAlignment="1">
      <alignment horizontal="left"/>
    </xf>
    <xf numFmtId="0" fontId="3" fillId="2" borderId="5" xfId="4" applyFont="1" applyFill="1" applyBorder="1"/>
    <xf numFmtId="0" fontId="3" fillId="2" borderId="4" xfId="4" applyFont="1" applyFill="1" applyBorder="1" applyAlignment="1">
      <alignment horizontal="left"/>
    </xf>
    <xf numFmtId="0" fontId="3" fillId="2" borderId="7" xfId="4" applyFont="1" applyFill="1" applyBorder="1"/>
    <xf numFmtId="0" fontId="3" fillId="2" borderId="3" xfId="4" applyFont="1" applyFill="1" applyBorder="1"/>
    <xf numFmtId="0" fontId="1" fillId="2" borderId="2" xfId="4" applyFont="1" applyFill="1" applyBorder="1"/>
    <xf numFmtId="0" fontId="3" fillId="2" borderId="2" xfId="4" applyFont="1" applyFill="1" applyBorder="1"/>
    <xf numFmtId="0" fontId="3" fillId="2" borderId="8" xfId="4" applyFont="1" applyFill="1" applyBorder="1"/>
    <xf numFmtId="0" fontId="10" fillId="2" borderId="5" xfId="2" applyFont="1" applyFill="1" applyBorder="1" applyAlignment="1">
      <alignment horizontal="left"/>
    </xf>
    <xf numFmtId="0" fontId="1" fillId="2" borderId="6" xfId="2" applyFont="1" applyFill="1" applyBorder="1" applyAlignment="1">
      <alignment horizontal="left"/>
    </xf>
    <xf numFmtId="0" fontId="3" fillId="2" borderId="5" xfId="4" applyFont="1" applyFill="1" applyBorder="1" applyAlignment="1">
      <alignment wrapText="1"/>
    </xf>
    <xf numFmtId="0" fontId="10" fillId="2" borderId="0" xfId="4" applyFont="1" applyFill="1"/>
    <xf numFmtId="0" fontId="10" fillId="2" borderId="3" xfId="0" applyFont="1" applyFill="1" applyBorder="1" applyAlignment="1"/>
    <xf numFmtId="0" fontId="3" fillId="2" borderId="7" xfId="0" applyFont="1" applyFill="1" applyBorder="1" applyAlignment="1">
      <alignment horizontal="center"/>
    </xf>
    <xf numFmtId="0" fontId="10" fillId="2" borderId="3" xfId="4" applyFont="1" applyFill="1" applyBorder="1"/>
    <xf numFmtId="0" fontId="10" fillId="2" borderId="4" xfId="4" applyFont="1" applyFill="1" applyBorder="1"/>
    <xf numFmtId="0" fontId="1" fillId="2" borderId="2" xfId="4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 shrinkToFit="1"/>
    </xf>
    <xf numFmtId="185" fontId="3" fillId="2" borderId="0" xfId="0" applyNumberFormat="1" applyFont="1" applyFill="1" applyAlignment="1">
      <alignment horizontal="center" vertical="center" wrapText="1" shrinkToFit="1"/>
    </xf>
    <xf numFmtId="186" fontId="3" fillId="2" borderId="0" xfId="0" applyNumberFormat="1" applyFont="1" applyFill="1" applyAlignment="1">
      <alignment horizontal="center" vertical="center" wrapText="1" shrinkToFit="1"/>
    </xf>
    <xf numFmtId="0" fontId="3" fillId="2" borderId="9" xfId="4" applyFont="1" applyFill="1" applyBorder="1"/>
    <xf numFmtId="0" fontId="3" fillId="2" borderId="10" xfId="4" applyFont="1" applyFill="1" applyBorder="1"/>
    <xf numFmtId="182" fontId="1" fillId="2" borderId="10" xfId="4" applyNumberFormat="1" applyFont="1" applyFill="1" applyBorder="1" applyAlignment="1">
      <alignment horizontal="center"/>
    </xf>
    <xf numFmtId="0" fontId="1" fillId="2" borderId="10" xfId="4" applyFont="1" applyFill="1" applyBorder="1"/>
    <xf numFmtId="186" fontId="1" fillId="2" borderId="10" xfId="4" applyNumberFormat="1" applyFont="1" applyFill="1" applyBorder="1" applyAlignment="1">
      <alignment horizontal="center"/>
    </xf>
    <xf numFmtId="0" fontId="3" fillId="3" borderId="0" xfId="0" applyFont="1" applyFill="1" applyAlignment="1"/>
    <xf numFmtId="0" fontId="12" fillId="2" borderId="0" xfId="0" applyFont="1" applyFill="1" applyAlignment="1"/>
    <xf numFmtId="0" fontId="12" fillId="2" borderId="4" xfId="0" applyFont="1" applyFill="1" applyBorder="1">
      <alignment vertical="center"/>
    </xf>
    <xf numFmtId="0" fontId="17" fillId="2" borderId="7" xfId="0" applyFont="1" applyFill="1" applyBorder="1">
      <alignment vertical="center"/>
    </xf>
    <xf numFmtId="0" fontId="12" fillId="2" borderId="2" xfId="0" applyFont="1" applyFill="1" applyBorder="1">
      <alignment vertical="center"/>
    </xf>
    <xf numFmtId="0" fontId="12" fillId="2" borderId="0" xfId="0" applyFont="1" applyFill="1">
      <alignment vertical="center"/>
    </xf>
    <xf numFmtId="0" fontId="12" fillId="2" borderId="6" xfId="0" applyFont="1" applyFill="1" applyBorder="1">
      <alignment vertical="center"/>
    </xf>
    <xf numFmtId="0" fontId="17" fillId="2" borderId="0" xfId="0" applyFont="1" applyFill="1">
      <alignment vertical="center"/>
    </xf>
    <xf numFmtId="0" fontId="17" fillId="2" borderId="6" xfId="0" applyFont="1" applyFill="1" applyBorder="1">
      <alignment vertical="center"/>
    </xf>
    <xf numFmtId="0" fontId="4" fillId="2" borderId="4" xfId="2" applyFont="1" applyFill="1" applyBorder="1"/>
    <xf numFmtId="0" fontId="12" fillId="2" borderId="2" xfId="0" applyFont="1" applyFill="1" applyBorder="1" applyAlignment="1"/>
    <xf numFmtId="0" fontId="12" fillId="2" borderId="4" xfId="0" applyFont="1" applyFill="1" applyBorder="1" applyAlignment="1"/>
    <xf numFmtId="0" fontId="18" fillId="2" borderId="0" xfId="0" applyFont="1" applyFill="1" applyAlignment="1">
      <alignment horizontal="left" vertical="center"/>
    </xf>
    <xf numFmtId="0" fontId="14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 shrinkToFit="1"/>
    </xf>
    <xf numFmtId="184" fontId="3" fillId="2" borderId="6" xfId="0" applyNumberFormat="1" applyFont="1" applyFill="1" applyBorder="1" applyAlignment="1">
      <alignment horizontal="center" vertical="center" wrapText="1" shrinkToFit="1"/>
    </xf>
    <xf numFmtId="184" fontId="1" fillId="2" borderId="10" xfId="4" applyNumberFormat="1" applyFont="1" applyFill="1" applyBorder="1" applyAlignment="1">
      <alignment horizontal="center"/>
    </xf>
    <xf numFmtId="0" fontId="14" fillId="2" borderId="10" xfId="0" applyFont="1" applyFill="1" applyBorder="1" applyAlignment="1"/>
    <xf numFmtId="184" fontId="1" fillId="2" borderId="11" xfId="4" applyNumberFormat="1" applyFont="1" applyFill="1" applyBorder="1" applyAlignment="1">
      <alignment horizontal="center"/>
    </xf>
    <xf numFmtId="0" fontId="3" fillId="2" borderId="5" xfId="0" quotePrefix="1" applyFont="1" applyFill="1" applyBorder="1" applyAlignment="1"/>
    <xf numFmtId="0" fontId="16" fillId="2" borderId="9" xfId="4" applyFont="1" applyFill="1" applyBorder="1" applyAlignment="1">
      <alignment horizontal="center"/>
    </xf>
    <xf numFmtId="0" fontId="16" fillId="2" borderId="10" xfId="4" applyFont="1" applyFill="1" applyBorder="1" applyAlignment="1">
      <alignment horizontal="center"/>
    </xf>
    <xf numFmtId="0" fontId="16" fillId="2" borderId="11" xfId="4" applyFont="1" applyFill="1" applyBorder="1" applyAlignment="1">
      <alignment horizontal="center"/>
    </xf>
    <xf numFmtId="0" fontId="3" fillId="2" borderId="5" xfId="4" applyFont="1" applyFill="1" applyBorder="1" applyAlignment="1">
      <alignment horizontal="center"/>
    </xf>
    <xf numFmtId="0" fontId="3" fillId="2" borderId="0" xfId="4" applyFont="1" applyFill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178" fontId="3" fillId="2" borderId="3" xfId="0" applyNumberFormat="1" applyFont="1" applyFill="1" applyBorder="1" applyAlignment="1">
      <alignment horizontal="left"/>
    </xf>
    <xf numFmtId="178" fontId="3" fillId="2" borderId="7" xfId="0" applyNumberFormat="1" applyFont="1" applyFill="1" applyBorder="1" applyAlignment="1">
      <alignment horizontal="left"/>
    </xf>
    <xf numFmtId="0" fontId="3" fillId="2" borderId="10" xfId="4" applyFont="1" applyFill="1" applyBorder="1" applyAlignment="1">
      <alignment horizontal="left"/>
    </xf>
    <xf numFmtId="0" fontId="3" fillId="2" borderId="5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1" fillId="2" borderId="1" xfId="2" applyFont="1" applyFill="1" applyBorder="1" applyAlignment="1">
      <alignment horizontal="center" vertical="center"/>
    </xf>
    <xf numFmtId="0" fontId="1" fillId="2" borderId="2" xfId="2" applyFont="1" applyFill="1" applyBorder="1" applyAlignment="1">
      <alignment horizontal="center" vertical="center"/>
    </xf>
    <xf numFmtId="0" fontId="1" fillId="2" borderId="8" xfId="2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8" fillId="2" borderId="0" xfId="0" applyFont="1" applyFill="1" applyAlignment="1">
      <alignment horizontal="left" vertical="center" wrapText="1" shrinkToFit="1"/>
    </xf>
    <xf numFmtId="0" fontId="9" fillId="2" borderId="0" xfId="0" applyFont="1" applyFill="1" applyAlignment="1">
      <alignment horizontal="left" vertical="center" shrinkToFit="1"/>
    </xf>
    <xf numFmtId="0" fontId="9" fillId="2" borderId="0" xfId="0" applyFont="1" applyFill="1" applyAlignment="1">
      <alignment horizontal="left" vertical="center" wrapText="1" shrinkToFit="1"/>
    </xf>
    <xf numFmtId="0" fontId="1" fillId="2" borderId="1" xfId="4" applyFont="1" applyFill="1" applyBorder="1" applyAlignment="1">
      <alignment horizontal="center" vertical="center"/>
    </xf>
    <xf numFmtId="0" fontId="1" fillId="2" borderId="5" xfId="4" applyFont="1" applyFill="1" applyBorder="1" applyAlignment="1">
      <alignment horizontal="center" vertical="center"/>
    </xf>
    <xf numFmtId="0" fontId="1" fillId="2" borderId="2" xfId="4" applyFont="1" applyFill="1" applyBorder="1" applyAlignment="1">
      <alignment horizontal="center" vertical="center"/>
    </xf>
    <xf numFmtId="0" fontId="1" fillId="2" borderId="0" xfId="4" applyFont="1" applyFill="1" applyAlignment="1">
      <alignment horizontal="center" vertical="center"/>
    </xf>
    <xf numFmtId="0" fontId="1" fillId="2" borderId="0" xfId="2" applyFont="1" applyFill="1" applyAlignment="1">
      <alignment horizontal="center" vertical="center"/>
    </xf>
    <xf numFmtId="0" fontId="13" fillId="2" borderId="8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3" fillId="2" borderId="5" xfId="4" applyFont="1" applyFill="1" applyBorder="1" applyAlignment="1">
      <alignment horizontal="left" vertical="top" wrapText="1"/>
    </xf>
    <xf numFmtId="0" fontId="3" fillId="2" borderId="0" xfId="4" applyFont="1" applyFill="1" applyAlignment="1">
      <alignment horizontal="left" vertical="top" wrapText="1"/>
    </xf>
    <xf numFmtId="0" fontId="3" fillId="2" borderId="6" xfId="4" applyFont="1" applyFill="1" applyBorder="1" applyAlignment="1">
      <alignment horizontal="left" vertical="top" wrapText="1"/>
    </xf>
    <xf numFmtId="0" fontId="3" fillId="2" borderId="5" xfId="2" applyFont="1" applyFill="1" applyBorder="1" applyAlignment="1">
      <alignment vertical="top" wrapText="1"/>
    </xf>
    <xf numFmtId="0" fontId="3" fillId="2" borderId="0" xfId="2" applyFont="1" applyFill="1" applyAlignment="1">
      <alignment vertical="top" wrapText="1"/>
    </xf>
    <xf numFmtId="0" fontId="3" fillId="2" borderId="6" xfId="2" applyFont="1" applyFill="1" applyBorder="1" applyAlignment="1">
      <alignment vertical="top" wrapText="1"/>
    </xf>
  </cellXfs>
  <cellStyles count="5">
    <cellStyle name="一般" xfId="0" builtinId="0"/>
    <cellStyle name="一般_OMRON" xfId="4" xr:uid="{00000000-0005-0000-0000-000034000000}"/>
    <cellStyle name="一般_OMRON海運出口" xfId="2" xr:uid="{00000000-0005-0000-0000-000020000000}"/>
    <cellStyle name="常规_出口报关单范本" xfId="1" xr:uid="{00000000-0005-0000-0000-000005000000}"/>
    <cellStyle name="常规_啟德一般貿易" xfId="3" xr:uid="{00000000-0005-0000-0000-000033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"/>
  <sheetViews>
    <sheetView tabSelected="1" topLeftCell="D1" workbookViewId="0">
      <selection activeCell="N23" sqref="N23:S24"/>
    </sheetView>
  </sheetViews>
  <sheetFormatPr defaultColWidth="9" defaultRowHeight="22.5"/>
  <cols>
    <col min="1" max="1" width="9" style="67"/>
    <col min="2" max="2" width="12.5" style="67" customWidth="1"/>
    <col min="3" max="3" width="15.875" style="67" customWidth="1"/>
    <col min="4" max="4" width="25.875" style="67" customWidth="1"/>
    <col min="5" max="5" width="13.875" style="67" customWidth="1"/>
    <col min="6" max="8" width="9" style="67"/>
    <col min="9" max="9" width="9.5" style="67" customWidth="1"/>
    <col min="10" max="10" width="6.25" style="67" customWidth="1"/>
    <col min="11" max="11" width="3.875" style="67" customWidth="1"/>
    <col min="12" max="12" width="7" style="67" customWidth="1"/>
    <col min="13" max="13" width="10.75" style="67" customWidth="1"/>
    <col min="14" max="14" width="26.625" style="67" customWidth="1"/>
    <col min="15" max="16384" width="9" style="67"/>
  </cols>
  <sheetData>
    <row r="1" spans="1:15" ht="23.2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2"/>
    </row>
    <row r="2" spans="1:15" ht="13.5">
      <c r="A2" s="68" t="s">
        <v>1</v>
      </c>
      <c r="B2" s="69"/>
      <c r="C2" s="24"/>
      <c r="D2" s="7"/>
      <c r="E2" s="68" t="s">
        <v>2</v>
      </c>
      <c r="F2" s="24"/>
      <c r="G2" s="24"/>
      <c r="H2" s="24"/>
      <c r="I2" s="24"/>
      <c r="J2" s="100"/>
      <c r="K2" s="100"/>
      <c r="L2" s="100"/>
      <c r="M2" s="100"/>
      <c r="N2" s="100"/>
      <c r="O2" s="58"/>
    </row>
    <row r="3" spans="1:15" ht="13.5">
      <c r="A3" s="8" t="s">
        <v>3</v>
      </c>
      <c r="B3" s="9"/>
      <c r="C3" s="24"/>
      <c r="D3" s="70"/>
      <c r="E3" s="119" t="s">
        <v>4</v>
      </c>
      <c r="F3" s="24"/>
      <c r="G3" s="71"/>
      <c r="H3" s="71"/>
      <c r="I3" s="24"/>
      <c r="J3" s="100"/>
      <c r="K3" s="100"/>
      <c r="L3" s="100"/>
      <c r="M3" s="100"/>
      <c r="N3" s="100"/>
      <c r="O3" s="58"/>
    </row>
    <row r="4" spans="1:15" ht="13.5">
      <c r="A4" s="130" t="s">
        <v>5</v>
      </c>
      <c r="B4" s="131"/>
      <c r="C4" s="131"/>
      <c r="D4" s="132"/>
      <c r="E4" s="72">
        <v>45999</v>
      </c>
      <c r="F4" s="73"/>
      <c r="G4" s="73"/>
      <c r="H4" s="74"/>
      <c r="I4" s="24"/>
      <c r="J4" s="100"/>
      <c r="K4" s="100"/>
      <c r="L4" s="100"/>
      <c r="M4" s="100"/>
      <c r="N4" s="100"/>
      <c r="O4" s="58"/>
    </row>
    <row r="5" spans="1:15" ht="13.5">
      <c r="A5" s="130"/>
      <c r="B5" s="131"/>
      <c r="C5" s="131"/>
      <c r="D5" s="132"/>
      <c r="E5" s="75"/>
      <c r="F5" s="24"/>
      <c r="G5" s="24"/>
      <c r="H5" s="24"/>
      <c r="I5" s="24"/>
      <c r="J5" s="100"/>
      <c r="K5" s="100"/>
      <c r="L5" s="100"/>
      <c r="M5" s="100"/>
      <c r="N5" s="100"/>
      <c r="O5" s="58"/>
    </row>
    <row r="6" spans="1:15" ht="0.95" customHeight="1">
      <c r="A6" s="13"/>
      <c r="B6" s="76"/>
      <c r="C6" s="14"/>
      <c r="D6" s="77"/>
      <c r="E6" s="78"/>
      <c r="F6" s="14"/>
      <c r="G6" s="14"/>
      <c r="H6" s="14"/>
      <c r="I6" s="14"/>
      <c r="J6" s="101"/>
      <c r="K6" s="101"/>
      <c r="L6" s="101"/>
      <c r="M6" s="101"/>
      <c r="N6" s="101"/>
      <c r="O6" s="102"/>
    </row>
    <row r="7" spans="1:15" ht="13.5">
      <c r="A7" s="19" t="s">
        <v>6</v>
      </c>
      <c r="B7" s="79"/>
      <c r="C7" s="80"/>
      <c r="D7" s="81"/>
      <c r="E7" s="19" t="s">
        <v>7</v>
      </c>
      <c r="F7" s="80"/>
      <c r="G7" s="80"/>
      <c r="H7" s="80"/>
      <c r="I7" s="80"/>
      <c r="J7" s="103"/>
      <c r="K7" s="104"/>
      <c r="L7" s="104"/>
      <c r="M7" s="104"/>
      <c r="N7" s="104"/>
      <c r="O7" s="105"/>
    </row>
    <row r="8" spans="1:15" ht="25.5">
      <c r="A8" s="82" t="s">
        <v>8</v>
      </c>
      <c r="B8" s="9"/>
      <c r="C8" s="48"/>
      <c r="D8" s="83"/>
      <c r="E8" s="84" t="s">
        <v>9</v>
      </c>
      <c r="F8" s="24"/>
      <c r="G8" s="24"/>
      <c r="H8" s="24"/>
      <c r="I8" s="24"/>
      <c r="J8" s="104"/>
      <c r="K8" s="104"/>
      <c r="L8" s="104"/>
      <c r="M8" s="104"/>
      <c r="N8" s="104"/>
      <c r="O8" s="105"/>
    </row>
    <row r="9" spans="1:15" ht="20.100000000000001" customHeight="1">
      <c r="A9" s="130" t="s">
        <v>10</v>
      </c>
      <c r="B9" s="131"/>
      <c r="C9" s="131"/>
      <c r="D9" s="132"/>
      <c r="E9" s="123"/>
      <c r="F9" s="124"/>
      <c r="G9" s="124"/>
      <c r="H9" s="124"/>
      <c r="I9" s="124"/>
      <c r="J9" s="106"/>
      <c r="K9" s="106"/>
      <c r="L9" s="106"/>
      <c r="M9" s="106"/>
      <c r="N9" s="106"/>
      <c r="O9" s="107"/>
    </row>
    <row r="10" spans="1:15" ht="13.5" hidden="1">
      <c r="A10" s="130"/>
      <c r="B10" s="131"/>
      <c r="C10" s="131"/>
      <c r="D10" s="132"/>
      <c r="E10" s="75"/>
      <c r="F10" s="24"/>
      <c r="G10" s="24"/>
      <c r="H10" s="24"/>
      <c r="I10" s="24"/>
      <c r="J10" s="106"/>
      <c r="K10" s="106"/>
      <c r="L10" s="106"/>
      <c r="M10" s="106"/>
      <c r="N10" s="106"/>
      <c r="O10" s="107"/>
    </row>
    <row r="11" spans="1:15" ht="13.5">
      <c r="A11" s="19" t="s">
        <v>11</v>
      </c>
      <c r="B11" s="80"/>
      <c r="C11" s="80"/>
      <c r="D11" s="81"/>
      <c r="E11" s="19" t="s">
        <v>12</v>
      </c>
      <c r="F11" s="80"/>
      <c r="G11" s="80"/>
      <c r="H11" s="80"/>
      <c r="I11" s="80"/>
      <c r="J11" s="80"/>
      <c r="K11" s="80"/>
      <c r="L11" s="80"/>
      <c r="M11" s="80"/>
      <c r="N11" s="80"/>
      <c r="O11" s="81"/>
    </row>
    <row r="12" spans="1:15" ht="13.5">
      <c r="A12" s="82" t="s">
        <v>8</v>
      </c>
      <c r="B12" s="9"/>
      <c r="C12" s="9"/>
      <c r="D12" s="70"/>
      <c r="E12" s="8" t="s">
        <v>13</v>
      </c>
      <c r="F12" s="30"/>
      <c r="G12" s="30"/>
      <c r="H12" s="30"/>
      <c r="I12" s="30"/>
      <c r="J12" s="100"/>
      <c r="K12" s="100"/>
      <c r="L12" s="100"/>
      <c r="M12" s="100"/>
      <c r="N12" s="100"/>
      <c r="O12" s="58"/>
    </row>
    <row r="13" spans="1:15" ht="13.5">
      <c r="A13" s="17" t="s">
        <v>10</v>
      </c>
      <c r="B13" s="18"/>
      <c r="C13" s="18"/>
      <c r="D13" s="77"/>
      <c r="E13" s="78"/>
      <c r="F13" s="14"/>
      <c r="G13" s="14"/>
      <c r="H13" s="14"/>
      <c r="I13" s="108"/>
      <c r="J13" s="100"/>
      <c r="K13" s="100"/>
      <c r="L13" s="100"/>
      <c r="M13" s="100"/>
      <c r="N13" s="100"/>
      <c r="O13" s="102"/>
    </row>
    <row r="14" spans="1:15" ht="13.5">
      <c r="A14" s="19" t="s">
        <v>14</v>
      </c>
      <c r="B14" s="80"/>
      <c r="C14" s="19" t="s">
        <v>15</v>
      </c>
      <c r="D14" s="81"/>
      <c r="E14" s="69" t="s">
        <v>16</v>
      </c>
      <c r="F14" s="6"/>
      <c r="G14" s="6"/>
      <c r="H14" s="6"/>
      <c r="I14" s="24"/>
      <c r="J14" s="109"/>
      <c r="K14" s="109"/>
      <c r="L14" s="109"/>
      <c r="M14" s="109"/>
      <c r="N14" s="109"/>
      <c r="O14" s="58"/>
    </row>
    <row r="15" spans="1:15" ht="21" customHeight="1">
      <c r="A15" s="125"/>
      <c r="B15" s="126"/>
      <c r="C15" s="125"/>
      <c r="D15" s="126"/>
      <c r="E15" s="85"/>
      <c r="F15" s="24"/>
      <c r="G15" s="24"/>
      <c r="H15" s="24"/>
      <c r="I15" s="24"/>
      <c r="J15" s="100"/>
      <c r="K15" s="100"/>
      <c r="L15" s="100"/>
      <c r="M15" s="100"/>
      <c r="N15" s="100"/>
      <c r="O15" s="58"/>
    </row>
    <row r="16" spans="1:15" ht="13.5" hidden="1">
      <c r="A16" s="25"/>
      <c r="B16" s="26"/>
      <c r="C16" s="86"/>
      <c r="D16" s="77"/>
      <c r="E16" s="85"/>
      <c r="F16" s="30"/>
      <c r="G16" s="24"/>
      <c r="H16" s="24"/>
      <c r="I16" s="24"/>
      <c r="J16" s="100"/>
      <c r="K16" s="100"/>
      <c r="L16" s="100"/>
      <c r="M16" s="100"/>
      <c r="N16" s="100"/>
      <c r="O16" s="58"/>
    </row>
    <row r="17" spans="1:16" ht="13.5">
      <c r="A17" s="19" t="s">
        <v>17</v>
      </c>
      <c r="B17" s="81"/>
      <c r="C17" s="68" t="s">
        <v>18</v>
      </c>
      <c r="D17" s="38"/>
      <c r="E17" s="85"/>
      <c r="F17" s="30"/>
      <c r="G17" s="24"/>
      <c r="H17" s="24"/>
      <c r="I17" s="24"/>
      <c r="J17" s="100"/>
      <c r="K17" s="100"/>
      <c r="L17" s="100"/>
      <c r="M17" s="100"/>
      <c r="N17" s="100"/>
      <c r="O17" s="58"/>
    </row>
    <row r="18" spans="1:16" ht="13.5">
      <c r="A18" s="37"/>
      <c r="B18" s="87"/>
      <c r="C18" s="127"/>
      <c r="D18" s="128"/>
      <c r="E18" s="88" t="s">
        <v>19</v>
      </c>
      <c r="F18" s="89" t="s">
        <v>20</v>
      </c>
      <c r="G18" s="14"/>
      <c r="H18" s="14"/>
      <c r="I18" s="14"/>
      <c r="J18" s="110"/>
      <c r="K18" s="100"/>
      <c r="L18" s="100"/>
      <c r="M18" s="100"/>
      <c r="N18" s="100"/>
      <c r="O18" s="58"/>
      <c r="P18" s="111"/>
    </row>
    <row r="19" spans="1:16" ht="24">
      <c r="A19" s="39" t="s">
        <v>21</v>
      </c>
      <c r="B19" s="40" t="s">
        <v>22</v>
      </c>
      <c r="C19" s="40" t="s">
        <v>23</v>
      </c>
      <c r="D19" s="90" t="s">
        <v>24</v>
      </c>
      <c r="E19" s="40" t="s">
        <v>25</v>
      </c>
      <c r="F19" s="40" t="s">
        <v>26</v>
      </c>
      <c r="G19" s="40" t="s">
        <v>27</v>
      </c>
      <c r="H19" s="40" t="s">
        <v>28</v>
      </c>
      <c r="I19" s="40" t="s">
        <v>29</v>
      </c>
      <c r="J19" s="112" t="s">
        <v>30</v>
      </c>
      <c r="K19" s="112" t="s">
        <v>31</v>
      </c>
      <c r="L19" s="113" t="s">
        <v>32</v>
      </c>
      <c r="M19" s="113" t="s">
        <v>33</v>
      </c>
      <c r="N19" s="113" t="s">
        <v>34</v>
      </c>
      <c r="O19" s="60" t="s">
        <v>35</v>
      </c>
      <c r="P19" s="111" t="s">
        <v>36</v>
      </c>
    </row>
    <row r="20" spans="1:16" ht="51" customHeight="1">
      <c r="A20" s="43" t="s">
        <v>37</v>
      </c>
      <c r="B20" s="44" t="s">
        <v>38</v>
      </c>
      <c r="C20" s="44" t="s">
        <v>39</v>
      </c>
      <c r="D20" s="91" t="s">
        <v>40</v>
      </c>
      <c r="E20" s="44">
        <v>120</v>
      </c>
      <c r="F20" s="92" t="s">
        <v>41</v>
      </c>
      <c r="G20" s="93">
        <v>1.74</v>
      </c>
      <c r="H20" s="44" t="s">
        <v>42</v>
      </c>
      <c r="I20" s="61">
        <f t="shared" ref="I20:I22" si="0">ROUND(E20*G20,2)</f>
        <v>208.8</v>
      </c>
      <c r="J20" s="114" t="s">
        <v>43</v>
      </c>
      <c r="L20" s="44" t="s">
        <v>44</v>
      </c>
      <c r="M20" s="114" t="s">
        <v>45</v>
      </c>
      <c r="N20" s="44" t="s">
        <v>46</v>
      </c>
      <c r="O20" s="115">
        <v>10.3</v>
      </c>
      <c r="P20" s="111">
        <v>1</v>
      </c>
    </row>
    <row r="21" spans="1:16" ht="51" customHeight="1">
      <c r="A21" s="43">
        <v>2</v>
      </c>
      <c r="B21" s="44" t="s">
        <v>47</v>
      </c>
      <c r="C21" s="44" t="s">
        <v>48</v>
      </c>
      <c r="D21" s="91" t="s">
        <v>49</v>
      </c>
      <c r="E21" s="44">
        <v>18720</v>
      </c>
      <c r="F21" s="92" t="s">
        <v>41</v>
      </c>
      <c r="G21" s="93">
        <v>2.2000000000000002</v>
      </c>
      <c r="H21" s="44" t="s">
        <v>42</v>
      </c>
      <c r="I21" s="61">
        <f t="shared" si="0"/>
        <v>41184</v>
      </c>
      <c r="J21" s="114" t="s">
        <v>43</v>
      </c>
      <c r="L21" s="44" t="s">
        <v>44</v>
      </c>
      <c r="M21" s="114" t="s">
        <v>45</v>
      </c>
      <c r="N21" s="44" t="s">
        <v>50</v>
      </c>
      <c r="O21" s="115">
        <v>2106</v>
      </c>
      <c r="P21" s="111">
        <v>2</v>
      </c>
    </row>
    <row r="22" spans="1:16" ht="51" customHeight="1">
      <c r="A22" s="43">
        <v>3</v>
      </c>
      <c r="B22" s="44" t="s">
        <v>51</v>
      </c>
      <c r="C22" s="44" t="s">
        <v>52</v>
      </c>
      <c r="D22" s="91" t="s">
        <v>53</v>
      </c>
      <c r="E22" s="44">
        <v>6480</v>
      </c>
      <c r="F22" s="92" t="s">
        <v>41</v>
      </c>
      <c r="G22" s="93">
        <v>2.75</v>
      </c>
      <c r="H22" s="44" t="s">
        <v>42</v>
      </c>
      <c r="I22" s="61">
        <f t="shared" si="0"/>
        <v>17820</v>
      </c>
      <c r="J22" s="114" t="s">
        <v>43</v>
      </c>
      <c r="L22" s="44" t="s">
        <v>44</v>
      </c>
      <c r="M22" s="114" t="s">
        <v>45</v>
      </c>
      <c r="N22" s="44" t="s">
        <v>54</v>
      </c>
      <c r="O22" s="115">
        <v>999.6</v>
      </c>
      <c r="P22" s="111">
        <v>3</v>
      </c>
    </row>
    <row r="23" spans="1:16" ht="13.5">
      <c r="A23" s="94"/>
      <c r="B23" s="95"/>
      <c r="C23" s="129" t="s">
        <v>55</v>
      </c>
      <c r="D23" s="129"/>
      <c r="E23" s="96">
        <f>SUM(E20:E22)</f>
        <v>25320</v>
      </c>
      <c r="F23" s="97"/>
      <c r="G23" s="98"/>
      <c r="H23" s="98"/>
      <c r="I23" s="116">
        <f>SUM(I20:I22)</f>
        <v>59212.800000000003</v>
      </c>
      <c r="J23" s="117"/>
      <c r="K23" s="117"/>
      <c r="L23" s="117"/>
      <c r="M23" s="117"/>
      <c r="N23" s="117"/>
      <c r="O23" s="118">
        <f>SUM(O20:O22)</f>
        <v>3115.9</v>
      </c>
    </row>
    <row r="25" spans="1:16" ht="14.25">
      <c r="A25" s="56" t="s">
        <v>56</v>
      </c>
      <c r="B25" s="1"/>
      <c r="C25" s="1"/>
      <c r="D25" s="1"/>
    </row>
    <row r="26" spans="1:16" ht="14.25">
      <c r="A26" s="56" t="s">
        <v>57</v>
      </c>
      <c r="B26" s="1"/>
      <c r="C26" s="1"/>
      <c r="D26" s="1"/>
    </row>
    <row r="27" spans="1:16" ht="14.25">
      <c r="A27" s="56" t="s">
        <v>58</v>
      </c>
      <c r="B27" s="1"/>
      <c r="C27" s="1"/>
      <c r="D27" s="1"/>
    </row>
    <row r="28" spans="1:16" ht="14.25">
      <c r="A28" s="56" t="s">
        <v>59</v>
      </c>
      <c r="B28" s="1"/>
      <c r="C28" s="1"/>
      <c r="D28" s="1"/>
    </row>
    <row r="29" spans="1:16" ht="14.25">
      <c r="A29" s="56" t="s">
        <v>60</v>
      </c>
      <c r="B29" s="99"/>
    </row>
    <row r="30" spans="1:16" ht="14.25">
      <c r="A30" s="56"/>
      <c r="B30" s="99"/>
    </row>
  </sheetData>
  <mergeCells count="8">
    <mergeCell ref="C23:D23"/>
    <mergeCell ref="A4:D5"/>
    <mergeCell ref="A9:D10"/>
    <mergeCell ref="A1:O1"/>
    <mergeCell ref="E9:I9"/>
    <mergeCell ref="A15:B15"/>
    <mergeCell ref="C15:D15"/>
    <mergeCell ref="C18:D18"/>
  </mergeCells>
  <pageMargins left="0" right="0" top="0" bottom="0" header="0.511811023622047" footer="0.511811023622047"/>
  <pageSetup paperSize="9" scale="75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5"/>
  <sheetViews>
    <sheetView topLeftCell="A10" workbookViewId="0">
      <selection activeCell="J24" sqref="J24"/>
    </sheetView>
  </sheetViews>
  <sheetFormatPr defaultColWidth="9" defaultRowHeight="13.5"/>
  <cols>
    <col min="1" max="1" width="9" style="1"/>
    <col min="2" max="2" width="23.75" style="1" customWidth="1"/>
    <col min="3" max="3" width="13.5" style="1" customWidth="1"/>
    <col min="4" max="4" width="9" style="1"/>
    <col min="5" max="5" width="22.125" style="1" customWidth="1"/>
    <col min="6" max="6" width="10.375" style="1" customWidth="1"/>
    <col min="7" max="7" width="9" style="1"/>
    <col min="8" max="8" width="13.375" style="1" customWidth="1"/>
    <col min="9" max="9" width="12.875" style="1" customWidth="1"/>
    <col min="10" max="10" width="32.75" style="1" customWidth="1"/>
    <col min="11" max="11" width="9.25" style="1" customWidth="1"/>
    <col min="12" max="16384" width="9" style="1"/>
  </cols>
  <sheetData>
    <row r="1" spans="1:10">
      <c r="A1" s="133" t="s">
        <v>61</v>
      </c>
      <c r="B1" s="134"/>
      <c r="C1" s="134"/>
      <c r="D1" s="134"/>
      <c r="E1" s="134"/>
      <c r="F1" s="134"/>
      <c r="G1" s="134"/>
      <c r="H1" s="134"/>
      <c r="I1" s="134"/>
      <c r="J1" s="135"/>
    </row>
    <row r="2" spans="1:10">
      <c r="A2" s="2"/>
      <c r="B2" s="3"/>
      <c r="C2" s="3"/>
      <c r="D2" s="3"/>
      <c r="E2" s="3"/>
      <c r="F2" s="3"/>
      <c r="G2" s="3"/>
      <c r="H2" s="3"/>
      <c r="I2" s="3"/>
      <c r="J2" s="57"/>
    </row>
    <row r="3" spans="1:10">
      <c r="A3" s="4" t="s">
        <v>1</v>
      </c>
      <c r="B3" s="5"/>
      <c r="C3" s="6"/>
      <c r="D3" s="6"/>
      <c r="E3" s="7"/>
      <c r="F3" s="5" t="s">
        <v>62</v>
      </c>
      <c r="G3" s="6"/>
      <c r="H3" s="6"/>
      <c r="I3" s="6"/>
      <c r="J3" s="58"/>
    </row>
    <row r="4" spans="1:10">
      <c r="A4" s="8" t="str">
        <f>INVOICE!A3</f>
        <v>Jama Technology（Hongkong）Company Limited</v>
      </c>
      <c r="B4" s="9"/>
      <c r="C4" s="6"/>
      <c r="D4" s="6"/>
      <c r="E4" s="10"/>
      <c r="F4" s="8" t="str">
        <f>INVOICE!E3</f>
        <v>20005025120801</v>
      </c>
      <c r="G4" s="6"/>
      <c r="H4" s="6"/>
      <c r="I4" s="6"/>
      <c r="J4" s="58"/>
    </row>
    <row r="5" spans="1:10">
      <c r="A5" s="150" t="str">
        <f>INVOICE!A4</f>
        <v>ROOM D10/FTOWER A BILLION CENTRE 1 WANG KWONG ROAD KOWLOON BAY KL HONGKONG</v>
      </c>
      <c r="B5" s="151"/>
      <c r="C5" s="151"/>
      <c r="D5" s="151"/>
      <c r="E5" s="152"/>
      <c r="F5" s="11">
        <f>INVOICE!E4</f>
        <v>45999</v>
      </c>
      <c r="G5" s="6"/>
      <c r="H5" s="6"/>
      <c r="I5" s="6"/>
      <c r="J5" s="58"/>
    </row>
    <row r="6" spans="1:10" ht="9.6" customHeight="1">
      <c r="A6" s="150"/>
      <c r="B6" s="151"/>
      <c r="C6" s="151"/>
      <c r="D6" s="151"/>
      <c r="E6" s="152"/>
      <c r="F6" s="12"/>
      <c r="G6" s="6"/>
      <c r="H6" s="6"/>
      <c r="I6" s="6"/>
      <c r="J6" s="58"/>
    </row>
    <row r="7" spans="1:10">
      <c r="A7" s="13"/>
      <c r="B7" s="14"/>
      <c r="C7" s="15"/>
      <c r="D7" s="15"/>
      <c r="E7" s="16"/>
      <c r="F7" s="17"/>
      <c r="G7" s="18"/>
      <c r="H7" s="18"/>
      <c r="I7" s="18"/>
      <c r="J7" s="27"/>
    </row>
    <row r="8" spans="1:10">
      <c r="A8" s="19" t="s">
        <v>6</v>
      </c>
      <c r="B8" s="20"/>
      <c r="C8" s="21"/>
      <c r="D8" s="21"/>
      <c r="E8" s="22"/>
      <c r="F8" s="20" t="s">
        <v>63</v>
      </c>
      <c r="G8" s="6"/>
      <c r="H8" s="6"/>
      <c r="I8" s="6"/>
      <c r="J8" s="58"/>
    </row>
    <row r="9" spans="1:10">
      <c r="A9" s="23" t="str">
        <f>INVOICE!A8</f>
        <v>中磊電子（蘇州）有限公司</v>
      </c>
      <c r="B9" s="9"/>
      <c r="C9" s="6"/>
      <c r="D9" s="6"/>
      <c r="E9" s="10"/>
      <c r="F9" s="5"/>
      <c r="G9" s="24"/>
      <c r="H9" s="24"/>
      <c r="I9" s="24"/>
      <c r="J9" s="58"/>
    </row>
    <row r="10" spans="1:10" ht="12" customHeight="1">
      <c r="A10" s="153" t="str">
        <f>INVOICE!A9</f>
        <v>地址：江苏省苏州市苏州工业园区唐庄路8号</v>
      </c>
      <c r="B10" s="154"/>
      <c r="C10" s="154"/>
      <c r="D10" s="154"/>
      <c r="E10" s="155"/>
      <c r="F10" s="5"/>
      <c r="G10" s="6"/>
      <c r="H10" s="6"/>
      <c r="I10" s="24"/>
      <c r="J10" s="58"/>
    </row>
    <row r="11" spans="1:10" ht="5.45" hidden="1" customHeight="1">
      <c r="A11" s="153"/>
      <c r="B11" s="154"/>
      <c r="C11" s="154"/>
      <c r="D11" s="154"/>
      <c r="E11" s="155"/>
      <c r="F11" s="5"/>
      <c r="G11" s="6"/>
      <c r="H11" s="6"/>
      <c r="I11" s="24"/>
      <c r="J11" s="58"/>
    </row>
    <row r="12" spans="1:10" ht="6.95" customHeight="1">
      <c r="A12" s="25"/>
      <c r="B12" s="26"/>
      <c r="C12" s="18"/>
      <c r="D12" s="18"/>
      <c r="E12" s="27"/>
      <c r="F12" s="6"/>
      <c r="G12" s="28"/>
      <c r="H12" s="28"/>
      <c r="I12" s="6"/>
      <c r="J12" s="58"/>
    </row>
    <row r="13" spans="1:10" ht="16.5">
      <c r="A13" s="19" t="s">
        <v>11</v>
      </c>
      <c r="B13" s="5"/>
      <c r="C13" s="6"/>
      <c r="D13" s="6"/>
      <c r="E13" s="10"/>
      <c r="F13" s="29"/>
      <c r="G13" s="30"/>
      <c r="H13" s="6"/>
      <c r="I13" s="6"/>
      <c r="J13" s="58"/>
    </row>
    <row r="14" spans="1:10" ht="16.5">
      <c r="A14" s="23" t="str">
        <f>INVOICE!A12</f>
        <v>中磊電子（蘇州）有限公司</v>
      </c>
      <c r="B14" s="9"/>
      <c r="C14" s="9"/>
      <c r="D14" s="9"/>
      <c r="E14" s="10"/>
      <c r="F14" s="29"/>
      <c r="G14" s="30"/>
      <c r="H14" s="6"/>
      <c r="I14" s="6"/>
      <c r="J14" s="58"/>
    </row>
    <row r="15" spans="1:10" ht="15.6" customHeight="1">
      <c r="A15" s="23" t="str">
        <f>INVOICE!A13</f>
        <v>地址：江苏省苏州市苏州工业园区唐庄路8号</v>
      </c>
      <c r="B15" s="9"/>
      <c r="C15" s="6"/>
      <c r="D15" s="6"/>
      <c r="E15" s="31"/>
      <c r="F15" s="6"/>
      <c r="G15" s="6"/>
      <c r="H15" s="6"/>
      <c r="I15" s="6"/>
      <c r="J15" s="58"/>
    </row>
    <row r="16" spans="1:10" hidden="1">
      <c r="A16" s="17"/>
      <c r="B16" s="18"/>
      <c r="C16" s="18"/>
      <c r="D16" s="18"/>
      <c r="E16" s="27"/>
      <c r="F16" s="136"/>
      <c r="G16" s="136"/>
      <c r="H16" s="32"/>
      <c r="I16" s="59"/>
      <c r="J16" s="58"/>
    </row>
    <row r="17" spans="1:11">
      <c r="A17" s="33" t="s">
        <v>64</v>
      </c>
      <c r="B17" s="20"/>
      <c r="C17" s="34"/>
      <c r="D17" s="20" t="s">
        <v>65</v>
      </c>
      <c r="E17" s="35"/>
      <c r="F17" s="136"/>
      <c r="G17" s="136"/>
      <c r="H17" s="36"/>
      <c r="I17" s="6"/>
      <c r="J17" s="58"/>
    </row>
    <row r="18" spans="1:11" ht="7.5" customHeight="1">
      <c r="A18" s="137"/>
      <c r="B18" s="138"/>
      <c r="C18" s="139"/>
      <c r="D18" s="137"/>
      <c r="E18" s="139"/>
      <c r="F18" s="136"/>
      <c r="G18" s="136"/>
      <c r="H18" s="36"/>
      <c r="I18" s="6"/>
      <c r="J18" s="58"/>
    </row>
    <row r="19" spans="1:11">
      <c r="A19" s="33" t="s">
        <v>17</v>
      </c>
      <c r="B19" s="5"/>
      <c r="C19" s="7"/>
      <c r="D19" s="20" t="s">
        <v>18</v>
      </c>
      <c r="E19" s="38"/>
      <c r="F19" s="6"/>
      <c r="G19" s="6"/>
      <c r="H19" s="6"/>
      <c r="I19" s="6"/>
      <c r="J19" s="58"/>
    </row>
    <row r="20" spans="1:11" ht="0.95" customHeight="1">
      <c r="A20" s="137"/>
      <c r="B20" s="138"/>
      <c r="C20" s="139"/>
      <c r="D20" s="127"/>
      <c r="E20" s="128"/>
      <c r="F20" s="18"/>
      <c r="G20" s="18"/>
      <c r="H20" s="18"/>
      <c r="I20" s="18"/>
      <c r="J20" s="58"/>
    </row>
    <row r="21" spans="1:11">
      <c r="A21" s="143" t="s">
        <v>66</v>
      </c>
      <c r="B21" s="145" t="s">
        <v>23</v>
      </c>
      <c r="C21" s="145" t="s">
        <v>22</v>
      </c>
      <c r="D21" s="145" t="s">
        <v>24</v>
      </c>
      <c r="E21" s="145"/>
      <c r="F21" s="134" t="s">
        <v>25</v>
      </c>
      <c r="G21" s="134" t="s">
        <v>26</v>
      </c>
      <c r="H21" s="41" t="s">
        <v>67</v>
      </c>
      <c r="I21" s="41" t="s">
        <v>68</v>
      </c>
      <c r="J21" s="148" t="s">
        <v>69</v>
      </c>
    </row>
    <row r="22" spans="1:11">
      <c r="A22" s="144"/>
      <c r="B22" s="146"/>
      <c r="C22" s="146"/>
      <c r="D22" s="146"/>
      <c r="E22" s="146"/>
      <c r="F22" s="147"/>
      <c r="G22" s="147"/>
      <c r="H22" s="42" t="s">
        <v>70</v>
      </c>
      <c r="I22" s="42" t="s">
        <v>70</v>
      </c>
      <c r="J22" s="149"/>
    </row>
    <row r="23" spans="1:11" ht="35.450000000000003" customHeight="1">
      <c r="A23" s="43">
        <f>F23/120</f>
        <v>1</v>
      </c>
      <c r="B23" s="44" t="s">
        <v>39</v>
      </c>
      <c r="C23" s="44" t="s">
        <v>38</v>
      </c>
      <c r="D23" s="140" t="s">
        <v>71</v>
      </c>
      <c r="E23" s="141"/>
      <c r="F23" s="44">
        <v>120</v>
      </c>
      <c r="G23" s="45" t="s">
        <v>41</v>
      </c>
      <c r="H23" s="46">
        <v>10.3</v>
      </c>
      <c r="I23" s="61">
        <v>11.45</v>
      </c>
      <c r="J23" s="62" t="s">
        <v>72</v>
      </c>
      <c r="K23" s="63"/>
    </row>
    <row r="24" spans="1:11" ht="35.450000000000003" customHeight="1">
      <c r="A24" s="43">
        <f>F24/80</f>
        <v>234</v>
      </c>
      <c r="B24" s="44" t="s">
        <v>48</v>
      </c>
      <c r="C24" s="44" t="s">
        <v>47</v>
      </c>
      <c r="D24" s="140" t="s">
        <v>73</v>
      </c>
      <c r="E24" s="141"/>
      <c r="F24" s="44">
        <v>18720</v>
      </c>
      <c r="G24" s="45" t="s">
        <v>41</v>
      </c>
      <c r="H24" s="46">
        <v>2106</v>
      </c>
      <c r="I24" s="61">
        <v>2503.02</v>
      </c>
      <c r="J24" s="62" t="s">
        <v>72</v>
      </c>
      <c r="K24" s="63"/>
    </row>
    <row r="25" spans="1:11" ht="30.95" customHeight="1">
      <c r="A25" s="43">
        <f>F25/54</f>
        <v>120</v>
      </c>
      <c r="B25" s="44" t="s">
        <v>52</v>
      </c>
      <c r="C25" s="44" t="s">
        <v>51</v>
      </c>
      <c r="D25" s="142" t="s">
        <v>53</v>
      </c>
      <c r="E25" s="141"/>
      <c r="F25" s="44">
        <v>6480</v>
      </c>
      <c r="G25" s="45" t="s">
        <v>41</v>
      </c>
      <c r="H25" s="46">
        <v>999.6</v>
      </c>
      <c r="I25" s="61">
        <v>1168.8</v>
      </c>
      <c r="J25" s="62" t="s">
        <v>74</v>
      </c>
    </row>
    <row r="26" spans="1:11" ht="18.600000000000001" customHeight="1">
      <c r="A26" s="47"/>
      <c r="B26" s="6"/>
      <c r="C26" s="5"/>
      <c r="D26" s="48"/>
      <c r="E26" s="42" t="s">
        <v>75</v>
      </c>
      <c r="F26" s="49">
        <f>SUM(F23:F25)</f>
        <v>25320</v>
      </c>
      <c r="G26" s="42"/>
      <c r="H26" s="50">
        <f>SUM(H23:H25)</f>
        <v>3115.9</v>
      </c>
      <c r="I26" s="50">
        <f>SUM(I23:I25)</f>
        <v>3683.27</v>
      </c>
      <c r="J26" s="64" t="s">
        <v>76</v>
      </c>
    </row>
    <row r="27" spans="1:11" ht="18.600000000000001" customHeight="1">
      <c r="A27" s="51"/>
      <c r="E27" s="52" t="s">
        <v>77</v>
      </c>
      <c r="F27" s="6">
        <v>18</v>
      </c>
      <c r="J27" s="65"/>
    </row>
    <row r="28" spans="1:11" ht="18.600000000000001" customHeight="1">
      <c r="A28" s="51"/>
      <c r="E28" s="52" t="s">
        <v>78</v>
      </c>
      <c r="F28" s="53" t="s">
        <v>79</v>
      </c>
      <c r="J28" s="65"/>
    </row>
    <row r="29" spans="1:11">
      <c r="A29" s="51"/>
      <c r="E29" s="52"/>
      <c r="F29" s="53"/>
      <c r="J29" s="65"/>
    </row>
    <row r="30" spans="1:11" ht="65.099999999999994" customHeight="1">
      <c r="A30" s="54"/>
      <c r="B30" s="55"/>
      <c r="C30" s="55"/>
      <c r="D30" s="55"/>
      <c r="E30" s="55"/>
      <c r="F30" s="55"/>
      <c r="G30" s="55"/>
      <c r="H30" s="55"/>
      <c r="I30" s="55"/>
      <c r="J30" s="66"/>
    </row>
    <row r="32" spans="1:11" ht="14.25">
      <c r="A32" s="56"/>
    </row>
    <row r="33" spans="1:1" ht="14.25">
      <c r="A33" s="56"/>
    </row>
    <row r="34" spans="1:1" ht="14.25">
      <c r="A34" s="56"/>
    </row>
    <row r="35" spans="1:1" ht="14.25">
      <c r="A35" s="56"/>
    </row>
  </sheetData>
  <mergeCells count="20">
    <mergeCell ref="F21:F22"/>
    <mergeCell ref="G21:G22"/>
    <mergeCell ref="J21:J22"/>
    <mergeCell ref="A5:E6"/>
    <mergeCell ref="A10:E11"/>
    <mergeCell ref="D21:E22"/>
    <mergeCell ref="A20:C20"/>
    <mergeCell ref="D20:E20"/>
    <mergeCell ref="D23:E23"/>
    <mergeCell ref="D24:E24"/>
    <mergeCell ref="D25:E25"/>
    <mergeCell ref="A21:A22"/>
    <mergeCell ref="B21:B22"/>
    <mergeCell ref="C21:C22"/>
    <mergeCell ref="A1:J1"/>
    <mergeCell ref="F16:G16"/>
    <mergeCell ref="F17:G17"/>
    <mergeCell ref="A18:C18"/>
    <mergeCell ref="D18:E18"/>
    <mergeCell ref="F18:G18"/>
  </mergeCells>
  <pageMargins left="0" right="0" top="0.98425196850393704" bottom="0.98425196850393704" header="0.511811023622047" footer="0.511811023622047"/>
  <pageSetup paperSize="9" scale="85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D000208</dc:creator>
  <cp:keywords/>
  <dc:description/>
  <cp:lastModifiedBy>Alex Liou</cp:lastModifiedBy>
  <cp:revision/>
  <dcterms:created xsi:type="dcterms:W3CDTF">2025-07-17T08:11:00Z</dcterms:created>
  <dcterms:modified xsi:type="dcterms:W3CDTF">2025-12-08T02:05:45Z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</Properties>
</file>