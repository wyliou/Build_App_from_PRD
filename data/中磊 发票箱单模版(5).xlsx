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INVOICE" sheetId="1" r:id="rId1"/>
    <sheet name="PACKING" sheetId="2" r:id="rId2"/>
  </sheets>
  <calcPr calcId="144525"/>
</workbook>
</file>

<file path=xl/sharedStrings.xml><?xml version="1.0" encoding="utf-8"?>
<sst xmlns="http://schemas.openxmlformats.org/spreadsheetml/2006/main" count="113" uniqueCount="72">
  <si>
    <t>COMMERCIAL INVOICE</t>
  </si>
  <si>
    <t>Shipper/Exporter</t>
  </si>
  <si>
    <t>No. &amp; Date of Invoice</t>
  </si>
  <si>
    <t>Express Electronics Trading Limited</t>
  </si>
  <si>
    <t>YX20251208</t>
  </si>
  <si>
    <t xml:space="preserve">2/F., Harbour View 1, No. 12 Science Park East Avenue, Phase II Hong Kong Science Park,     Shatin, N.T. </t>
  </si>
  <si>
    <t>Bill To:</t>
  </si>
  <si>
    <t xml:space="preserve"> Payment Term</t>
  </si>
  <si>
    <t>Sernet (Suzhou) Technologies Corporation</t>
  </si>
  <si>
    <t>T/T</t>
  </si>
  <si>
    <t>NO.8 Tangzhuang Road,Suzhou Industrial Park,Su Zhou</t>
  </si>
  <si>
    <t>Ship To:</t>
  </si>
  <si>
    <t xml:space="preserve"> Trade Term</t>
  </si>
  <si>
    <t>DDU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</si>
  <si>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</si>
  <si>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</si>
  <si>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</si>
  <si>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</si>
  <si>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</si>
  <si>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</si>
  <si>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中国香港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</si>
  <si>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</si>
  <si>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</si>
  <si>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</si>
  <si>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</si>
  <si>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</si>
  <si>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</si>
  <si>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</si>
  <si>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</si>
  <si>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</si>
  <si>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</si>
  <si>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</si>
  <si>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</si>
  <si>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</si>
  <si>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</si>
  <si>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</si>
  <si>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1</t>
  </si>
  <si>
    <t>490DLF00</t>
  </si>
  <si>
    <t>BARE  PCB</t>
  </si>
  <si>
    <t>PCS</t>
  </si>
  <si>
    <t>USD</t>
  </si>
  <si>
    <t>中国</t>
  </si>
  <si>
    <t>/</t>
  </si>
  <si>
    <t>NO</t>
  </si>
  <si>
    <t>490DPY10</t>
  </si>
  <si>
    <t xml:space="preserve">                  TOTAL</t>
  </si>
  <si>
    <t>报关行</t>
  </si>
  <si>
    <t>苏州伟中报关有限公司</t>
  </si>
  <si>
    <t>申报地海关</t>
  </si>
  <si>
    <t>关联备案号</t>
  </si>
  <si>
    <t>新账册号T2358W000210</t>
  </si>
  <si>
    <t>运输方式</t>
  </si>
  <si>
    <t>保税港区</t>
  </si>
  <si>
    <t>PACKING LIST</t>
  </si>
  <si>
    <t>No &amp; Date of Invoice</t>
  </si>
  <si>
    <t>Remarks:</t>
  </si>
  <si>
    <t>Port of Departure</t>
  </si>
  <si>
    <t>Port of Arrival</t>
  </si>
  <si>
    <t>PALLET</t>
  </si>
  <si>
    <t>Net WT</t>
  </si>
  <si>
    <t>Gross WT</t>
  </si>
  <si>
    <t>MEASUREMENT  L*W*H(CM)</t>
  </si>
  <si>
    <t>KGS</t>
  </si>
  <si>
    <t>1.2*1*0.975M</t>
  </si>
  <si>
    <t xml:space="preserve"> Pallets</t>
  </si>
  <si>
    <t>TOTAL</t>
  </si>
  <si>
    <t>1.17m³</t>
  </si>
  <si>
    <t>件数</t>
  </si>
  <si>
    <t>包装种类</t>
  </si>
  <si>
    <t>其他包装</t>
  </si>
  <si>
    <t>托盘材质</t>
  </si>
  <si>
    <t>塑料托盘</t>
  </si>
</sst>
</file>

<file path=xl/styles.xml><?xml version="1.0" encoding="utf-8"?>
<styleSheet xmlns="http://schemas.openxmlformats.org/spreadsheetml/2006/main">
  <numFmts count="11">
    <numFmt numFmtId="176" formatCode="0.0000_);[Red]\(0.0000\)"/>
    <numFmt numFmtId="177" formatCode="0_ "/>
    <numFmt numFmtId="178" formatCode="0.00_ "/>
    <numFmt numFmtId="179" formatCode="0.00_);[Red]\(0.00\)"/>
    <numFmt numFmtId="180" formatCode="yyyy/m/d;@"/>
    <numFmt numFmtId="181" formatCode="_(&quot;$&quot;* #,##0.00_);_(&quot;$&quot;* \(#,##0.00\);_(&quot;$&quot;* &quot;-&quot;??_);_(@_)"/>
    <numFmt numFmtId="182" formatCode="0.000_ "/>
    <numFmt numFmtId="183" formatCode="_(&quot;$&quot;* #,##0_);_(&quot;$&quot;* \(#,##0\);_(&quot;$&quot;* &quot;-&quot;_);_(@_)"/>
    <numFmt numFmtId="41" formatCode="_ * #,##0_ ;_ * \-#,##0_ ;_ * &quot;-&quot;_ ;_ @_ "/>
    <numFmt numFmtId="43" formatCode="_ * #,##0.00_ ;_ * \-#,##0.00_ ;_ * &quot;-&quot;??_ ;_ @_ "/>
    <numFmt numFmtId="184" formatCode="#,##0.00_ "/>
  </numFmts>
  <fonts count="43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color theme="1"/>
      <name val="宋体"/>
      <charset val="134"/>
      <scheme val="minor"/>
    </font>
    <font>
      <sz val="10"/>
      <name val="Arial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sz val="10"/>
      <name val="微软雅黑"/>
      <charset val="134"/>
    </font>
    <font>
      <sz val="10"/>
      <color rgb="FFFF0000"/>
      <name val="Arial"/>
      <charset val="134"/>
    </font>
    <font>
      <sz val="12"/>
      <name val="宋体"/>
      <charset val="136"/>
    </font>
    <font>
      <sz val="12"/>
      <color theme="1"/>
      <name val="宋体"/>
      <charset val="134"/>
    </font>
    <font>
      <sz val="12"/>
      <name val="宋体"/>
      <charset val="134"/>
    </font>
    <font>
      <sz val="12"/>
      <name val="Times New Roman"/>
      <charset val="136"/>
    </font>
    <font>
      <sz val="12"/>
      <color theme="1"/>
      <name val="Times New Roman"/>
      <charset val="134"/>
    </font>
    <font>
      <sz val="10"/>
      <name val="新細明體"/>
      <charset val="136"/>
    </font>
    <font>
      <b/>
      <sz val="10"/>
      <name val="宋体"/>
      <charset val="136"/>
    </font>
    <font>
      <b/>
      <sz val="10"/>
      <name val="新細明體"/>
      <charset val="136"/>
    </font>
    <font>
      <sz val="18"/>
      <color theme="1"/>
      <name val="宋体"/>
      <charset val="134"/>
      <scheme val="minor"/>
    </font>
    <font>
      <b/>
      <sz val="18"/>
      <name val="Arial"/>
      <charset val="134"/>
    </font>
    <font>
      <b/>
      <sz val="11"/>
      <color rgb="FF000000"/>
      <name val="Times New Roman"/>
      <charset val="134"/>
    </font>
    <font>
      <sz val="12"/>
      <color rgb="FF000000"/>
      <name val="Calibri"/>
      <charset val="134"/>
    </font>
    <font>
      <sz val="10"/>
      <color indexed="12"/>
      <name val="新細明體"/>
      <charset val="136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name val="Geneva"/>
      <charset val="0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2"/>
      <name val="新細明體"/>
      <charset val="136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6">
    <xf numFmtId="0" fontId="0" fillId="0" borderId="0">
      <alignment vertical="center"/>
    </xf>
    <xf numFmtId="183" fontId="0" fillId="0" borderId="0" applyFont="0" applyFill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38" fillId="22" borderId="23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8" borderId="22" applyNumberFormat="0" applyFont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32" fillId="11" borderId="19" applyNumberFormat="0" applyAlignment="0" applyProtection="0">
      <alignment vertical="center"/>
    </xf>
    <xf numFmtId="0" fontId="40" fillId="11" borderId="23" applyNumberFormat="0" applyAlignment="0" applyProtection="0">
      <alignment vertical="center"/>
    </xf>
    <xf numFmtId="0" fontId="35" fillId="16" borderId="21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25" fillId="0" borderId="0"/>
    <xf numFmtId="0" fontId="24" fillId="0" borderId="17" applyNumberFormat="0" applyFill="0" applyAlignment="0" applyProtection="0">
      <alignment vertical="center"/>
    </xf>
    <xf numFmtId="0" fontId="11" fillId="0" borderId="0"/>
    <xf numFmtId="0" fontId="37" fillId="21" borderId="0" applyNumberFormat="0" applyBorder="0" applyAlignment="0" applyProtection="0">
      <alignment vertical="center"/>
    </xf>
    <xf numFmtId="0" fontId="11" fillId="0" borderId="0"/>
    <xf numFmtId="0" fontId="39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41" fillId="0" borderId="0"/>
    <xf numFmtId="0" fontId="0" fillId="0" borderId="0">
      <alignment vertical="center"/>
    </xf>
  </cellStyleXfs>
  <cellXfs count="182">
    <xf numFmtId="0" fontId="0" fillId="0" borderId="0" xfId="0">
      <alignment vertical="center"/>
    </xf>
    <xf numFmtId="0" fontId="1" fillId="0" borderId="1" xfId="32" applyFont="1" applyFill="1" applyBorder="1" applyAlignment="1">
      <alignment horizontal="center" vertical="center"/>
    </xf>
    <xf numFmtId="0" fontId="1" fillId="0" borderId="2" xfId="32" applyFont="1" applyFill="1" applyBorder="1" applyAlignment="1">
      <alignment horizontal="center" vertical="center"/>
    </xf>
    <xf numFmtId="0" fontId="2" fillId="0" borderId="3" xfId="0" applyFont="1" applyFill="1" applyBorder="1">
      <alignment vertical="center"/>
    </xf>
    <xf numFmtId="0" fontId="2" fillId="0" borderId="0" xfId="0" applyFont="1" applyFill="1">
      <alignment vertical="center"/>
    </xf>
    <xf numFmtId="0" fontId="1" fillId="0" borderId="1" xfId="32" applyFont="1" applyFill="1" applyBorder="1"/>
    <xf numFmtId="0" fontId="1" fillId="0" borderId="2" xfId="32" applyFont="1" applyFill="1" applyBorder="1"/>
    <xf numFmtId="0" fontId="3" fillId="0" borderId="2" xfId="32" applyFont="1" applyFill="1" applyBorder="1"/>
    <xf numFmtId="0" fontId="4" fillId="0" borderId="4" xfId="32" applyFont="1" applyFill="1" applyBorder="1"/>
    <xf numFmtId="0" fontId="5" fillId="0" borderId="3" xfId="0" applyFont="1" applyFill="1" applyBorder="1" applyAlignment="1"/>
    <xf numFmtId="0" fontId="3" fillId="0" borderId="0" xfId="32" applyFont="1" applyFill="1" applyBorder="1" applyAlignment="1">
      <alignment horizontal="left"/>
    </xf>
    <xf numFmtId="0" fontId="3" fillId="0" borderId="0" xfId="32" applyFont="1" applyFill="1" applyBorder="1"/>
    <xf numFmtId="0" fontId="3" fillId="0" borderId="5" xfId="32" applyFont="1" applyFill="1" applyBorder="1"/>
    <xf numFmtId="0" fontId="3" fillId="0" borderId="3" xfId="0" applyFont="1" applyFill="1" applyBorder="1" applyAlignment="1"/>
    <xf numFmtId="0" fontId="3" fillId="0" borderId="3" xfId="52" applyFont="1" applyFill="1" applyBorder="1" applyAlignment="1">
      <alignment horizontal="left" vertical="top" wrapText="1"/>
    </xf>
    <xf numFmtId="0" fontId="3" fillId="0" borderId="0" xfId="52" applyFont="1" applyFill="1" applyBorder="1" applyAlignment="1">
      <alignment horizontal="left" vertical="top" wrapText="1"/>
    </xf>
    <xf numFmtId="0" fontId="3" fillId="0" borderId="5" xfId="52" applyFont="1" applyFill="1" applyBorder="1" applyAlignment="1">
      <alignment horizontal="left" vertical="top" wrapText="1"/>
    </xf>
    <xf numFmtId="180" fontId="3" fillId="0" borderId="3" xfId="0" applyNumberFormat="1" applyFont="1" applyFill="1" applyBorder="1" applyAlignment="1">
      <alignment horizontal="left" vertical="top"/>
    </xf>
    <xf numFmtId="0" fontId="3" fillId="0" borderId="3" xfId="32" applyFont="1" applyFill="1" applyBorder="1"/>
    <xf numFmtId="0" fontId="3" fillId="0" borderId="6" xfId="52" applyFont="1" applyFill="1" applyBorder="1" applyAlignment="1">
      <alignment horizontal="left"/>
    </xf>
    <xf numFmtId="0" fontId="3" fillId="0" borderId="7" xfId="52" applyFont="1" applyFill="1" applyBorder="1"/>
    <xf numFmtId="0" fontId="3" fillId="0" borderId="7" xfId="54" applyFont="1" applyFill="1" applyBorder="1"/>
    <xf numFmtId="0" fontId="3" fillId="0" borderId="8" xfId="54" applyFont="1" applyFill="1" applyBorder="1"/>
    <xf numFmtId="0" fontId="3" fillId="0" borderId="6" xfId="32" applyFont="1" applyFill="1" applyBorder="1"/>
    <xf numFmtId="0" fontId="3" fillId="0" borderId="7" xfId="32" applyFont="1" applyFill="1" applyBorder="1"/>
    <xf numFmtId="0" fontId="1" fillId="0" borderId="1" xfId="52" applyFont="1" applyFill="1" applyBorder="1"/>
    <xf numFmtId="0" fontId="3" fillId="0" borderId="4" xfId="32" applyFont="1" applyFill="1" applyBorder="1"/>
    <xf numFmtId="0" fontId="3" fillId="0" borderId="0" xfId="32" applyFont="1" applyFill="1"/>
    <xf numFmtId="0" fontId="3" fillId="0" borderId="3" xfId="32" applyFont="1" applyFill="1" applyBorder="1" applyAlignment="1">
      <alignment horizontal="left"/>
    </xf>
    <xf numFmtId="0" fontId="1" fillId="0" borderId="0" xfId="32" applyFont="1" applyFill="1"/>
    <xf numFmtId="0" fontId="3" fillId="0" borderId="0" xfId="52" applyFont="1" applyFill="1"/>
    <xf numFmtId="0" fontId="3" fillId="0" borderId="3" xfId="32" applyFont="1" applyFill="1" applyBorder="1" applyAlignment="1">
      <alignment vertical="top" wrapText="1"/>
    </xf>
    <xf numFmtId="0" fontId="3" fillId="0" borderId="0" xfId="32" applyFont="1" applyFill="1" applyBorder="1" applyAlignment="1">
      <alignment vertical="top" wrapText="1"/>
    </xf>
    <xf numFmtId="0" fontId="3" fillId="0" borderId="5" xfId="32" applyFont="1" applyFill="1" applyBorder="1" applyAlignment="1">
      <alignment vertical="top" wrapText="1"/>
    </xf>
    <xf numFmtId="0" fontId="3" fillId="0" borderId="6" xfId="0" applyFont="1" applyFill="1" applyBorder="1" applyAlignment="1"/>
    <xf numFmtId="0" fontId="3" fillId="0" borderId="7" xfId="0" applyFont="1" applyFill="1" applyBorder="1" applyAlignment="1"/>
    <xf numFmtId="0" fontId="3" fillId="0" borderId="8" xfId="32" applyFont="1" applyFill="1" applyBorder="1"/>
    <xf numFmtId="0" fontId="6" fillId="0" borderId="0" xfId="32" applyFont="1" applyFill="1"/>
    <xf numFmtId="0" fontId="7" fillId="0" borderId="0" xfId="32" applyFont="1" applyFill="1" applyBorder="1"/>
    <xf numFmtId="0" fontId="3" fillId="0" borderId="0" xfId="0" applyFont="1" applyFill="1" applyBorder="1" applyAlignment="1"/>
    <xf numFmtId="0" fontId="3" fillId="0" borderId="0" xfId="32" applyFont="1" applyFill="1" applyAlignment="1">
      <alignment horizontal="left"/>
    </xf>
    <xf numFmtId="0" fontId="3" fillId="0" borderId="5" xfId="32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4" xfId="52" applyFont="1" applyFill="1" applyBorder="1" applyAlignment="1"/>
    <xf numFmtId="178" fontId="3" fillId="0" borderId="0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1" fillId="0" borderId="0" xfId="32" applyFont="1" applyFill="1" applyBorder="1"/>
    <xf numFmtId="0" fontId="4" fillId="0" borderId="5" xfId="32" applyFont="1" applyFill="1" applyBorder="1"/>
    <xf numFmtId="0" fontId="8" fillId="0" borderId="5" xfId="32" applyFont="1" applyFill="1" applyBorder="1" applyAlignment="1">
      <alignment horizontal="right"/>
    </xf>
    <xf numFmtId="180" fontId="3" fillId="0" borderId="6" xfId="0" applyNumberFormat="1" applyFont="1" applyFill="1" applyBorder="1" applyAlignment="1">
      <alignment horizontal="left"/>
    </xf>
    <xf numFmtId="180" fontId="3" fillId="0" borderId="8" xfId="0" applyNumberFormat="1" applyFont="1" applyFill="1" applyBorder="1" applyAlignment="1">
      <alignment horizontal="left"/>
    </xf>
    <xf numFmtId="0" fontId="1" fillId="0" borderId="9" xfId="52" applyFont="1" applyFill="1" applyBorder="1" applyAlignment="1">
      <alignment horizontal="center" vertical="center"/>
    </xf>
    <xf numFmtId="0" fontId="1" fillId="0" borderId="9" xfId="32" applyFont="1" applyFill="1" applyBorder="1" applyAlignment="1">
      <alignment horizontal="center" vertical="center"/>
    </xf>
    <xf numFmtId="0" fontId="1" fillId="0" borderId="9" xfId="32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shrinkToFit="1"/>
    </xf>
    <xf numFmtId="0" fontId="10" fillId="0" borderId="9" xfId="0" applyFont="1" applyFill="1" applyBorder="1" applyAlignment="1">
      <alignment horizontal="center" vertical="center"/>
    </xf>
    <xf numFmtId="177" fontId="5" fillId="0" borderId="9" xfId="0" applyNumberFormat="1" applyFont="1" applyFill="1" applyBorder="1" applyAlignment="1">
      <alignment horizontal="center" vertical="center" shrinkToFit="1"/>
    </xf>
    <xf numFmtId="182" fontId="5" fillId="0" borderId="9" xfId="0" applyNumberFormat="1" applyFont="1" applyFill="1" applyBorder="1" applyAlignment="1">
      <alignment horizontal="center" vertical="center" wrapText="1" shrinkToFit="1"/>
    </xf>
    <xf numFmtId="179" fontId="5" fillId="0" borderId="9" xfId="0" applyNumberFormat="1" applyFont="1" applyFill="1" applyBorder="1" applyAlignment="1">
      <alignment horizontal="center" vertical="center" wrapText="1" shrinkToFit="1"/>
    </xf>
    <xf numFmtId="0" fontId="10" fillId="0" borderId="9" xfId="0" applyNumberFormat="1" applyFont="1" applyFill="1" applyBorder="1" applyAlignment="1">
      <alignment horizontal="center" vertical="center"/>
    </xf>
    <xf numFmtId="0" fontId="10" fillId="0" borderId="9" xfId="0" applyNumberFormat="1" applyFont="1" applyFill="1" applyBorder="1" applyAlignment="1">
      <alignment horizontal="center" vertical="center" wrapText="1"/>
    </xf>
    <xf numFmtId="179" fontId="5" fillId="0" borderId="10" xfId="0" applyNumberFormat="1" applyFont="1" applyFill="1" applyBorder="1" applyAlignment="1">
      <alignment horizontal="center" vertical="center" wrapText="1" shrinkToFit="1"/>
    </xf>
    <xf numFmtId="179" fontId="5" fillId="0" borderId="11" xfId="0" applyNumberFormat="1" applyFont="1" applyFill="1" applyBorder="1" applyAlignment="1">
      <alignment horizontal="center" vertical="center" wrapText="1" shrinkToFit="1"/>
    </xf>
    <xf numFmtId="0" fontId="0" fillId="0" borderId="9" xfId="0" applyFont="1" applyFill="1" applyBorder="1" applyAlignment="1">
      <alignment horizontal="center" vertical="center"/>
    </xf>
    <xf numFmtId="178" fontId="11" fillId="0" borderId="9" xfId="0" applyNumberFormat="1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shrinkToFit="1"/>
    </xf>
    <xf numFmtId="177" fontId="3" fillId="0" borderId="9" xfId="0" applyNumberFormat="1" applyFont="1" applyFill="1" applyBorder="1" applyAlignment="1">
      <alignment horizontal="center" vertical="center" shrinkToFit="1"/>
    </xf>
    <xf numFmtId="182" fontId="3" fillId="0" borderId="9" xfId="0" applyNumberFormat="1" applyFont="1" applyFill="1" applyBorder="1" applyAlignment="1">
      <alignment horizontal="center" vertical="center" wrapText="1" shrinkToFit="1"/>
    </xf>
    <xf numFmtId="179" fontId="3" fillId="0" borderId="9" xfId="0" applyNumberFormat="1" applyFont="1" applyFill="1" applyBorder="1" applyAlignment="1">
      <alignment horizontal="center" vertical="center" wrapText="1" shrinkToFit="1"/>
    </xf>
    <xf numFmtId="0" fontId="3" fillId="0" borderId="12" xfId="53" applyFont="1" applyFill="1" applyBorder="1" applyAlignment="1">
      <alignment horizontal="center" vertical="center" wrapText="1" shrinkToFit="1"/>
    </xf>
    <xf numFmtId="0" fontId="3" fillId="0" borderId="13" xfId="53" applyFont="1" applyFill="1" applyBorder="1" applyAlignment="1">
      <alignment horizontal="center" vertical="center" wrapText="1" shrinkToFit="1"/>
    </xf>
    <xf numFmtId="0" fontId="3" fillId="0" borderId="13" xfId="32" applyFont="1" applyFill="1" applyBorder="1" applyAlignment="1">
      <alignment horizontal="center" vertical="center" wrapText="1" shrinkToFit="1"/>
    </xf>
    <xf numFmtId="182" fontId="4" fillId="0" borderId="13" xfId="32" applyNumberFormat="1" applyFont="1" applyFill="1" applyBorder="1" applyAlignment="1">
      <alignment horizontal="center" vertical="center" wrapText="1" shrinkToFit="1"/>
    </xf>
    <xf numFmtId="179" fontId="3" fillId="0" borderId="13" xfId="32" applyNumberFormat="1" applyFont="1" applyFill="1" applyBorder="1" applyAlignment="1">
      <alignment horizontal="center" vertical="center" wrapText="1" shrinkToFit="1"/>
    </xf>
    <xf numFmtId="177" fontId="1" fillId="0" borderId="3" xfId="32" applyNumberFormat="1" applyFont="1" applyFill="1" applyBorder="1" applyAlignment="1">
      <alignment horizontal="center"/>
    </xf>
    <xf numFmtId="0" fontId="1" fillId="0" borderId="0" xfId="32" applyFont="1" applyFill="1" applyBorder="1" applyAlignment="1">
      <alignment horizontal="left"/>
    </xf>
    <xf numFmtId="0" fontId="1" fillId="0" borderId="0" xfId="32" applyFont="1" applyFill="1" applyBorder="1" applyAlignment="1">
      <alignment horizontal="center"/>
    </xf>
    <xf numFmtId="182" fontId="1" fillId="0" borderId="0" xfId="32" applyNumberFormat="1" applyFont="1" applyFill="1" applyBorder="1" applyAlignment="1">
      <alignment horizontal="center"/>
    </xf>
    <xf numFmtId="179" fontId="1" fillId="0" borderId="0" xfId="32" applyNumberFormat="1" applyFont="1" applyFill="1" applyBorder="1" applyAlignment="1">
      <alignment horizontal="center"/>
    </xf>
    <xf numFmtId="0" fontId="0" fillId="0" borderId="3" xfId="0" applyFill="1" applyBorder="1">
      <alignment vertical="center"/>
    </xf>
    <xf numFmtId="0" fontId="0" fillId="0" borderId="0" xfId="0" applyFill="1">
      <alignment vertical="center"/>
    </xf>
    <xf numFmtId="0" fontId="5" fillId="0" borderId="0" xfId="32" applyFont="1" applyFill="1" applyAlignment="1">
      <alignment horizontal="center" vertical="center"/>
    </xf>
    <xf numFmtId="0" fontId="3" fillId="0" borderId="0" xfId="32" applyFont="1" applyFill="1" applyAlignment="1">
      <alignment horizontal="center"/>
    </xf>
    <xf numFmtId="0" fontId="5" fillId="0" borderId="0" xfId="32" applyFont="1" applyFill="1"/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5" fillId="0" borderId="0" xfId="32" applyFont="1" applyFill="1" applyAlignment="1">
      <alignment horizontal="left" vertical="top"/>
    </xf>
    <xf numFmtId="0" fontId="1" fillId="0" borderId="4" xfId="32" applyFont="1" applyFill="1" applyBorder="1" applyAlignment="1">
      <alignment horizontal="center" vertical="center"/>
    </xf>
    <xf numFmtId="0" fontId="2" fillId="0" borderId="5" xfId="0" applyFont="1" applyFill="1" applyBorder="1">
      <alignment vertical="center"/>
    </xf>
    <xf numFmtId="0" fontId="14" fillId="0" borderId="5" xfId="0" applyFont="1" applyFill="1" applyBorder="1" applyAlignment="1"/>
    <xf numFmtId="0" fontId="3" fillId="0" borderId="0" xfId="32" applyFont="1" applyFill="1" applyAlignment="1">
      <alignment horizontal="center" vertical="center"/>
    </xf>
    <xf numFmtId="0" fontId="15" fillId="0" borderId="9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179" fontId="1" fillId="0" borderId="13" xfId="32" applyNumberFormat="1" applyFont="1" applyFill="1" applyBorder="1" applyAlignment="1">
      <alignment horizontal="center" vertical="center" wrapText="1" shrinkToFit="1"/>
    </xf>
    <xf numFmtId="179" fontId="1" fillId="0" borderId="14" xfId="32" applyNumberFormat="1" applyFont="1" applyFill="1" applyBorder="1" applyAlignment="1">
      <alignment horizontal="center" vertical="center" wrapText="1" shrinkToFit="1"/>
    </xf>
    <xf numFmtId="179" fontId="1" fillId="0" borderId="5" xfId="32" applyNumberFormat="1" applyFont="1" applyFill="1" applyBorder="1" applyAlignment="1">
      <alignment horizontal="center"/>
    </xf>
    <xf numFmtId="0" fontId="0" fillId="0" borderId="5" xfId="0" applyFill="1" applyBorder="1">
      <alignment vertical="center"/>
    </xf>
    <xf numFmtId="0" fontId="0" fillId="0" borderId="8" xfId="0" applyFill="1" applyBorder="1">
      <alignment vertical="center"/>
    </xf>
    <xf numFmtId="0" fontId="17" fillId="0" borderId="0" xfId="0" applyFont="1">
      <alignment vertical="center"/>
    </xf>
    <xf numFmtId="0" fontId="18" fillId="0" borderId="1" xfId="52" applyFont="1" applyBorder="1" applyAlignment="1">
      <alignment horizontal="center"/>
    </xf>
    <xf numFmtId="0" fontId="18" fillId="0" borderId="2" xfId="52" applyFont="1" applyBorder="1" applyAlignment="1">
      <alignment horizontal="center"/>
    </xf>
    <xf numFmtId="0" fontId="1" fillId="2" borderId="1" xfId="52" applyFont="1" applyFill="1" applyBorder="1"/>
    <xf numFmtId="0" fontId="1" fillId="2" borderId="2" xfId="52" applyFont="1" applyFill="1" applyBorder="1"/>
    <xf numFmtId="0" fontId="3" fillId="0" borderId="2" xfId="52" applyFont="1" applyBorder="1"/>
    <xf numFmtId="0" fontId="4" fillId="0" borderId="4" xfId="32" applyFont="1" applyBorder="1"/>
    <xf numFmtId="0" fontId="3" fillId="2" borderId="2" xfId="52" applyFont="1" applyFill="1" applyBorder="1"/>
    <xf numFmtId="0" fontId="3" fillId="0" borderId="0" xfId="52" applyFont="1" applyFill="1" applyBorder="1"/>
    <xf numFmtId="0" fontId="3" fillId="0" borderId="5" xfId="52" applyFont="1" applyFill="1" applyBorder="1"/>
    <xf numFmtId="49" fontId="3" fillId="0" borderId="0" xfId="52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5" xfId="0" applyFont="1" applyFill="1" applyBorder="1" applyAlignment="1">
      <alignment vertical="top" wrapText="1"/>
    </xf>
    <xf numFmtId="180" fontId="3" fillId="0" borderId="0" xfId="0" applyNumberFormat="1" applyFont="1" applyFill="1" applyBorder="1" applyAlignment="1"/>
    <xf numFmtId="180" fontId="3" fillId="0" borderId="0" xfId="0" applyNumberFormat="1" applyFont="1" applyFill="1" applyBorder="1" applyAlignment="1">
      <alignment horizontal="left"/>
    </xf>
    <xf numFmtId="0" fontId="3" fillId="0" borderId="3" xfId="52" applyFont="1" applyFill="1" applyBorder="1"/>
    <xf numFmtId="0" fontId="1" fillId="0" borderId="2" xfId="52" applyFont="1" applyFill="1" applyBorder="1"/>
    <xf numFmtId="0" fontId="3" fillId="0" borderId="2" xfId="52" applyFont="1" applyFill="1" applyBorder="1"/>
    <xf numFmtId="0" fontId="3" fillId="0" borderId="4" xfId="52" applyFont="1" applyFill="1" applyBorder="1"/>
    <xf numFmtId="0" fontId="1" fillId="0" borderId="5" xfId="32" applyFont="1" applyFill="1" applyBorder="1" applyAlignment="1">
      <alignment horizontal="left"/>
    </xf>
    <xf numFmtId="0" fontId="3" fillId="0" borderId="3" xfId="52" applyFont="1" applyFill="1" applyBorder="1" applyAlignment="1">
      <alignment horizontal="center"/>
    </xf>
    <xf numFmtId="0" fontId="3" fillId="0" borderId="0" xfId="52" applyFont="1" applyFill="1" applyBorder="1" applyAlignment="1">
      <alignment horizontal="center"/>
    </xf>
    <xf numFmtId="0" fontId="3" fillId="0" borderId="6" xfId="32" applyFont="1" applyFill="1" applyBorder="1" applyAlignment="1">
      <alignment horizontal="left" vertical="top" wrapText="1"/>
    </xf>
    <xf numFmtId="0" fontId="3" fillId="0" borderId="7" xfId="32" applyFont="1" applyFill="1" applyBorder="1" applyAlignment="1">
      <alignment horizontal="left" vertical="top" wrapText="1"/>
    </xf>
    <xf numFmtId="0" fontId="3" fillId="0" borderId="8" xfId="32" applyFont="1" applyFill="1" applyBorder="1" applyAlignment="1">
      <alignment horizontal="left" vertical="top" wrapText="1"/>
    </xf>
    <xf numFmtId="0" fontId="3" fillId="0" borderId="6" xfId="52" applyFont="1" applyFill="1" applyBorder="1" applyAlignment="1">
      <alignment wrapText="1"/>
    </xf>
    <xf numFmtId="0" fontId="3" fillId="0" borderId="7" xfId="52" applyFont="1" applyFill="1" applyBorder="1" applyAlignment="1">
      <alignment wrapText="1"/>
    </xf>
    <xf numFmtId="0" fontId="1" fillId="0" borderId="0" xfId="52" applyFont="1" applyFill="1" applyBorder="1"/>
    <xf numFmtId="0" fontId="5" fillId="0" borderId="3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5" fillId="0" borderId="6" xfId="0" applyFont="1" applyFill="1" applyBorder="1" applyAlignment="1"/>
    <xf numFmtId="0" fontId="3" fillId="0" borderId="8" xfId="52" applyFont="1" applyFill="1" applyBorder="1" applyAlignment="1"/>
    <xf numFmtId="0" fontId="5" fillId="0" borderId="0" xfId="52" applyFont="1" applyFill="1" applyBorder="1"/>
    <xf numFmtId="0" fontId="1" fillId="0" borderId="3" xfId="52" applyFont="1" applyFill="1" applyBorder="1"/>
    <xf numFmtId="0" fontId="3" fillId="0" borderId="8" xfId="0" applyFont="1" applyFill="1" applyBorder="1" applyAlignment="1">
      <alignment horizontal="center"/>
    </xf>
    <xf numFmtId="0" fontId="14" fillId="0" borderId="7" xfId="0" applyFont="1" applyFill="1" applyBorder="1" applyAlignment="1"/>
    <xf numFmtId="0" fontId="1" fillId="0" borderId="3" xfId="52" applyFont="1" applyFill="1" applyBorder="1" applyAlignment="1">
      <alignment horizontal="center" vertical="center"/>
    </xf>
    <xf numFmtId="0" fontId="1" fillId="0" borderId="0" xfId="52" applyFont="1" applyFill="1" applyBorder="1" applyAlignment="1">
      <alignment horizontal="center" vertical="center"/>
    </xf>
    <xf numFmtId="0" fontId="1" fillId="0" borderId="0" xfId="52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 shrinkToFit="1"/>
    </xf>
    <xf numFmtId="0" fontId="19" fillId="0" borderId="9" xfId="0" applyFont="1" applyFill="1" applyBorder="1" applyAlignment="1">
      <alignment horizontal="center" vertical="center"/>
    </xf>
    <xf numFmtId="184" fontId="5" fillId="0" borderId="9" xfId="0" applyNumberFormat="1" applyFont="1" applyFill="1" applyBorder="1" applyAlignment="1">
      <alignment horizontal="center" vertical="center" wrapText="1" shrinkToFit="1"/>
    </xf>
    <xf numFmtId="176" fontId="5" fillId="0" borderId="9" xfId="0" applyNumberFormat="1" applyFont="1" applyFill="1" applyBorder="1" applyAlignment="1">
      <alignment horizontal="center" vertical="center" wrapText="1" shrinkToFit="1"/>
    </xf>
    <xf numFmtId="0" fontId="5" fillId="0" borderId="9" xfId="0" applyNumberFormat="1" applyFont="1" applyFill="1" applyBorder="1" applyAlignment="1">
      <alignment horizontal="center" vertical="center" wrapText="1" shrinkToFit="1"/>
    </xf>
    <xf numFmtId="0" fontId="17" fillId="0" borderId="3" xfId="0" applyFont="1" applyFill="1" applyBorder="1">
      <alignment vertical="center"/>
    </xf>
    <xf numFmtId="0" fontId="17" fillId="0" borderId="0" xfId="0" applyFont="1" applyFill="1">
      <alignment vertical="center"/>
    </xf>
    <xf numFmtId="0" fontId="3" fillId="0" borderId="15" xfId="52" applyFont="1" applyFill="1" applyBorder="1"/>
    <xf numFmtId="0" fontId="3" fillId="0" borderId="16" xfId="52" applyFont="1" applyFill="1" applyBorder="1"/>
    <xf numFmtId="0" fontId="3" fillId="0" borderId="16" xfId="52" applyFont="1" applyFill="1" applyBorder="1" applyAlignment="1">
      <alignment horizontal="left"/>
    </xf>
    <xf numFmtId="182" fontId="1" fillId="0" borderId="16" xfId="52" applyNumberFormat="1" applyFont="1" applyFill="1" applyBorder="1" applyAlignment="1">
      <alignment horizontal="center"/>
    </xf>
    <xf numFmtId="0" fontId="1" fillId="0" borderId="16" xfId="52" applyFont="1" applyFill="1" applyBorder="1"/>
    <xf numFmtId="176" fontId="1" fillId="0" borderId="16" xfId="52" applyNumberFormat="1" applyFont="1" applyFill="1" applyBorder="1" applyAlignment="1">
      <alignment horizont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0" fontId="18" fillId="0" borderId="4" xfId="52" applyFont="1" applyBorder="1" applyAlignment="1">
      <alignment horizontal="center"/>
    </xf>
    <xf numFmtId="0" fontId="14" fillId="0" borderId="2" xfId="0" applyFont="1" applyFill="1" applyBorder="1" applyAlignment="1"/>
    <xf numFmtId="0" fontId="14" fillId="0" borderId="0" xfId="0" applyFont="1" applyFill="1" applyAlignment="1"/>
    <xf numFmtId="0" fontId="14" fillId="0" borderId="2" xfId="0" applyFont="1" applyFill="1" applyBorder="1" applyAlignment="1">
      <alignment vertical="center"/>
    </xf>
    <xf numFmtId="0" fontId="14" fillId="0" borderId="0" xfId="0" applyFont="1" applyFill="1" applyAlignment="1">
      <alignment vertical="center"/>
    </xf>
    <xf numFmtId="0" fontId="14" fillId="0" borderId="5" xfId="0" applyFont="1" applyFill="1" applyBorder="1" applyAlignment="1">
      <alignment vertical="center"/>
    </xf>
    <xf numFmtId="0" fontId="21" fillId="0" borderId="0" xfId="0" applyFont="1" applyFill="1" applyAlignment="1">
      <alignment vertical="center"/>
    </xf>
    <xf numFmtId="0" fontId="21" fillId="0" borderId="5" xfId="0" applyFont="1" applyFill="1" applyBorder="1" applyAlignment="1">
      <alignment vertical="center"/>
    </xf>
    <xf numFmtId="0" fontId="14" fillId="0" borderId="0" xfId="0" applyFont="1" applyFill="1" applyBorder="1" applyAlignment="1"/>
    <xf numFmtId="0" fontId="4" fillId="0" borderId="7" xfId="32" applyFont="1" applyFill="1" applyBorder="1" applyAlignment="1">
      <alignment wrapText="1"/>
    </xf>
    <xf numFmtId="0" fontId="14" fillId="0" borderId="0" xfId="0" applyFont="1" applyFill="1" applyBorder="1" applyAlignment="1">
      <alignment wrapText="1"/>
    </xf>
    <xf numFmtId="0" fontId="21" fillId="0" borderId="8" xfId="0" applyFont="1" applyFill="1" applyBorder="1" applyAlignment="1">
      <alignment vertical="center" wrapText="1"/>
    </xf>
    <xf numFmtId="0" fontId="17" fillId="0" borderId="0" xfId="0" applyFont="1" applyFill="1" applyAlignment="1">
      <alignment vertical="center" wrapText="1"/>
    </xf>
    <xf numFmtId="0" fontId="16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 wrapText="1"/>
    </xf>
    <xf numFmtId="0" fontId="5" fillId="0" borderId="9" xfId="52" applyFont="1" applyFill="1" applyBorder="1" applyAlignment="1">
      <alignment horizontal="center" vertical="center"/>
    </xf>
    <xf numFmtId="0" fontId="17" fillId="0" borderId="7" xfId="0" applyFont="1" applyFill="1" applyBorder="1">
      <alignment vertical="center"/>
    </xf>
    <xf numFmtId="0" fontId="17" fillId="0" borderId="8" xfId="0" applyFont="1" applyFill="1" applyBorder="1">
      <alignment vertical="center"/>
    </xf>
    <xf numFmtId="179" fontId="1" fillId="0" borderId="16" xfId="52" applyNumberFormat="1" applyFont="1" applyFill="1" applyBorder="1" applyAlignment="1">
      <alignment horizontal="center"/>
    </xf>
    <xf numFmtId="0" fontId="16" fillId="0" borderId="7" xfId="0" applyFont="1" applyFill="1" applyBorder="1" applyAlignment="1"/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常规_Sheet2" xfId="30"/>
    <cellStyle name="汇总" xfId="31" builtinId="25"/>
    <cellStyle name="一般_OMRON海運出口" xfId="32"/>
    <cellStyle name="好" xfId="33" builtinId="26"/>
    <cellStyle name="常规_3-31" xfId="34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  <cellStyle name="一般_OMRON" xfId="52"/>
    <cellStyle name="常规_Sheet1_1" xfId="53"/>
    <cellStyle name="常规_啟德一般貿易" xfId="54"/>
    <cellStyle name="常规 2" xfId="55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390525</xdr:colOff>
      <xdr:row>22</xdr:row>
      <xdr:rowOff>76200</xdr:rowOff>
    </xdr:from>
    <xdr:to>
      <xdr:col>13</xdr:col>
      <xdr:colOff>676275</xdr:colOff>
      <xdr:row>26</xdr:row>
      <xdr:rowOff>85725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9620250" y="7762875"/>
          <a:ext cx="971550" cy="895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180975</xdr:colOff>
      <xdr:row>37</xdr:row>
      <xdr:rowOff>57150</xdr:rowOff>
    </xdr:from>
    <xdr:to>
      <xdr:col>8</xdr:col>
      <xdr:colOff>438150</xdr:colOff>
      <xdr:row>43</xdr:row>
      <xdr:rowOff>9525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619750" y="6867525"/>
          <a:ext cx="971550" cy="981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27"/>
  <sheetViews>
    <sheetView tabSelected="1" view="pageBreakPreview" zoomScaleNormal="100" zoomScaleSheetLayoutView="100" topLeftCell="A7" workbookViewId="0">
      <selection activeCell="I10" sqref="I10"/>
    </sheetView>
  </sheetViews>
  <sheetFormatPr defaultColWidth="9" defaultRowHeight="22.5"/>
  <cols>
    <col min="1" max="1" width="9" style="106"/>
    <col min="2" max="2" width="10" style="106" customWidth="1"/>
    <col min="3" max="3" width="19" style="106" customWidth="1"/>
    <col min="4" max="4" width="10.5" style="106" customWidth="1"/>
    <col min="5" max="5" width="9.375" style="106"/>
    <col min="6" max="8" width="9" style="106"/>
    <col min="9" max="10" width="9.125" style="106"/>
    <col min="11" max="13" width="9" style="106"/>
    <col min="14" max="14" width="12.25" style="106"/>
    <col min="15" max="16384" width="9" style="106"/>
  </cols>
  <sheetData>
    <row r="1" ht="23.25" spans="1:15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61"/>
    </row>
    <row r="2" ht="13.5" spans="1:15">
      <c r="A2" s="109" t="s">
        <v>1</v>
      </c>
      <c r="B2" s="110"/>
      <c r="C2" s="111"/>
      <c r="D2" s="112"/>
      <c r="E2" s="109" t="s">
        <v>2</v>
      </c>
      <c r="F2" s="113"/>
      <c r="G2" s="113"/>
      <c r="H2" s="111"/>
      <c r="I2" s="111"/>
      <c r="J2" s="162"/>
      <c r="K2" s="162"/>
      <c r="L2" s="162"/>
      <c r="M2" s="162"/>
      <c r="N2" s="162"/>
      <c r="O2" s="95"/>
    </row>
    <row r="3" spans="1:16">
      <c r="A3" s="9" t="s">
        <v>3</v>
      </c>
      <c r="B3" s="10"/>
      <c r="C3" s="114"/>
      <c r="D3" s="115"/>
      <c r="E3" s="13" t="s">
        <v>4</v>
      </c>
      <c r="F3" s="114"/>
      <c r="G3" s="116"/>
      <c r="H3" s="116"/>
      <c r="I3" s="114"/>
      <c r="J3" s="163"/>
      <c r="K3" s="163"/>
      <c r="L3" s="163"/>
      <c r="M3" s="163"/>
      <c r="N3" s="163"/>
      <c r="O3" s="95"/>
      <c r="P3" s="152"/>
    </row>
    <row r="4" spans="1:16">
      <c r="A4" s="117" t="s">
        <v>5</v>
      </c>
      <c r="B4" s="118"/>
      <c r="C4" s="118"/>
      <c r="D4" s="119"/>
      <c r="E4" s="17">
        <v>46001</v>
      </c>
      <c r="F4" s="120"/>
      <c r="G4" s="120"/>
      <c r="H4" s="121"/>
      <c r="I4" s="114"/>
      <c r="J4" s="163"/>
      <c r="K4" s="163"/>
      <c r="L4" s="163"/>
      <c r="M4" s="163"/>
      <c r="N4" s="163"/>
      <c r="O4" s="95"/>
      <c r="P4" s="152"/>
    </row>
    <row r="5" spans="1:16">
      <c r="A5" s="117"/>
      <c r="B5" s="118"/>
      <c r="C5" s="118"/>
      <c r="D5" s="119"/>
      <c r="E5" s="122"/>
      <c r="F5" s="114"/>
      <c r="G5" s="114"/>
      <c r="H5" s="114"/>
      <c r="I5" s="114"/>
      <c r="J5" s="163"/>
      <c r="K5" s="163"/>
      <c r="L5" s="163"/>
      <c r="M5" s="163"/>
      <c r="N5" s="163"/>
      <c r="O5" s="95"/>
      <c r="P5" s="152"/>
    </row>
    <row r="6" spans="1:16">
      <c r="A6" s="25" t="s">
        <v>6</v>
      </c>
      <c r="B6" s="123"/>
      <c r="C6" s="124"/>
      <c r="D6" s="125"/>
      <c r="E6" s="25" t="s">
        <v>7</v>
      </c>
      <c r="F6" s="124"/>
      <c r="G6" s="124"/>
      <c r="H6" s="124"/>
      <c r="I6" s="124"/>
      <c r="J6" s="164"/>
      <c r="K6" s="165"/>
      <c r="L6" s="165"/>
      <c r="M6" s="165"/>
      <c r="N6" s="165"/>
      <c r="O6" s="166"/>
      <c r="P6" s="152"/>
    </row>
    <row r="7" spans="1:16">
      <c r="A7" s="28" t="s">
        <v>8</v>
      </c>
      <c r="B7" s="10"/>
      <c r="C7" s="81"/>
      <c r="D7" s="126"/>
      <c r="E7" s="122" t="s">
        <v>9</v>
      </c>
      <c r="F7" s="114"/>
      <c r="G7" s="114"/>
      <c r="H7" s="114"/>
      <c r="I7" s="114"/>
      <c r="J7" s="165"/>
      <c r="K7" s="165"/>
      <c r="L7" s="165"/>
      <c r="M7" s="165"/>
      <c r="N7" s="165"/>
      <c r="O7" s="166"/>
      <c r="P7" s="152"/>
    </row>
    <row r="8" spans="1:16">
      <c r="A8" s="117" t="s">
        <v>10</v>
      </c>
      <c r="B8" s="118"/>
      <c r="C8" s="118"/>
      <c r="D8" s="119"/>
      <c r="E8" s="127"/>
      <c r="F8" s="128"/>
      <c r="G8" s="128"/>
      <c r="H8" s="128"/>
      <c r="I8" s="128"/>
      <c r="J8" s="167"/>
      <c r="K8" s="167"/>
      <c r="L8" s="167"/>
      <c r="M8" s="167"/>
      <c r="N8" s="167"/>
      <c r="O8" s="168"/>
      <c r="P8" s="152"/>
    </row>
    <row r="9" spans="1:16">
      <c r="A9" s="25" t="s">
        <v>11</v>
      </c>
      <c r="B9" s="124"/>
      <c r="C9" s="124"/>
      <c r="D9" s="125"/>
      <c r="E9" s="25" t="s">
        <v>12</v>
      </c>
      <c r="F9" s="124"/>
      <c r="G9" s="124"/>
      <c r="H9" s="124"/>
      <c r="I9" s="124"/>
      <c r="J9" s="124"/>
      <c r="K9" s="124"/>
      <c r="L9" s="124"/>
      <c r="M9" s="124"/>
      <c r="N9" s="124"/>
      <c r="O9" s="125"/>
      <c r="P9" s="152"/>
    </row>
    <row r="10" spans="1:16">
      <c r="A10" s="28" t="s">
        <v>8</v>
      </c>
      <c r="B10" s="10"/>
      <c r="C10" s="10"/>
      <c r="D10" s="115"/>
      <c r="E10" s="122" t="s">
        <v>13</v>
      </c>
      <c r="F10" s="39"/>
      <c r="G10" s="39"/>
      <c r="H10" s="39"/>
      <c r="I10" s="39"/>
      <c r="J10" s="169"/>
      <c r="K10" s="169"/>
      <c r="L10" s="169"/>
      <c r="M10" s="169"/>
      <c r="N10" s="169"/>
      <c r="O10" s="95"/>
      <c r="P10" s="152"/>
    </row>
    <row r="11" ht="28" customHeight="1" spans="1:16">
      <c r="A11" s="129" t="s">
        <v>10</v>
      </c>
      <c r="B11" s="130"/>
      <c r="C11" s="130"/>
      <c r="D11" s="131"/>
      <c r="E11" s="132"/>
      <c r="F11" s="133"/>
      <c r="G11" s="133"/>
      <c r="H11" s="133"/>
      <c r="I11" s="170"/>
      <c r="J11" s="171"/>
      <c r="K11" s="171"/>
      <c r="L11" s="171"/>
      <c r="M11" s="171"/>
      <c r="N11" s="171"/>
      <c r="O11" s="172"/>
      <c r="P11" s="173"/>
    </row>
    <row r="12" spans="1:16">
      <c r="A12" s="25" t="s">
        <v>14</v>
      </c>
      <c r="B12" s="124"/>
      <c r="C12" s="25" t="s">
        <v>15</v>
      </c>
      <c r="D12" s="125"/>
      <c r="E12" s="134" t="s">
        <v>16</v>
      </c>
      <c r="F12" s="27"/>
      <c r="G12" s="27"/>
      <c r="H12" s="27"/>
      <c r="I12" s="30"/>
      <c r="J12" s="162"/>
      <c r="K12" s="162"/>
      <c r="L12" s="162"/>
      <c r="M12" s="162"/>
      <c r="N12" s="162"/>
      <c r="O12" s="95"/>
      <c r="P12" s="152"/>
    </row>
    <row r="13" spans="1:16">
      <c r="A13" s="135"/>
      <c r="B13" s="136"/>
      <c r="C13" s="135"/>
      <c r="D13" s="136"/>
      <c r="E13" s="122"/>
      <c r="F13" s="114"/>
      <c r="G13" s="114"/>
      <c r="H13" s="114"/>
      <c r="I13" s="30"/>
      <c r="J13" s="169"/>
      <c r="K13" s="169"/>
      <c r="L13" s="169"/>
      <c r="M13" s="169"/>
      <c r="N13" s="169"/>
      <c r="O13" s="95"/>
      <c r="P13" s="152"/>
    </row>
    <row r="14" ht="14" customHeight="1" spans="1:16">
      <c r="A14" s="34"/>
      <c r="B14" s="35"/>
      <c r="C14" s="137"/>
      <c r="D14" s="138"/>
      <c r="E14" s="139"/>
      <c r="F14" s="39"/>
      <c r="G14" s="114"/>
      <c r="H14" s="114"/>
      <c r="I14" s="30"/>
      <c r="J14" s="169"/>
      <c r="K14" s="169"/>
      <c r="L14" s="169"/>
      <c r="M14" s="169"/>
      <c r="N14" s="169"/>
      <c r="O14" s="95"/>
      <c r="P14" s="152"/>
    </row>
    <row r="15" spans="1:16">
      <c r="A15" s="25" t="s">
        <v>17</v>
      </c>
      <c r="B15" s="125"/>
      <c r="C15" s="140" t="s">
        <v>18</v>
      </c>
      <c r="D15" s="51"/>
      <c r="E15" s="139"/>
      <c r="F15" s="39"/>
      <c r="G15" s="30"/>
      <c r="H15" s="30"/>
      <c r="I15" s="30"/>
      <c r="J15" s="169"/>
      <c r="K15" s="169"/>
      <c r="L15" s="169"/>
      <c r="M15" s="169"/>
      <c r="N15" s="169"/>
      <c r="O15" s="95"/>
      <c r="P15" s="152"/>
    </row>
    <row r="16" spans="1:16">
      <c r="A16" s="46"/>
      <c r="B16" s="141"/>
      <c r="C16" s="52"/>
      <c r="D16" s="53"/>
      <c r="E16" s="142" t="s">
        <v>19</v>
      </c>
      <c r="F16" s="142" t="s">
        <v>20</v>
      </c>
      <c r="G16" s="20"/>
      <c r="H16" s="20"/>
      <c r="I16" s="20"/>
      <c r="J16" s="142"/>
      <c r="K16" s="169"/>
      <c r="L16" s="169"/>
      <c r="M16" s="169"/>
      <c r="N16" s="169"/>
      <c r="O16" s="95"/>
      <c r="P16" s="152"/>
    </row>
    <row r="17" ht="25.5" spans="1:16">
      <c r="A17" s="143" t="s">
        <v>21</v>
      </c>
      <c r="B17" s="144" t="s">
        <v>22</v>
      </c>
      <c r="C17" s="144" t="s">
        <v>23</v>
      </c>
      <c r="D17" s="145" t="s">
        <v>24</v>
      </c>
      <c r="E17" s="144" t="s">
        <v>25</v>
      </c>
      <c r="F17" s="144" t="s">
        <v>26</v>
      </c>
      <c r="G17" s="144" t="s">
        <v>27</v>
      </c>
      <c r="H17" s="144" t="s">
        <v>28</v>
      </c>
      <c r="I17" s="144" t="s">
        <v>29</v>
      </c>
      <c r="J17" s="174" t="s">
        <v>30</v>
      </c>
      <c r="K17" s="174" t="s">
        <v>31</v>
      </c>
      <c r="L17" s="175" t="s">
        <v>32</v>
      </c>
      <c r="M17" s="175" t="s">
        <v>33</v>
      </c>
      <c r="N17" s="175" t="s">
        <v>34</v>
      </c>
      <c r="O17" s="176" t="s">
        <v>35</v>
      </c>
      <c r="P17" s="152"/>
    </row>
    <row r="18" ht="62" customHeight="1" spans="1:16">
      <c r="A18" s="146" t="s">
        <v>36</v>
      </c>
      <c r="B18" s="147" t="s">
        <v>37</v>
      </c>
      <c r="C18" s="147">
        <v>2250801236</v>
      </c>
      <c r="D18" s="146" t="s">
        <v>38</v>
      </c>
      <c r="E18" s="60">
        <v>200</v>
      </c>
      <c r="F18" s="148" t="s">
        <v>39</v>
      </c>
      <c r="G18" s="149">
        <v>1.862</v>
      </c>
      <c r="H18" s="150" t="s">
        <v>40</v>
      </c>
      <c r="I18" s="62">
        <f>ROUND(G18*E18,2)</f>
        <v>372.4</v>
      </c>
      <c r="J18" s="146" t="s">
        <v>41</v>
      </c>
      <c r="K18" s="177" t="s">
        <v>42</v>
      </c>
      <c r="L18" s="146" t="s">
        <v>43</v>
      </c>
      <c r="M18" s="146" t="s">
        <v>43</v>
      </c>
      <c r="N18" s="146" t="s">
        <v>43</v>
      </c>
      <c r="O18" s="146">
        <v>770.84</v>
      </c>
      <c r="P18" s="152"/>
    </row>
    <row r="19" ht="62" customHeight="1" spans="1:16">
      <c r="A19" s="146">
        <v>2</v>
      </c>
      <c r="B19" s="147" t="s">
        <v>44</v>
      </c>
      <c r="C19" s="147">
        <v>2250901529</v>
      </c>
      <c r="D19" s="146" t="s">
        <v>38</v>
      </c>
      <c r="E19" s="60">
        <v>5018</v>
      </c>
      <c r="F19" s="148" t="s">
        <v>39</v>
      </c>
      <c r="G19" s="149">
        <v>2.2998</v>
      </c>
      <c r="H19" s="150" t="s">
        <v>40</v>
      </c>
      <c r="I19" s="62">
        <f>ROUND(G19*E19,2)</f>
        <v>11540.4</v>
      </c>
      <c r="J19" s="146" t="s">
        <v>41</v>
      </c>
      <c r="K19" s="177" t="s">
        <v>42</v>
      </c>
      <c r="L19" s="146" t="s">
        <v>43</v>
      </c>
      <c r="M19" s="146" t="s">
        <v>43</v>
      </c>
      <c r="N19" s="146" t="s">
        <v>43</v>
      </c>
      <c r="O19" s="146"/>
      <c r="P19" s="152"/>
    </row>
    <row r="20" ht="62" customHeight="1" spans="1:16">
      <c r="A20" s="146">
        <v>3</v>
      </c>
      <c r="B20" s="147" t="s">
        <v>44</v>
      </c>
      <c r="C20" s="147">
        <v>2250901736</v>
      </c>
      <c r="D20" s="146" t="s">
        <v>38</v>
      </c>
      <c r="E20" s="60">
        <v>750</v>
      </c>
      <c r="F20" s="148" t="s">
        <v>39</v>
      </c>
      <c r="G20" s="149">
        <v>2.2998</v>
      </c>
      <c r="H20" s="150" t="s">
        <v>40</v>
      </c>
      <c r="I20" s="62">
        <f>ROUND(G20*E20,2)</f>
        <v>1724.85</v>
      </c>
      <c r="J20" s="146" t="s">
        <v>41</v>
      </c>
      <c r="K20" s="177" t="s">
        <v>42</v>
      </c>
      <c r="L20" s="146" t="s">
        <v>43</v>
      </c>
      <c r="M20" s="146" t="s">
        <v>43</v>
      </c>
      <c r="N20" s="146" t="s">
        <v>43</v>
      </c>
      <c r="O20" s="146"/>
      <c r="P20" s="152"/>
    </row>
    <row r="21" spans="1:16">
      <c r="A21" s="151"/>
      <c r="B21" s="152"/>
      <c r="C21" s="152"/>
      <c r="D21" s="152"/>
      <c r="E21" s="152"/>
      <c r="F21" s="152"/>
      <c r="G21" s="152"/>
      <c r="H21" s="152"/>
      <c r="I21" s="152"/>
      <c r="J21" s="178"/>
      <c r="K21" s="178"/>
      <c r="L21" s="178"/>
      <c r="M21" s="178"/>
      <c r="N21" s="178"/>
      <c r="O21" s="179"/>
      <c r="P21" s="152"/>
    </row>
    <row r="22" spans="1:16">
      <c r="A22" s="153"/>
      <c r="B22" s="154"/>
      <c r="C22" s="155" t="s">
        <v>45</v>
      </c>
      <c r="D22" s="155"/>
      <c r="E22" s="156">
        <f>SUM(E18:E21)</f>
        <v>5968</v>
      </c>
      <c r="F22" s="157"/>
      <c r="G22" s="158"/>
      <c r="H22" s="158"/>
      <c r="I22" s="180">
        <f>SUM(I18:I21)</f>
        <v>13637.65</v>
      </c>
      <c r="J22" s="181"/>
      <c r="K22" s="181"/>
      <c r="L22" s="181"/>
      <c r="M22" s="181"/>
      <c r="N22" s="181"/>
      <c r="O22" s="180">
        <f>SUM(O18:O21)</f>
        <v>770.84</v>
      </c>
      <c r="P22" s="152"/>
    </row>
    <row r="23" spans="1:16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</row>
    <row r="24" ht="15.75" spans="1:2">
      <c r="A24" s="159" t="s">
        <v>46</v>
      </c>
      <c r="B24" s="159" t="s">
        <v>47</v>
      </c>
    </row>
    <row r="25" ht="15.75" spans="1:3">
      <c r="A25" s="159" t="s">
        <v>48</v>
      </c>
      <c r="C25" s="160">
        <v>2358</v>
      </c>
    </row>
    <row r="26" ht="15.75" spans="1:2">
      <c r="A26" s="159" t="s">
        <v>49</v>
      </c>
      <c r="B26" s="159" t="s">
        <v>50</v>
      </c>
    </row>
    <row r="27" ht="15.75" spans="1:2">
      <c r="A27" s="159" t="s">
        <v>51</v>
      </c>
      <c r="B27" s="159" t="s">
        <v>52</v>
      </c>
    </row>
  </sheetData>
  <mergeCells count="10">
    <mergeCell ref="A1:O1"/>
    <mergeCell ref="A8:D8"/>
    <mergeCell ref="E8:I8"/>
    <mergeCell ref="A11:D11"/>
    <mergeCell ref="A13:B13"/>
    <mergeCell ref="C13:D13"/>
    <mergeCell ref="C16:D16"/>
    <mergeCell ref="C22:D22"/>
    <mergeCell ref="O18:O20"/>
    <mergeCell ref="A4:D5"/>
  </mergeCells>
  <pageMargins left="0.75" right="0.75" top="1" bottom="1" header="0.5" footer="0.5"/>
  <pageSetup paperSize="9" scale="58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38"/>
  <sheetViews>
    <sheetView view="pageBreakPreview" zoomScale="130" zoomScaleNormal="100" zoomScaleSheetLayoutView="130" topLeftCell="A13" workbookViewId="0">
      <selection activeCell="P30" sqref="P30"/>
    </sheetView>
  </sheetViews>
  <sheetFormatPr defaultColWidth="9" defaultRowHeight="13.5"/>
  <cols>
    <col min="2" max="2" width="14.125" customWidth="1"/>
    <col min="3" max="3" width="11.125" customWidth="1"/>
    <col min="6" max="6" width="10.125"/>
    <col min="8" max="8" width="9.375"/>
    <col min="10" max="10" width="10.875" customWidth="1"/>
  </cols>
  <sheetData>
    <row r="1" spans="1:12">
      <c r="A1" s="1" t="s">
        <v>53</v>
      </c>
      <c r="B1" s="2"/>
      <c r="C1" s="2"/>
      <c r="D1" s="2"/>
      <c r="E1" s="2"/>
      <c r="F1" s="2"/>
      <c r="G1" s="2"/>
      <c r="H1" s="2"/>
      <c r="I1" s="2"/>
      <c r="J1" s="93"/>
      <c r="K1" s="86"/>
      <c r="L1" s="86"/>
    </row>
    <row r="2" spans="1:12">
      <c r="A2" s="3"/>
      <c r="B2" s="4"/>
      <c r="C2" s="4"/>
      <c r="D2" s="4"/>
      <c r="E2" s="4"/>
      <c r="F2" s="4"/>
      <c r="G2" s="4"/>
      <c r="H2" s="4"/>
      <c r="I2" s="4"/>
      <c r="J2" s="94"/>
      <c r="K2" s="86"/>
      <c r="L2" s="86"/>
    </row>
    <row r="3" spans="1:12">
      <c r="A3" s="5" t="s">
        <v>1</v>
      </c>
      <c r="B3" s="6"/>
      <c r="C3" s="7"/>
      <c r="D3" s="7"/>
      <c r="E3" s="8"/>
      <c r="F3" s="6" t="s">
        <v>54</v>
      </c>
      <c r="G3" s="7"/>
      <c r="H3" s="7"/>
      <c r="I3" s="7"/>
      <c r="J3" s="95"/>
      <c r="K3" s="86"/>
      <c r="L3" s="86"/>
    </row>
    <row r="4" spans="1:12">
      <c r="A4" s="9" t="str">
        <f>INVOICE!A3</f>
        <v>Express Electronics Trading Limited</v>
      </c>
      <c r="B4" s="10"/>
      <c r="C4" s="11"/>
      <c r="D4" s="11"/>
      <c r="E4" s="12"/>
      <c r="F4" s="13" t="str">
        <f>INVOICE!E3</f>
        <v>YX20251208</v>
      </c>
      <c r="G4" s="11"/>
      <c r="H4" s="11"/>
      <c r="I4" s="11"/>
      <c r="J4" s="95"/>
      <c r="K4" s="86"/>
      <c r="L4" s="86"/>
    </row>
    <row r="5" spans="1:12">
      <c r="A5" s="14"/>
      <c r="B5" s="15"/>
      <c r="C5" s="15"/>
      <c r="D5" s="15"/>
      <c r="E5" s="16"/>
      <c r="F5" s="17">
        <f>INVOICE!E4</f>
        <v>46001</v>
      </c>
      <c r="G5" s="11"/>
      <c r="H5" s="11"/>
      <c r="I5" s="11"/>
      <c r="J5" s="95"/>
      <c r="K5" s="86"/>
      <c r="L5" s="86"/>
    </row>
    <row r="6" spans="1:12">
      <c r="A6" s="14"/>
      <c r="B6" s="15"/>
      <c r="C6" s="15"/>
      <c r="D6" s="15"/>
      <c r="E6" s="16"/>
      <c r="F6" s="18"/>
      <c r="G6" s="11"/>
      <c r="H6" s="11"/>
      <c r="I6" s="11"/>
      <c r="J6" s="95"/>
      <c r="K6" s="86"/>
      <c r="L6" s="86"/>
    </row>
    <row r="7" spans="1:12">
      <c r="A7" s="19"/>
      <c r="B7" s="20"/>
      <c r="C7" s="21"/>
      <c r="D7" s="21"/>
      <c r="E7" s="22"/>
      <c r="F7" s="23"/>
      <c r="G7" s="24"/>
      <c r="H7" s="24"/>
      <c r="I7" s="24"/>
      <c r="J7" s="36"/>
      <c r="K7" s="86"/>
      <c r="L7" s="86"/>
    </row>
    <row r="8" spans="1:12">
      <c r="A8" s="25" t="s">
        <v>6</v>
      </c>
      <c r="B8" s="6"/>
      <c r="C8" s="7"/>
      <c r="D8" s="7"/>
      <c r="E8" s="26"/>
      <c r="F8" s="6" t="s">
        <v>55</v>
      </c>
      <c r="G8" s="27"/>
      <c r="H8" s="27"/>
      <c r="I8" s="27"/>
      <c r="J8" s="95"/>
      <c r="K8" s="86"/>
      <c r="L8" s="86"/>
    </row>
    <row r="9" spans="1:12">
      <c r="A9" s="28" t="str">
        <f>INVOICE!A7</f>
        <v>Sernet (Suzhou) Technologies Corporation</v>
      </c>
      <c r="B9" s="10"/>
      <c r="C9" s="11"/>
      <c r="D9" s="11"/>
      <c r="E9" s="12"/>
      <c r="F9" s="29"/>
      <c r="G9" s="30"/>
      <c r="H9" s="30"/>
      <c r="I9" s="30"/>
      <c r="J9" s="95"/>
      <c r="K9" s="86"/>
      <c r="L9" s="86"/>
    </row>
    <row r="10" spans="1:12">
      <c r="A10" s="31" t="str">
        <f>INVOICE!A8</f>
        <v>NO.8 Tangzhuang Road,Suzhou Industrial Park,Su Zhou</v>
      </c>
      <c r="B10" s="32"/>
      <c r="C10" s="32"/>
      <c r="D10" s="32"/>
      <c r="E10" s="33"/>
      <c r="F10" s="29"/>
      <c r="G10" s="27"/>
      <c r="H10" s="11"/>
      <c r="I10" s="30"/>
      <c r="J10" s="95"/>
      <c r="K10" s="86"/>
      <c r="L10" s="86"/>
    </row>
    <row r="11" spans="1:12">
      <c r="A11" s="31"/>
      <c r="B11" s="32"/>
      <c r="C11" s="32"/>
      <c r="D11" s="32"/>
      <c r="E11" s="33"/>
      <c r="F11" s="29"/>
      <c r="G11" s="27"/>
      <c r="H11" s="11"/>
      <c r="I11" s="30"/>
      <c r="J11" s="95"/>
      <c r="K11" s="86"/>
      <c r="L11" s="86"/>
    </row>
    <row r="12" spans="1:12">
      <c r="A12" s="34"/>
      <c r="B12" s="35"/>
      <c r="C12" s="24"/>
      <c r="D12" s="24"/>
      <c r="E12" s="36"/>
      <c r="F12" s="11"/>
      <c r="G12" s="37"/>
      <c r="H12" s="37"/>
      <c r="I12" s="27"/>
      <c r="J12" s="95"/>
      <c r="K12" s="86"/>
      <c r="L12" s="86"/>
    </row>
    <row r="13" ht="16.5" spans="1:12">
      <c r="A13" s="25" t="s">
        <v>11</v>
      </c>
      <c r="B13" s="29"/>
      <c r="C13" s="27"/>
      <c r="D13" s="27"/>
      <c r="E13" s="12"/>
      <c r="F13" s="38"/>
      <c r="G13" s="39"/>
      <c r="H13" s="11"/>
      <c r="I13" s="27"/>
      <c r="J13" s="95"/>
      <c r="K13" s="86"/>
      <c r="L13" s="86"/>
    </row>
    <row r="14" ht="16.5" spans="1:12">
      <c r="A14" s="28" t="str">
        <f>INVOICE!A10</f>
        <v>Sernet (Suzhou) Technologies Corporation</v>
      </c>
      <c r="B14" s="40"/>
      <c r="C14" s="40"/>
      <c r="D14" s="40"/>
      <c r="E14" s="12"/>
      <c r="F14" s="38"/>
      <c r="G14" s="39"/>
      <c r="H14" s="11"/>
      <c r="I14" s="27"/>
      <c r="J14" s="95"/>
      <c r="K14" s="86"/>
      <c r="L14" s="86"/>
    </row>
    <row r="15" spans="1:12">
      <c r="A15" s="28" t="str">
        <f>INVOICE!A11</f>
        <v>NO.8 Tangzhuang Road,Suzhou Industrial Park,Su Zhou</v>
      </c>
      <c r="B15" s="40"/>
      <c r="C15" s="11"/>
      <c r="D15" s="11"/>
      <c r="E15" s="41"/>
      <c r="F15" s="27"/>
      <c r="G15" s="27"/>
      <c r="H15" s="27"/>
      <c r="I15" s="27"/>
      <c r="J15" s="95"/>
      <c r="K15" s="86"/>
      <c r="L15" s="86"/>
    </row>
    <row r="16" spans="1:12">
      <c r="A16" s="23"/>
      <c r="B16" s="24"/>
      <c r="C16" s="24"/>
      <c r="D16" s="24"/>
      <c r="E16" s="36"/>
      <c r="F16" s="42"/>
      <c r="G16" s="42"/>
      <c r="H16" s="43"/>
      <c r="I16" s="96"/>
      <c r="J16" s="95"/>
      <c r="K16" s="86"/>
      <c r="L16" s="86"/>
    </row>
    <row r="17" spans="1:12">
      <c r="A17" s="5" t="s">
        <v>56</v>
      </c>
      <c r="B17" s="6"/>
      <c r="C17" s="8"/>
      <c r="D17" s="6" t="s">
        <v>57</v>
      </c>
      <c r="E17" s="44"/>
      <c r="F17" s="42"/>
      <c r="G17" s="42"/>
      <c r="H17" s="45"/>
      <c r="I17" s="27"/>
      <c r="J17" s="95"/>
      <c r="K17" s="86"/>
      <c r="L17" s="86"/>
    </row>
    <row r="18" spans="1:12">
      <c r="A18" s="46"/>
      <c r="B18" s="47"/>
      <c r="C18" s="48"/>
      <c r="D18" s="46"/>
      <c r="E18" s="48"/>
      <c r="F18" s="42"/>
      <c r="G18" s="42"/>
      <c r="H18" s="45"/>
      <c r="I18" s="27"/>
      <c r="J18" s="95"/>
      <c r="K18" s="86"/>
      <c r="L18" s="86"/>
    </row>
    <row r="19" spans="1:12">
      <c r="A19" s="5" t="s">
        <v>17</v>
      </c>
      <c r="B19" s="49"/>
      <c r="C19" s="50"/>
      <c r="D19" s="6" t="s">
        <v>18</v>
      </c>
      <c r="E19" s="51"/>
      <c r="F19" s="11"/>
      <c r="G19" s="27"/>
      <c r="H19" s="27"/>
      <c r="I19" s="27"/>
      <c r="J19" s="95"/>
      <c r="K19" s="86"/>
      <c r="L19" s="86"/>
    </row>
    <row r="20" spans="1:12">
      <c r="A20" s="46"/>
      <c r="B20" s="47"/>
      <c r="C20" s="48"/>
      <c r="D20" s="52"/>
      <c r="E20" s="53"/>
      <c r="F20" s="24"/>
      <c r="G20" s="24"/>
      <c r="H20" s="24"/>
      <c r="I20" s="24"/>
      <c r="J20" s="95"/>
      <c r="K20" s="86"/>
      <c r="L20" s="86"/>
    </row>
    <row r="21" spans="1:12">
      <c r="A21" s="54" t="s">
        <v>58</v>
      </c>
      <c r="B21" s="54" t="s">
        <v>23</v>
      </c>
      <c r="C21" s="54" t="s">
        <v>22</v>
      </c>
      <c r="D21" s="54" t="s">
        <v>24</v>
      </c>
      <c r="E21" s="54"/>
      <c r="F21" s="55" t="s">
        <v>25</v>
      </c>
      <c r="G21" s="55" t="s">
        <v>26</v>
      </c>
      <c r="H21" s="56" t="s">
        <v>59</v>
      </c>
      <c r="I21" s="56" t="s">
        <v>60</v>
      </c>
      <c r="J21" s="97" t="s">
        <v>61</v>
      </c>
      <c r="K21" s="86"/>
      <c r="L21" s="86"/>
    </row>
    <row r="22" spans="1:12">
      <c r="A22" s="54"/>
      <c r="B22" s="54"/>
      <c r="C22" s="54"/>
      <c r="D22" s="54"/>
      <c r="E22" s="54"/>
      <c r="F22" s="55"/>
      <c r="G22" s="55"/>
      <c r="H22" s="56" t="s">
        <v>62</v>
      </c>
      <c r="I22" s="56" t="s">
        <v>62</v>
      </c>
      <c r="J22" s="98"/>
      <c r="K22" s="86"/>
      <c r="L22" s="86"/>
    </row>
    <row r="23" ht="14.25" spans="1:12">
      <c r="A23" s="57">
        <v>1</v>
      </c>
      <c r="B23" s="58">
        <v>2250801236</v>
      </c>
      <c r="C23" s="59" t="s">
        <v>37</v>
      </c>
      <c r="D23" s="58" t="s">
        <v>38</v>
      </c>
      <c r="E23" s="58"/>
      <c r="F23" s="60">
        <v>200</v>
      </c>
      <c r="G23" s="61" t="s">
        <v>39</v>
      </c>
      <c r="H23" s="62">
        <v>770.84</v>
      </c>
      <c r="I23" s="62">
        <v>804.22</v>
      </c>
      <c r="J23" s="99" t="s">
        <v>63</v>
      </c>
      <c r="K23" s="86"/>
      <c r="L23" s="86"/>
    </row>
    <row r="24" ht="14.25" spans="1:12">
      <c r="A24" s="57"/>
      <c r="B24" s="58">
        <v>2250901529</v>
      </c>
      <c r="C24" s="59" t="s">
        <v>44</v>
      </c>
      <c r="D24" s="58" t="s">
        <v>38</v>
      </c>
      <c r="E24" s="58"/>
      <c r="F24" s="60">
        <v>5018</v>
      </c>
      <c r="G24" s="61" t="s">
        <v>39</v>
      </c>
      <c r="H24" s="62"/>
      <c r="I24" s="62"/>
      <c r="J24" s="99"/>
      <c r="K24" s="86"/>
      <c r="L24" s="86"/>
    </row>
    <row r="25" ht="14.25" spans="1:12">
      <c r="A25" s="57"/>
      <c r="B25" s="58">
        <v>2250901736</v>
      </c>
      <c r="C25" s="59" t="s">
        <v>44</v>
      </c>
      <c r="D25" s="58" t="s">
        <v>38</v>
      </c>
      <c r="E25" s="58"/>
      <c r="F25" s="60">
        <v>750</v>
      </c>
      <c r="G25" s="61" t="s">
        <v>39</v>
      </c>
      <c r="H25" s="62"/>
      <c r="I25" s="62"/>
      <c r="J25" s="99"/>
      <c r="K25" s="86"/>
      <c r="L25" s="86"/>
    </row>
    <row r="26" ht="36" customHeight="1" spans="1:12">
      <c r="A26" s="57"/>
      <c r="B26" s="63"/>
      <c r="C26" s="59"/>
      <c r="D26" s="58"/>
      <c r="E26" s="58"/>
      <c r="F26" s="60"/>
      <c r="G26" s="61"/>
      <c r="H26" s="62"/>
      <c r="I26" s="62"/>
      <c r="J26" s="99"/>
      <c r="K26" s="86"/>
      <c r="L26" s="86"/>
    </row>
    <row r="27" ht="14.25" spans="1:12">
      <c r="A27" s="57"/>
      <c r="B27" s="64"/>
      <c r="C27" s="59"/>
      <c r="D27" s="58"/>
      <c r="E27" s="58"/>
      <c r="F27" s="60"/>
      <c r="G27" s="61"/>
      <c r="H27" s="65"/>
      <c r="I27" s="65"/>
      <c r="J27" s="99"/>
      <c r="K27" s="86"/>
      <c r="L27" s="86"/>
    </row>
    <row r="28" ht="14.25" spans="1:12">
      <c r="A28" s="57"/>
      <c r="B28" s="64"/>
      <c r="C28" s="59"/>
      <c r="D28" s="58"/>
      <c r="E28" s="58"/>
      <c r="F28" s="60"/>
      <c r="G28" s="61"/>
      <c r="H28" s="66"/>
      <c r="I28" s="66"/>
      <c r="J28" s="99"/>
      <c r="K28" s="86"/>
      <c r="L28" s="86"/>
    </row>
    <row r="29" ht="14.25" spans="1:12">
      <c r="A29" s="57"/>
      <c r="B29" s="63"/>
      <c r="C29" s="59"/>
      <c r="D29" s="58"/>
      <c r="E29" s="58"/>
      <c r="F29" s="67"/>
      <c r="G29" s="61"/>
      <c r="H29" s="68"/>
      <c r="I29" s="62"/>
      <c r="J29" s="99"/>
      <c r="K29" s="86"/>
      <c r="L29" s="86"/>
    </row>
    <row r="30" ht="14.25" spans="1:12">
      <c r="A30" s="57"/>
      <c r="B30" s="63"/>
      <c r="C30" s="59"/>
      <c r="D30" s="58"/>
      <c r="E30" s="58"/>
      <c r="F30" s="60"/>
      <c r="G30" s="61"/>
      <c r="H30" s="68"/>
      <c r="I30" s="62"/>
      <c r="J30" s="99"/>
      <c r="K30" s="86"/>
      <c r="L30" s="86"/>
    </row>
    <row r="31" ht="15.75" spans="1:12">
      <c r="A31" s="69"/>
      <c r="B31" s="70"/>
      <c r="C31" s="70"/>
      <c r="D31" s="71"/>
      <c r="E31" s="71"/>
      <c r="F31" s="72"/>
      <c r="G31" s="73"/>
      <c r="H31" s="74"/>
      <c r="I31" s="74"/>
      <c r="J31" s="100"/>
      <c r="K31" s="86"/>
      <c r="L31" s="86"/>
    </row>
    <row r="32" ht="14.25" spans="1:12">
      <c r="A32" s="75"/>
      <c r="B32" s="76"/>
      <c r="C32" s="77"/>
      <c r="D32" s="77"/>
      <c r="E32" s="77"/>
      <c r="F32" s="78"/>
      <c r="G32" s="77"/>
      <c r="H32" s="79" t="s">
        <v>64</v>
      </c>
      <c r="I32" s="101">
        <v>10</v>
      </c>
      <c r="J32" s="102"/>
      <c r="K32" s="86"/>
      <c r="L32" s="86"/>
    </row>
    <row r="33" spans="1:12">
      <c r="A33" s="80"/>
      <c r="B33" s="11"/>
      <c r="C33" s="49"/>
      <c r="D33" s="81"/>
      <c r="E33" s="82" t="s">
        <v>65</v>
      </c>
      <c r="F33" s="83">
        <f>SUM(F23:F32)</f>
        <v>5968</v>
      </c>
      <c r="G33" s="82"/>
      <c r="H33" s="84">
        <f>SUM(H23:H32)</f>
        <v>770.84</v>
      </c>
      <c r="I33" s="84">
        <f>SUM(I23:I32)</f>
        <v>814.22</v>
      </c>
      <c r="J33" s="103" t="s">
        <v>66</v>
      </c>
      <c r="K33" s="86"/>
      <c r="L33" s="86"/>
    </row>
    <row r="34" spans="1:12">
      <c r="A34" s="85"/>
      <c r="B34" s="86"/>
      <c r="C34" s="86"/>
      <c r="D34" s="86"/>
      <c r="E34" s="87" t="s">
        <v>67</v>
      </c>
      <c r="F34" s="88">
        <v>1</v>
      </c>
      <c r="G34" s="86"/>
      <c r="H34" s="86"/>
      <c r="I34" s="86"/>
      <c r="J34" s="104"/>
      <c r="K34" s="86"/>
      <c r="L34" s="86"/>
    </row>
    <row r="35" spans="1:12">
      <c r="A35" s="85"/>
      <c r="B35" s="86"/>
      <c r="C35" s="86"/>
      <c r="D35" s="86"/>
      <c r="E35" s="87" t="s">
        <v>68</v>
      </c>
      <c r="F35" s="89" t="s">
        <v>69</v>
      </c>
      <c r="G35" s="86"/>
      <c r="H35" s="86"/>
      <c r="I35" s="86"/>
      <c r="J35" s="104"/>
      <c r="K35" s="86"/>
      <c r="L35" s="86"/>
    </row>
    <row r="36" spans="1:12">
      <c r="A36" s="85"/>
      <c r="B36" s="86"/>
      <c r="C36" s="86"/>
      <c r="D36" s="86"/>
      <c r="E36" s="87" t="s">
        <v>70</v>
      </c>
      <c r="F36" s="89" t="s">
        <v>71</v>
      </c>
      <c r="G36" s="86"/>
      <c r="H36" s="86"/>
      <c r="I36" s="86"/>
      <c r="J36" s="104"/>
      <c r="K36" s="86"/>
      <c r="L36" s="86"/>
    </row>
    <row r="37" spans="1:12">
      <c r="A37" s="90"/>
      <c r="B37" s="91"/>
      <c r="C37" s="91"/>
      <c r="D37" s="91"/>
      <c r="E37" s="92"/>
      <c r="F37" s="87"/>
      <c r="G37" s="87"/>
      <c r="H37" s="91"/>
      <c r="I37" s="91"/>
      <c r="J37" s="105"/>
      <c r="K37" s="86"/>
      <c r="L37" s="86"/>
    </row>
    <row r="38" spans="1:12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</row>
  </sheetData>
  <mergeCells count="34">
    <mergeCell ref="A1:J1"/>
    <mergeCell ref="F16:G16"/>
    <mergeCell ref="F17:G17"/>
    <mergeCell ref="A18:C18"/>
    <mergeCell ref="D18:E18"/>
    <mergeCell ref="F18:G18"/>
    <mergeCell ref="A20:C20"/>
    <mergeCell ref="D20:E20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A21:A22"/>
    <mergeCell ref="A23:A25"/>
    <mergeCell ref="A27:A29"/>
    <mergeCell ref="B21:B22"/>
    <mergeCell ref="C21:C22"/>
    <mergeCell ref="F21:F22"/>
    <mergeCell ref="G21:G22"/>
    <mergeCell ref="H23:H25"/>
    <mergeCell ref="H27:H28"/>
    <mergeCell ref="I23:I25"/>
    <mergeCell ref="I27:I28"/>
    <mergeCell ref="J21:J22"/>
    <mergeCell ref="J23:J25"/>
    <mergeCell ref="J27:J29"/>
    <mergeCell ref="A5:E6"/>
    <mergeCell ref="A10:E11"/>
    <mergeCell ref="D21:E22"/>
  </mergeCells>
  <pageMargins left="0.75" right="0.75" top="1" bottom="1" header="0.5" footer="0.5"/>
  <pageSetup paperSize="9" scale="87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Administrator</cp:lastModifiedBy>
  <dcterms:created xsi:type="dcterms:W3CDTF">2025-07-17T08:11:00Z</dcterms:created>
  <dcterms:modified xsi:type="dcterms:W3CDTF">2025-12-10T01:08:38Z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2052-11.8.2.8506</vt:lpwstr>
  </property>
</Properties>
</file>