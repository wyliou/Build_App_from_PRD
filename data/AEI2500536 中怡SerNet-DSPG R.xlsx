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760"/>
  </bookViews>
  <sheets>
    <sheet name="INVOICE-隨機" sheetId="5" r:id="rId1"/>
    <sheet name="PACKING LIST-隨機" sheetId="6" r:id="rId2"/>
  </sheets>
  <definedNames>
    <definedName name="_xlnm.Print_Area" localSheetId="0">'INVOICE-隨機'!$A$1:$O$30</definedName>
  </definedNames>
  <calcPr calcId="144525"/>
</workbook>
</file>

<file path=xl/comments1.xml><?xml version="1.0" encoding="utf-8"?>
<comments xmlns="http://schemas.openxmlformats.org/spreadsheetml/2006/main">
  <authors>
    <author>D000208</author>
  </authors>
  <commentList>
    <comment ref="K25" authorId="0">
      <text>
        <r>
          <rPr>
            <sz val="14"/>
            <rFont val="宋体"/>
            <charset val="136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>
  <authors>
    <author>D000208</author>
  </authors>
  <commentList>
    <comment ref="E30" authorId="0">
      <text>
        <r>
          <rPr>
            <sz val="10"/>
            <rFont val="宋体"/>
            <charset val="136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<sst xmlns="http://schemas.openxmlformats.org/spreadsheetml/2006/main" count="137" uniqueCount="74">
  <si>
    <t>COMMERCIAL INVOICE</t>
  </si>
  <si>
    <t>Shipper/Exporter</t>
  </si>
  <si>
    <t>No. &amp; Date of Invoice</t>
  </si>
  <si>
    <t>安  利  得  科  技  股  份  有  限  公  司</t>
  </si>
  <si>
    <t>AEI2500536</t>
  </si>
  <si>
    <t>Ascendtek Electronics, Inc.</t>
  </si>
  <si>
    <t xml:space="preserve">15F-6, No. 81, Sec. 1, Hsin Tai Wu Rd., Hsi Chih, </t>
  </si>
  <si>
    <t>New Taipei City 221, Taiwan, China</t>
  </si>
  <si>
    <t>TEL:</t>
  </si>
  <si>
    <t>+886 2 2698 8969</t>
  </si>
  <si>
    <t>FAX:</t>
  </si>
  <si>
    <t>+886 2 8698 2138</t>
  </si>
  <si>
    <t>Bill To:</t>
  </si>
  <si>
    <t xml:space="preserve"> Payment Term</t>
  </si>
  <si>
    <t>SerNet (SuZhou ) Technologies Corporation</t>
  </si>
  <si>
    <t>OA 45 Days</t>
  </si>
  <si>
    <t>8 Tangzhuang Road, suzhou Industrial park</t>
  </si>
  <si>
    <t>JIANGSU, CHINA 215122</t>
  </si>
  <si>
    <r>
      <rPr>
        <sz val="10"/>
        <rFont val="細明體"/>
        <charset val="136"/>
      </rPr>
      <t>苏州工业园区唐庄路</t>
    </r>
    <r>
      <rPr>
        <sz val="10"/>
        <rFont val="Arial"/>
        <charset val="134"/>
      </rPr>
      <t>8</t>
    </r>
    <r>
      <rPr>
        <sz val="10"/>
        <rFont val="細明體"/>
        <charset val="136"/>
      </rPr>
      <t>号</t>
    </r>
  </si>
  <si>
    <t>Tel: 86-512-67613993*7530</t>
  </si>
  <si>
    <t>Ship To:</t>
  </si>
  <si>
    <t xml:space="preserve"> Trade Term</t>
  </si>
  <si>
    <t>FOB</t>
  </si>
  <si>
    <t>Port of Loading</t>
  </si>
  <si>
    <t>Port of Discharge</t>
  </si>
  <si>
    <t xml:space="preserve"> Remarks:</t>
  </si>
  <si>
    <t>TAIPEI</t>
  </si>
  <si>
    <t>PVG</t>
  </si>
  <si>
    <t>Carrier</t>
  </si>
  <si>
    <t>Sailing on/or About</t>
  </si>
  <si>
    <t>贸易国：</t>
  </si>
  <si>
    <t>TAIWAN, CHINA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</si>
  <si>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</si>
  <si>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</si>
  <si>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</si>
  <si>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</si>
  <si>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</si>
  <si>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</si>
  <si>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</si>
  <si>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</si>
  <si>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</si>
  <si>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</si>
  <si>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</si>
  <si>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</si>
  <si>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</si>
  <si>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</si>
  <si>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</si>
  <si>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</si>
  <si>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50410190DS0</t>
  </si>
  <si>
    <t>2220302669</t>
  </si>
  <si>
    <t>Integrated Circuits</t>
  </si>
  <si>
    <t>PCS</t>
  </si>
  <si>
    <t>USD</t>
  </si>
  <si>
    <t>DSPG</t>
  </si>
  <si>
    <t>境外品牌（其他）</t>
  </si>
  <si>
    <t>DVFD1019AE1ABC</t>
  </si>
  <si>
    <t>50499191DS0</t>
  </si>
  <si>
    <t>DVF99195AE3CBC</t>
  </si>
  <si>
    <t xml:space="preserve">                  TOTAL</t>
  </si>
  <si>
    <t>PACKING LIST</t>
  </si>
  <si>
    <t>No &amp; Date of Invoice</t>
  </si>
  <si>
    <r>
      <rPr>
        <sz val="10"/>
        <rFont val="Arial"/>
        <charset val="134"/>
      </rPr>
      <t>苏州工业园区唐庄路</t>
    </r>
    <r>
      <rPr>
        <sz val="10"/>
        <rFont val="Arial"/>
        <charset val="134"/>
      </rPr>
      <t>8</t>
    </r>
    <r>
      <rPr>
        <sz val="10"/>
        <rFont val="細明體"/>
        <charset val="136"/>
      </rPr>
      <t>号</t>
    </r>
  </si>
  <si>
    <t>CTNS</t>
  </si>
  <si>
    <t>Net WT</t>
  </si>
  <si>
    <t>Gross WT</t>
  </si>
  <si>
    <t>MEASUREMENT  L*W*H(CM)</t>
  </si>
  <si>
    <t>KGS</t>
  </si>
  <si>
    <t>40*20*24</t>
  </si>
  <si>
    <t>37*34*29</t>
  </si>
  <si>
    <t>TOTAL</t>
  </si>
  <si>
    <t>件数</t>
  </si>
  <si>
    <t>包装种类</t>
  </si>
  <si>
    <t>纸箱</t>
  </si>
  <si>
    <t>托盘材质</t>
  </si>
</sst>
</file>

<file path=xl/styles.xml><?xml version="1.0" encoding="utf-8"?>
<styleSheet xmlns="http://schemas.openxmlformats.org/spreadsheetml/2006/main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0_ "/>
    <numFmt numFmtId="178" formatCode="yyyy/m/d;@"/>
    <numFmt numFmtId="179" formatCode="_ * #,##0.00_ ;_ * \-#,##0.00_ ;_ * &quot;-&quot;??_ ;_ @_ "/>
    <numFmt numFmtId="180" formatCode="dd\-mmm\-yyyy"/>
    <numFmt numFmtId="181" formatCode="0.00_ "/>
    <numFmt numFmtId="182" formatCode="0.000_ "/>
    <numFmt numFmtId="183" formatCode="0.00_);[Red]\(0.00\)"/>
    <numFmt numFmtId="184" formatCode="#0.00&quot;m³&quot;"/>
    <numFmt numFmtId="185" formatCode="#,##0.00_ "/>
    <numFmt numFmtId="186" formatCode="0.0000_);[Red]\(0.0000\)"/>
  </numFmts>
  <fonts count="38">
    <font>
      <sz val="12"/>
      <name val="新細明體"/>
      <charset val="136"/>
    </font>
    <font>
      <sz val="18"/>
      <color theme="1"/>
      <name val="宋体"/>
      <charset val="136"/>
      <scheme val="minor"/>
    </font>
    <font>
      <b/>
      <sz val="10"/>
      <name val="Arial"/>
      <charset val="134"/>
    </font>
    <font>
      <sz val="10"/>
      <color theme="1"/>
      <name val="宋体"/>
      <charset val="136"/>
      <scheme val="minor"/>
    </font>
    <font>
      <sz val="10"/>
      <name val="Arial"/>
      <charset val="134"/>
    </font>
    <font>
      <sz val="10"/>
      <color rgb="FFFF0000"/>
      <name val="宋体"/>
      <charset val="136"/>
    </font>
    <font>
      <sz val="10"/>
      <name val="宋体"/>
      <charset val="136"/>
    </font>
    <font>
      <sz val="10"/>
      <name val="微软雅黑"/>
      <charset val="134"/>
    </font>
    <font>
      <sz val="10"/>
      <color rgb="FFFF0000"/>
      <name val="Arial"/>
      <charset val="134"/>
    </font>
    <font>
      <sz val="10"/>
      <name val="新細明體"/>
      <charset val="136"/>
    </font>
    <font>
      <b/>
      <sz val="10"/>
      <name val="宋体"/>
      <charset val="136"/>
    </font>
    <font>
      <sz val="11"/>
      <color theme="1"/>
      <name val="宋体"/>
      <charset val="136"/>
      <scheme val="minor"/>
    </font>
    <font>
      <b/>
      <sz val="18"/>
      <name val="Arial"/>
      <charset val="134"/>
    </font>
    <font>
      <sz val="10"/>
      <name val="細明體"/>
      <charset val="136"/>
    </font>
    <font>
      <sz val="10"/>
      <color indexed="12"/>
      <name val="新細明體"/>
      <charset val="136"/>
    </font>
    <font>
      <b/>
      <sz val="10"/>
      <name val="新細明體"/>
      <charset val="136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6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name val="宋体"/>
      <charset val="136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16" fillId="0" borderId="0" applyFon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12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7" borderId="13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30" fillId="11" borderId="12" applyNumberFormat="0" applyAlignment="0" applyProtection="0">
      <alignment vertical="center"/>
    </xf>
    <xf numFmtId="0" fontId="31" fillId="12" borderId="17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0"/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4" fillId="0" borderId="0"/>
    <xf numFmtId="0" fontId="34" fillId="0" borderId="0"/>
  </cellStyleXfs>
  <cellXfs count="15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31" applyFont="1" applyBorder="1" applyAlignment="1">
      <alignment horizontal="center" vertical="center"/>
    </xf>
    <xf numFmtId="0" fontId="2" fillId="0" borderId="2" xfId="3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31" applyFont="1" applyBorder="1"/>
    <xf numFmtId="0" fontId="2" fillId="0" borderId="2" xfId="31" applyFont="1" applyBorder="1"/>
    <xf numFmtId="0" fontId="4" fillId="0" borderId="2" xfId="31" applyFont="1" applyBorder="1"/>
    <xf numFmtId="0" fontId="5" fillId="0" borderId="4" xfId="31" applyFont="1" applyBorder="1"/>
    <xf numFmtId="0" fontId="6" fillId="0" borderId="3" xfId="0" applyFont="1" applyBorder="1"/>
    <xf numFmtId="0" fontId="4" fillId="0" borderId="0" xfId="31" applyFont="1" applyAlignment="1">
      <alignment horizontal="left"/>
    </xf>
    <xf numFmtId="0" fontId="4" fillId="0" borderId="0" xfId="50" applyFont="1"/>
    <xf numFmtId="178" fontId="4" fillId="0" borderId="3" xfId="0" applyNumberFormat="1" applyFont="1" applyBorder="1"/>
    <xf numFmtId="49" fontId="4" fillId="0" borderId="0" xfId="50" applyNumberFormat="1" applyFont="1" applyAlignment="1">
      <alignment horizontal="center"/>
    </xf>
    <xf numFmtId="0" fontId="4" fillId="0" borderId="3" xfId="0" applyFont="1" applyBorder="1"/>
    <xf numFmtId="0" fontId="4" fillId="0" borderId="0" xfId="0" applyFont="1" applyAlignment="1">
      <alignment vertical="top" wrapText="1"/>
    </xf>
    <xf numFmtId="180" fontId="4" fillId="0" borderId="3" xfId="0" applyNumberFormat="1" applyFont="1" applyBorder="1" applyAlignment="1">
      <alignment horizontal="left"/>
    </xf>
    <xf numFmtId="178" fontId="4" fillId="0" borderId="0" xfId="0" applyNumberFormat="1" applyFont="1"/>
    <xf numFmtId="178" fontId="4" fillId="0" borderId="0" xfId="0" applyNumberFormat="1" applyFont="1" applyAlignment="1">
      <alignment horizontal="left"/>
    </xf>
    <xf numFmtId="0" fontId="1" fillId="0" borderId="3" xfId="0" applyFont="1" applyBorder="1" applyAlignment="1">
      <alignment vertical="center"/>
    </xf>
    <xf numFmtId="0" fontId="4" fillId="0" borderId="3" xfId="50" applyFont="1" applyBorder="1" applyAlignment="1">
      <alignment horizontal="left"/>
    </xf>
    <xf numFmtId="0" fontId="4" fillId="0" borderId="0" xfId="50" applyFont="1" applyAlignment="1">
      <alignment horizontal="left"/>
    </xf>
    <xf numFmtId="0" fontId="4" fillId="0" borderId="3" xfId="50" applyFont="1" applyBorder="1"/>
    <xf numFmtId="0" fontId="4" fillId="0" borderId="3" xfId="50" applyFont="1" applyBorder="1" applyAlignment="1">
      <alignment horizontal="right"/>
    </xf>
    <xf numFmtId="0" fontId="4" fillId="0" borderId="0" xfId="0" applyFont="1"/>
    <xf numFmtId="0" fontId="4" fillId="0" borderId="5" xfId="50" applyFont="1" applyBorder="1"/>
    <xf numFmtId="0" fontId="4" fillId="0" borderId="6" xfId="50" applyFont="1" applyBorder="1"/>
    <xf numFmtId="0" fontId="2" fillId="0" borderId="1" xfId="50" applyFont="1" applyBorder="1"/>
    <xf numFmtId="0" fontId="4" fillId="0" borderId="4" xfId="31" applyFont="1" applyBorder="1"/>
    <xf numFmtId="0" fontId="7" fillId="0" borderId="0" xfId="31" applyFont="1"/>
    <xf numFmtId="0" fontId="4" fillId="0" borderId="0" xfId="31" applyFont="1"/>
    <xf numFmtId="0" fontId="1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5" xfId="5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181" fontId="4" fillId="0" borderId="0" xfId="0" applyNumberFormat="1" applyFont="1" applyAlignment="1">
      <alignment horizontal="center" vertical="center"/>
    </xf>
    <xf numFmtId="0" fontId="4" fillId="0" borderId="2" xfId="50" applyFont="1" applyBorder="1"/>
    <xf numFmtId="0" fontId="0" fillId="0" borderId="2" xfId="0" applyBorder="1" applyAlignment="1">
      <alignment vertical="center"/>
    </xf>
    <xf numFmtId="0" fontId="4" fillId="0" borderId="4" xfId="50" applyFont="1" applyBorder="1"/>
    <xf numFmtId="0" fontId="4" fillId="0" borderId="6" xfId="50" applyFont="1" applyBorder="1" applyAlignment="1">
      <alignment horizontal="left"/>
    </xf>
    <xf numFmtId="0" fontId="4" fillId="0" borderId="8" xfId="50" applyFont="1" applyBorder="1"/>
    <xf numFmtId="0" fontId="1" fillId="0" borderId="8" xfId="0" applyFont="1" applyBorder="1" applyAlignment="1">
      <alignment vertical="center"/>
    </xf>
    <xf numFmtId="0" fontId="2" fillId="0" borderId="3" xfId="31" applyFont="1" applyBorder="1"/>
    <xf numFmtId="0" fontId="2" fillId="0" borderId="0" xfId="31" applyFont="1"/>
    <xf numFmtId="0" fontId="5" fillId="0" borderId="7" xfId="31" applyFont="1" applyBorder="1"/>
    <xf numFmtId="0" fontId="8" fillId="0" borderId="7" xfId="31" applyFont="1" applyBorder="1" applyAlignment="1">
      <alignment horizontal="righ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178" fontId="4" fillId="0" borderId="5" xfId="0" applyNumberFormat="1" applyFont="1" applyBorder="1" applyAlignment="1">
      <alignment horizontal="left"/>
    </xf>
    <xf numFmtId="178" fontId="4" fillId="0" borderId="8" xfId="0" applyNumberFormat="1" applyFont="1" applyBorder="1" applyAlignment="1">
      <alignment horizontal="left"/>
    </xf>
    <xf numFmtId="0" fontId="4" fillId="0" borderId="6" xfId="31" applyFont="1" applyBorder="1"/>
    <xf numFmtId="0" fontId="2" fillId="0" borderId="1" xfId="50" applyFont="1" applyBorder="1" applyAlignment="1">
      <alignment horizontal="center" vertical="center"/>
    </xf>
    <xf numFmtId="0" fontId="2" fillId="0" borderId="2" xfId="50" applyFont="1" applyBorder="1" applyAlignment="1">
      <alignment horizontal="center" vertical="center"/>
    </xf>
    <xf numFmtId="0" fontId="2" fillId="0" borderId="0" xfId="31" applyFont="1" applyAlignment="1">
      <alignment horizontal="center"/>
    </xf>
    <xf numFmtId="0" fontId="2" fillId="0" borderId="3" xfId="50" applyFont="1" applyBorder="1" applyAlignment="1">
      <alignment horizontal="center" vertical="center"/>
    </xf>
    <xf numFmtId="0" fontId="2" fillId="0" borderId="0" xfId="50" applyFont="1" applyAlignment="1">
      <alignment horizontal="center" vertical="center"/>
    </xf>
    <xf numFmtId="0" fontId="2" fillId="0" borderId="0" xfId="31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 shrinkToFit="1"/>
    </xf>
    <xf numFmtId="0" fontId="4" fillId="0" borderId="0" xfId="0" applyFont="1" applyAlignment="1">
      <alignment horizontal="left" vertical="center" shrinkToFit="1"/>
    </xf>
    <xf numFmtId="3" fontId="4" fillId="0" borderId="0" xfId="0" applyNumberFormat="1" applyFont="1" applyAlignment="1">
      <alignment horizontal="center" vertical="center" shrinkToFit="1"/>
    </xf>
    <xf numFmtId="182" fontId="4" fillId="0" borderId="0" xfId="0" applyNumberFormat="1" applyFont="1" applyAlignment="1">
      <alignment horizontal="center" vertical="center" wrapText="1" shrinkToFit="1"/>
    </xf>
    <xf numFmtId="183" fontId="4" fillId="0" borderId="0" xfId="0" applyNumberFormat="1" applyFont="1" applyAlignment="1">
      <alignment horizontal="center" vertical="center" wrapText="1" shrinkToFit="1"/>
    </xf>
    <xf numFmtId="0" fontId="4" fillId="0" borderId="5" xfId="0" applyFont="1" applyBorder="1" applyAlignment="1">
      <alignment horizontal="center" vertical="center" wrapText="1" shrinkToFit="1"/>
    </xf>
    <xf numFmtId="0" fontId="4" fillId="0" borderId="6" xfId="0" applyFont="1" applyBorder="1" applyAlignment="1">
      <alignment horizontal="center" vertical="center" wrapText="1" shrinkToFit="1"/>
    </xf>
    <xf numFmtId="0" fontId="4" fillId="0" borderId="6" xfId="0" applyFont="1" applyBorder="1" applyAlignment="1">
      <alignment horizontal="left" vertical="center" shrinkToFit="1"/>
    </xf>
    <xf numFmtId="3" fontId="4" fillId="0" borderId="6" xfId="0" applyNumberFormat="1" applyFont="1" applyBorder="1" applyAlignment="1">
      <alignment horizontal="center" vertical="center" shrinkToFit="1"/>
    </xf>
    <xf numFmtId="182" fontId="4" fillId="0" borderId="6" xfId="0" applyNumberFormat="1" applyFont="1" applyBorder="1" applyAlignment="1">
      <alignment horizontal="center" vertical="center" wrapText="1" shrinkToFit="1"/>
    </xf>
    <xf numFmtId="183" fontId="4" fillId="0" borderId="6" xfId="0" applyNumberFormat="1" applyFont="1" applyBorder="1" applyAlignment="1">
      <alignment horizontal="center" vertical="center" wrapText="1" shrinkToFit="1"/>
    </xf>
    <xf numFmtId="177" fontId="2" fillId="0" borderId="3" xfId="31" applyNumberFormat="1" applyFont="1" applyBorder="1" applyAlignment="1">
      <alignment horizontal="center"/>
    </xf>
    <xf numFmtId="0" fontId="2" fillId="0" borderId="0" xfId="31" applyFont="1" applyAlignment="1">
      <alignment horizontal="left"/>
    </xf>
    <xf numFmtId="3" fontId="2" fillId="0" borderId="0" xfId="31" applyNumberFormat="1" applyFont="1" applyAlignment="1">
      <alignment horizontal="center"/>
    </xf>
    <xf numFmtId="183" fontId="2" fillId="0" borderId="0" xfId="31" applyNumberFormat="1" applyFont="1" applyAlignment="1">
      <alignment horizontal="center"/>
    </xf>
    <xf numFmtId="0" fontId="0" fillId="0" borderId="3" xfId="0" applyBorder="1" applyAlignment="1">
      <alignment vertical="center"/>
    </xf>
    <xf numFmtId="0" fontId="6" fillId="0" borderId="0" xfId="31" applyFont="1" applyAlignment="1">
      <alignment horizontal="center" vertical="center"/>
    </xf>
    <xf numFmtId="0" fontId="8" fillId="0" borderId="0" xfId="31" applyFont="1"/>
    <xf numFmtId="0" fontId="6" fillId="0" borderId="0" xfId="31" applyFont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4" xfId="3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9" fillId="0" borderId="4" xfId="0" applyFont="1" applyBorder="1"/>
    <xf numFmtId="0" fontId="9" fillId="0" borderId="0" xfId="0" applyFont="1"/>
    <xf numFmtId="0" fontId="9" fillId="0" borderId="3" xfId="0" applyFont="1" applyBorder="1"/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/>
    <xf numFmtId="0" fontId="4" fillId="0" borderId="0" xfId="31" applyFont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84" fontId="2" fillId="0" borderId="7" xfId="31" applyNumberFormat="1" applyFont="1" applyBorder="1" applyAlignment="1">
      <alignment horizontal="center"/>
    </xf>
    <xf numFmtId="0" fontId="11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2" fillId="0" borderId="1" xfId="50" applyFont="1" applyBorder="1" applyAlignment="1">
      <alignment horizontal="center"/>
    </xf>
    <xf numFmtId="0" fontId="12" fillId="0" borderId="2" xfId="50" applyFont="1" applyBorder="1" applyAlignment="1">
      <alignment horizontal="center"/>
    </xf>
    <xf numFmtId="0" fontId="2" fillId="0" borderId="2" xfId="50" applyFont="1" applyBorder="1"/>
    <xf numFmtId="0" fontId="4" fillId="0" borderId="7" xfId="50" applyFont="1" applyBorder="1"/>
    <xf numFmtId="0" fontId="4" fillId="0" borderId="7" xfId="0" applyFont="1" applyBorder="1" applyAlignment="1">
      <alignment vertical="top" wrapText="1"/>
    </xf>
    <xf numFmtId="0" fontId="4" fillId="0" borderId="0" xfId="0" applyFont="1" applyAlignment="1">
      <alignment horizontal="left" wrapText="1"/>
    </xf>
    <xf numFmtId="0" fontId="4" fillId="0" borderId="5" xfId="50" applyFont="1" applyBorder="1" applyAlignment="1">
      <alignment horizontal="right"/>
    </xf>
    <xf numFmtId="0" fontId="4" fillId="0" borderId="3" xfId="31" applyFont="1" applyBorder="1" applyAlignment="1">
      <alignment horizontal="left"/>
    </xf>
    <xf numFmtId="0" fontId="2" fillId="0" borderId="7" xfId="31" applyFont="1" applyBorder="1" applyAlignment="1">
      <alignment horizontal="left"/>
    </xf>
    <xf numFmtId="0" fontId="4" fillId="0" borderId="3" xfId="50" applyFont="1" applyBorder="1" applyAlignment="1">
      <alignment horizontal="center"/>
    </xf>
    <xf numFmtId="0" fontId="4" fillId="0" borderId="0" xfId="50" applyFont="1" applyAlignment="1">
      <alignment horizontal="center"/>
    </xf>
    <xf numFmtId="0" fontId="13" fillId="0" borderId="3" xfId="0" applyFont="1" applyBorder="1"/>
    <xf numFmtId="0" fontId="4" fillId="0" borderId="3" xfId="31" applyFont="1" applyBorder="1"/>
    <xf numFmtId="0" fontId="13" fillId="0" borderId="3" xfId="31" applyFont="1" applyBorder="1"/>
    <xf numFmtId="0" fontId="13" fillId="0" borderId="5" xfId="31" applyFont="1" applyBorder="1"/>
    <xf numFmtId="0" fontId="2" fillId="0" borderId="3" xfId="50" applyFont="1" applyBorder="1"/>
    <xf numFmtId="0" fontId="2" fillId="0" borderId="0" xfId="50" applyFont="1"/>
    <xf numFmtId="0" fontId="4" fillId="0" borderId="3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0" borderId="0" xfId="50" applyFont="1"/>
    <xf numFmtId="0" fontId="8" fillId="0" borderId="4" xfId="31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6" fillId="0" borderId="5" xfId="50" applyFont="1" applyBorder="1"/>
    <xf numFmtId="0" fontId="2" fillId="0" borderId="0" xfId="5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 shrinkToFit="1"/>
    </xf>
    <xf numFmtId="185" fontId="4" fillId="0" borderId="0" xfId="0" applyNumberFormat="1" applyFont="1" applyAlignment="1">
      <alignment horizontal="center" vertical="center" wrapText="1" shrinkToFit="1"/>
    </xf>
    <xf numFmtId="186" fontId="4" fillId="0" borderId="0" xfId="0" applyNumberFormat="1" applyFont="1" applyAlignment="1">
      <alignment horizontal="center" vertical="center" wrapText="1" shrinkToFit="1"/>
    </xf>
    <xf numFmtId="3" fontId="1" fillId="0" borderId="0" xfId="0" applyNumberFormat="1" applyFont="1" applyAlignment="1">
      <alignment vertical="center"/>
    </xf>
    <xf numFmtId="0" fontId="4" fillId="0" borderId="9" xfId="50" applyFont="1" applyBorder="1"/>
    <xf numFmtId="0" fontId="4" fillId="0" borderId="10" xfId="50" applyFont="1" applyBorder="1"/>
    <xf numFmtId="0" fontId="4" fillId="0" borderId="10" xfId="50" applyFont="1" applyBorder="1" applyAlignment="1">
      <alignment horizontal="left"/>
    </xf>
    <xf numFmtId="3" fontId="2" fillId="0" borderId="10" xfId="50" applyNumberFormat="1" applyFont="1" applyBorder="1" applyAlignment="1">
      <alignment horizontal="center"/>
    </xf>
    <xf numFmtId="0" fontId="2" fillId="0" borderId="10" xfId="50" applyFont="1" applyBorder="1"/>
    <xf numFmtId="186" fontId="2" fillId="0" borderId="10" xfId="50" applyNumberFormat="1" applyFont="1" applyBorder="1" applyAlignment="1">
      <alignment horizontal="center"/>
    </xf>
    <xf numFmtId="0" fontId="12" fillId="0" borderId="4" xfId="50" applyFont="1" applyBorder="1" applyAlignment="1">
      <alignment horizontal="center"/>
    </xf>
    <xf numFmtId="0" fontId="9" fillId="0" borderId="2" xfId="0" applyFont="1" applyBorder="1"/>
    <xf numFmtId="0" fontId="14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5" fillId="0" borderId="0" xfId="31" applyFont="1"/>
    <xf numFmtId="0" fontId="5" fillId="0" borderId="6" xfId="31" applyFont="1" applyBorder="1"/>
    <xf numFmtId="0" fontId="9" fillId="0" borderId="6" xfId="0" applyFont="1" applyBorder="1"/>
    <xf numFmtId="0" fontId="15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0" fontId="4" fillId="0" borderId="0" xfId="0" applyNumberFormat="1" applyFont="1" applyAlignment="1">
      <alignment horizontal="center" vertical="center" wrapText="1" shrinkToFit="1"/>
    </xf>
    <xf numFmtId="0" fontId="13" fillId="0" borderId="0" xfId="0" applyFont="1" applyAlignment="1">
      <alignment horizontal="center" vertical="center" wrapText="1" shrinkToFit="1"/>
    </xf>
    <xf numFmtId="2" fontId="4" fillId="0" borderId="7" xfId="0" applyNumberFormat="1" applyFont="1" applyBorder="1" applyAlignment="1">
      <alignment horizontal="center" vertical="center" wrapText="1" shrinkToFit="1"/>
    </xf>
    <xf numFmtId="40" fontId="1" fillId="0" borderId="0" xfId="0" applyNumberFormat="1" applyFont="1" applyAlignment="1">
      <alignment vertical="center"/>
    </xf>
    <xf numFmtId="0" fontId="1" fillId="0" borderId="6" xfId="0" applyFont="1" applyBorder="1" applyAlignment="1">
      <alignment vertical="center"/>
    </xf>
    <xf numFmtId="40" fontId="2" fillId="0" borderId="10" xfId="50" applyNumberFormat="1" applyFont="1" applyBorder="1" applyAlignment="1">
      <alignment horizontal="center"/>
    </xf>
    <xf numFmtId="0" fontId="15" fillId="0" borderId="6" xfId="0" applyFont="1" applyBorder="1"/>
    <xf numFmtId="183" fontId="2" fillId="0" borderId="11" xfId="50" applyNumberFormat="1" applyFont="1" applyBorder="1" applyAlignment="1">
      <alignment horizontal="center"/>
    </xf>
    <xf numFmtId="0" fontId="4" fillId="0" borderId="0" xfId="0" applyFont="1" applyAlignment="1" quotePrefix="1">
      <alignment horizontal="left" wrapText="1"/>
    </xf>
    <xf numFmtId="0" fontId="4" fillId="0" borderId="6" xfId="50" applyFont="1" applyBorder="1" applyAlignment="1" quotePrefix="1">
      <alignment horizontal="left"/>
    </xf>
    <xf numFmtId="0" fontId="4" fillId="0" borderId="0" xfId="0" applyFont="1" quotePrefix="1"/>
    <xf numFmtId="0" fontId="4" fillId="0" borderId="0" xfId="50" applyFont="1" applyAlignment="1" quotePrefix="1">
      <alignment horizontal="left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一般_OMRON海運出口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一般_OMRON" xfId="50"/>
    <cellStyle name="常规_Sheet1_1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0"/>
  <sheetViews>
    <sheetView tabSelected="1" zoomScale="70" zoomScaleNormal="70" workbookViewId="0">
      <selection activeCell="O26" sqref="O26:O28"/>
    </sheetView>
  </sheetViews>
  <sheetFormatPr defaultColWidth="7.83333333333333" defaultRowHeight="23"/>
  <cols>
    <col min="1" max="1" width="7.83333333333333" style="1"/>
    <col min="2" max="2" width="14" style="1" customWidth="1"/>
    <col min="3" max="3" width="11.75" style="1" customWidth="1"/>
    <col min="4" max="4" width="9.5" style="1" customWidth="1"/>
    <col min="5" max="5" width="19.3333333333333" style="1" customWidth="1"/>
    <col min="6" max="8" width="7.83333333333333" style="1"/>
    <col min="9" max="9" width="9.33333333333333" style="1" customWidth="1"/>
    <col min="10" max="13" width="7.83333333333333" style="1"/>
    <col min="14" max="14" width="16.25" style="1" customWidth="1"/>
    <col min="15" max="16384" width="7.83333333333333" style="1"/>
  </cols>
  <sheetData>
    <row r="1" spans="1:15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35"/>
    </row>
    <row r="2" ht="14" spans="1:15">
      <c r="A2" s="29" t="s">
        <v>1</v>
      </c>
      <c r="B2" s="103"/>
      <c r="C2" s="39"/>
      <c r="D2" s="10"/>
      <c r="E2" s="29" t="s">
        <v>2</v>
      </c>
      <c r="F2" s="39"/>
      <c r="G2" s="39"/>
      <c r="H2" s="39"/>
      <c r="I2" s="39"/>
      <c r="J2" s="136"/>
      <c r="K2" s="136"/>
      <c r="L2" s="136"/>
      <c r="M2" s="136"/>
      <c r="N2" s="136"/>
      <c r="O2" s="85"/>
    </row>
    <row r="3" ht="21.05" customHeight="1" spans="1:15">
      <c r="A3" s="11" t="s">
        <v>3</v>
      </c>
      <c r="B3" s="12"/>
      <c r="C3" s="13"/>
      <c r="D3" s="104"/>
      <c r="E3" s="14" t="s">
        <v>4</v>
      </c>
      <c r="F3" s="13"/>
      <c r="G3" s="15"/>
      <c r="H3" s="15"/>
      <c r="I3" s="13"/>
      <c r="J3" s="86"/>
      <c r="K3" s="86"/>
      <c r="L3" s="86"/>
      <c r="O3" s="91"/>
    </row>
    <row r="4" ht="21.05" customHeight="1" spans="1:15">
      <c r="A4" s="16" t="s">
        <v>5</v>
      </c>
      <c r="B4" s="17"/>
      <c r="C4" s="17"/>
      <c r="D4" s="105"/>
      <c r="E4" s="18">
        <v>46008</v>
      </c>
      <c r="F4" s="19"/>
      <c r="G4" s="19"/>
      <c r="H4" s="20"/>
      <c r="I4" s="13"/>
      <c r="J4" s="86"/>
      <c r="K4" s="86"/>
      <c r="L4" s="86"/>
      <c r="O4" s="91"/>
    </row>
    <row r="5" ht="21.05" customHeight="1" spans="1:15">
      <c r="A5" s="16" t="s">
        <v>6</v>
      </c>
      <c r="B5" s="17"/>
      <c r="C5" s="17"/>
      <c r="D5" s="105"/>
      <c r="F5" s="13"/>
      <c r="G5" s="13"/>
      <c r="H5" s="13"/>
      <c r="I5" s="13"/>
      <c r="J5" s="86"/>
      <c r="K5" s="86"/>
      <c r="L5" s="86"/>
      <c r="O5" s="91"/>
    </row>
    <row r="6" ht="21.05" customHeight="1" spans="1:15">
      <c r="A6" s="22" t="s">
        <v>7</v>
      </c>
      <c r="B6" s="23"/>
      <c r="C6" s="13"/>
      <c r="D6" s="104"/>
      <c r="E6" s="24"/>
      <c r="F6" s="13"/>
      <c r="G6" s="13"/>
      <c r="H6" s="13"/>
      <c r="I6" s="13"/>
      <c r="J6" s="88"/>
      <c r="K6" s="88"/>
      <c r="L6" s="88"/>
      <c r="M6" s="88"/>
      <c r="N6" s="88"/>
      <c r="O6" s="137"/>
    </row>
    <row r="7" ht="21.05" customHeight="1" spans="1:15">
      <c r="A7" s="25" t="s">
        <v>8</v>
      </c>
      <c r="B7" s="155" t="s">
        <v>9</v>
      </c>
      <c r="C7" s="106"/>
      <c r="D7" s="105"/>
      <c r="E7" s="24"/>
      <c r="F7" s="13"/>
      <c r="G7" s="13"/>
      <c r="H7" s="13"/>
      <c r="I7" s="13"/>
      <c r="J7" s="86"/>
      <c r="K7" s="86"/>
      <c r="L7" s="86"/>
      <c r="O7" s="91"/>
    </row>
    <row r="8" ht="21.05" customHeight="1" spans="1:15">
      <c r="A8" s="107" t="s">
        <v>10</v>
      </c>
      <c r="B8" s="156" t="s">
        <v>11</v>
      </c>
      <c r="C8" s="28"/>
      <c r="D8" s="43"/>
      <c r="E8" s="27"/>
      <c r="F8" s="28"/>
      <c r="G8" s="28"/>
      <c r="H8" s="28"/>
      <c r="I8" s="28"/>
      <c r="J8" s="90"/>
      <c r="K8" s="90"/>
      <c r="L8" s="90"/>
      <c r="M8" s="90"/>
      <c r="N8" s="90"/>
      <c r="O8" s="138"/>
    </row>
    <row r="9" ht="14" spans="1:15">
      <c r="A9" s="29" t="s">
        <v>12</v>
      </c>
      <c r="B9" s="103"/>
      <c r="C9" s="39"/>
      <c r="D9" s="41"/>
      <c r="E9" s="29" t="s">
        <v>13</v>
      </c>
      <c r="F9" s="39"/>
      <c r="G9" s="39"/>
      <c r="H9" s="39"/>
      <c r="I9" s="39"/>
      <c r="J9" s="139"/>
      <c r="K9" s="88"/>
      <c r="L9" s="88"/>
      <c r="M9" s="88"/>
      <c r="N9" s="88"/>
      <c r="O9" s="140"/>
    </row>
    <row r="10" ht="22.7" customHeight="1" spans="1:15">
      <c r="A10" s="108" t="s">
        <v>14</v>
      </c>
      <c r="B10" s="12"/>
      <c r="C10" s="74"/>
      <c r="D10" s="109"/>
      <c r="E10" s="24" t="s">
        <v>15</v>
      </c>
      <c r="F10" s="13"/>
      <c r="G10" s="13"/>
      <c r="H10" s="13"/>
      <c r="I10" s="13"/>
      <c r="J10" s="88"/>
      <c r="K10" s="88"/>
      <c r="L10" s="88"/>
      <c r="M10" s="88"/>
      <c r="N10" s="88"/>
      <c r="O10" s="140"/>
    </row>
    <row r="11" ht="22.7" customHeight="1" spans="1:15">
      <c r="A11" s="16" t="s">
        <v>16</v>
      </c>
      <c r="B11" s="17"/>
      <c r="C11" s="17"/>
      <c r="D11" s="105"/>
      <c r="E11" s="110"/>
      <c r="F11" s="111"/>
      <c r="G11" s="111"/>
      <c r="H11" s="111"/>
      <c r="I11" s="111"/>
      <c r="J11" s="141"/>
      <c r="K11" s="141"/>
      <c r="L11" s="141"/>
      <c r="M11" s="141"/>
      <c r="N11" s="141"/>
      <c r="O11" s="137"/>
    </row>
    <row r="12" ht="22.7" customHeight="1" spans="1:15">
      <c r="A12" s="108" t="s">
        <v>17</v>
      </c>
      <c r="B12" s="12"/>
      <c r="C12" s="74"/>
      <c r="D12" s="109"/>
      <c r="E12" s="24"/>
      <c r="F12" s="13"/>
      <c r="G12" s="13"/>
      <c r="I12" s="13"/>
      <c r="J12" s="88"/>
      <c r="K12" s="88"/>
      <c r="L12" s="88"/>
      <c r="M12" s="88"/>
      <c r="N12" s="88"/>
      <c r="O12" s="140"/>
    </row>
    <row r="13" ht="22.7" customHeight="1" spans="1:15">
      <c r="A13" s="112" t="s">
        <v>18</v>
      </c>
      <c r="B13" s="17"/>
      <c r="C13" s="17"/>
      <c r="D13" s="105"/>
      <c r="E13" s="110"/>
      <c r="F13" s="111"/>
      <c r="G13" s="111"/>
      <c r="H13" s="111"/>
      <c r="I13" s="111"/>
      <c r="J13" s="141"/>
      <c r="K13" s="141"/>
      <c r="L13" s="141"/>
      <c r="M13" s="141"/>
      <c r="N13" s="141"/>
      <c r="O13" s="137"/>
    </row>
    <row r="14" ht="22.7" customHeight="1" spans="1:15">
      <c r="A14" s="16" t="s">
        <v>19</v>
      </c>
      <c r="B14" s="17"/>
      <c r="C14" s="17"/>
      <c r="D14" s="105"/>
      <c r="E14" s="24"/>
      <c r="F14" s="13"/>
      <c r="G14" s="13"/>
      <c r="H14" s="13"/>
      <c r="I14" s="13"/>
      <c r="J14" s="141"/>
      <c r="K14" s="141"/>
      <c r="L14" s="141"/>
      <c r="M14" s="141"/>
      <c r="N14" s="141"/>
      <c r="O14" s="137"/>
    </row>
    <row r="15" ht="14" spans="1:15">
      <c r="A15" s="29" t="s">
        <v>20</v>
      </c>
      <c r="B15" s="39"/>
      <c r="C15" s="39"/>
      <c r="D15" s="41"/>
      <c r="E15" s="29" t="s">
        <v>21</v>
      </c>
      <c r="F15" s="39"/>
      <c r="G15" s="39"/>
      <c r="H15" s="39"/>
      <c r="I15" s="39"/>
      <c r="J15" s="39"/>
      <c r="K15" s="39"/>
      <c r="L15" s="39"/>
      <c r="M15" s="39"/>
      <c r="N15" s="39"/>
      <c r="O15" s="41"/>
    </row>
    <row r="16" ht="21.05" customHeight="1" spans="1:15">
      <c r="A16" s="108" t="s">
        <v>14</v>
      </c>
      <c r="B16" s="12"/>
      <c r="C16" s="12"/>
      <c r="D16" s="104"/>
      <c r="E16" s="16" t="s">
        <v>22</v>
      </c>
      <c r="F16" s="26"/>
      <c r="G16" s="26"/>
      <c r="H16" s="26"/>
      <c r="I16" s="26"/>
      <c r="J16" s="86"/>
      <c r="K16" s="86"/>
      <c r="L16" s="86"/>
      <c r="M16" s="86"/>
      <c r="N16" s="86"/>
      <c r="O16" s="91"/>
    </row>
    <row r="17" ht="21.05" customHeight="1" spans="1:15">
      <c r="A17" s="113" t="s">
        <v>16</v>
      </c>
      <c r="B17" s="32"/>
      <c r="C17" s="32"/>
      <c r="D17" s="104"/>
      <c r="E17" s="24"/>
      <c r="F17" s="13"/>
      <c r="G17" s="13"/>
      <c r="H17" s="13"/>
      <c r="I17" s="142"/>
      <c r="J17" s="86"/>
      <c r="K17" s="86"/>
      <c r="L17" s="86"/>
      <c r="M17" s="86"/>
      <c r="N17" s="86"/>
      <c r="O17" s="33"/>
    </row>
    <row r="18" ht="21.05" customHeight="1" spans="1:15">
      <c r="A18" s="113" t="s">
        <v>17</v>
      </c>
      <c r="B18" s="32"/>
      <c r="C18" s="32"/>
      <c r="D18" s="104"/>
      <c r="E18" s="13"/>
      <c r="F18" s="13"/>
      <c r="G18" s="13"/>
      <c r="H18" s="13"/>
      <c r="I18" s="142"/>
      <c r="J18" s="86"/>
      <c r="K18" s="86"/>
      <c r="L18" s="86"/>
      <c r="M18" s="86"/>
      <c r="N18" s="86"/>
      <c r="O18" s="137"/>
    </row>
    <row r="19" ht="21.05" customHeight="1" spans="1:15">
      <c r="A19" s="114" t="s">
        <v>18</v>
      </c>
      <c r="B19" s="32"/>
      <c r="C19" s="32"/>
      <c r="D19" s="104"/>
      <c r="E19" s="13"/>
      <c r="F19" s="13"/>
      <c r="G19" s="13"/>
      <c r="H19" s="13"/>
      <c r="I19" s="142"/>
      <c r="J19" s="86"/>
      <c r="K19" s="86"/>
      <c r="L19" s="86"/>
      <c r="M19" s="86"/>
      <c r="N19" s="86"/>
      <c r="O19" s="137"/>
    </row>
    <row r="20" ht="21.05" customHeight="1" spans="1:15">
      <c r="A20" s="115" t="s">
        <v>19</v>
      </c>
      <c r="B20" s="54"/>
      <c r="C20" s="54"/>
      <c r="D20" s="43"/>
      <c r="E20" s="28"/>
      <c r="F20" s="28"/>
      <c r="G20" s="28"/>
      <c r="H20" s="28"/>
      <c r="I20" s="143"/>
      <c r="J20" s="86"/>
      <c r="K20" s="86"/>
      <c r="L20" s="86"/>
      <c r="M20" s="86"/>
      <c r="N20" s="86"/>
      <c r="O20" s="138"/>
    </row>
    <row r="21" ht="14" spans="1:15">
      <c r="A21" s="116" t="s">
        <v>23</v>
      </c>
      <c r="B21" s="13"/>
      <c r="C21" s="116" t="s">
        <v>24</v>
      </c>
      <c r="D21" s="104"/>
      <c r="E21" s="117" t="s">
        <v>25</v>
      </c>
      <c r="F21" s="32"/>
      <c r="G21" s="32"/>
      <c r="H21" s="32"/>
      <c r="I21" s="13"/>
      <c r="J21" s="136"/>
      <c r="K21" s="136"/>
      <c r="L21" s="136"/>
      <c r="M21" s="136"/>
      <c r="N21" s="136"/>
      <c r="O21" s="91"/>
    </row>
    <row r="22" ht="14" spans="1:15">
      <c r="A22" s="118" t="s">
        <v>26</v>
      </c>
      <c r="B22" s="119"/>
      <c r="C22" s="118" t="s">
        <v>27</v>
      </c>
      <c r="D22" s="119"/>
      <c r="E22" s="120"/>
      <c r="F22" s="13"/>
      <c r="G22" s="13"/>
      <c r="H22" s="13"/>
      <c r="I22" s="13"/>
      <c r="J22" s="86"/>
      <c r="K22" s="86"/>
      <c r="L22" s="86"/>
      <c r="M22" s="86"/>
      <c r="N22" s="86"/>
      <c r="O22" s="91"/>
    </row>
    <row r="23" ht="14" spans="1:15">
      <c r="A23" s="29" t="s">
        <v>28</v>
      </c>
      <c r="B23" s="41"/>
      <c r="C23" s="29" t="s">
        <v>29</v>
      </c>
      <c r="D23" s="121"/>
      <c r="E23" s="120"/>
      <c r="F23" s="26"/>
      <c r="G23" s="13"/>
      <c r="H23" s="13"/>
      <c r="I23" s="13"/>
      <c r="J23" s="86"/>
      <c r="K23" s="86"/>
      <c r="L23" s="86"/>
      <c r="M23" s="86"/>
      <c r="N23" s="86"/>
      <c r="O23" s="91"/>
    </row>
    <row r="24" ht="14" spans="1:15">
      <c r="A24" s="49"/>
      <c r="B24" s="122"/>
      <c r="C24" s="52"/>
      <c r="D24" s="53"/>
      <c r="E24" s="123" t="s">
        <v>30</v>
      </c>
      <c r="F24" s="28" t="s">
        <v>31</v>
      </c>
      <c r="G24" s="28"/>
      <c r="H24" s="28"/>
      <c r="I24" s="28"/>
      <c r="J24" s="144"/>
      <c r="K24" s="86"/>
      <c r="L24" s="86"/>
      <c r="M24" s="86"/>
      <c r="N24" s="86"/>
      <c r="O24" s="91"/>
    </row>
    <row r="25" ht="26" spans="1:15">
      <c r="A25" s="58" t="s">
        <v>32</v>
      </c>
      <c r="B25" s="59" t="s">
        <v>33</v>
      </c>
      <c r="C25" s="59" t="s">
        <v>34</v>
      </c>
      <c r="D25" s="124" t="s">
        <v>35</v>
      </c>
      <c r="E25" s="59" t="s">
        <v>36</v>
      </c>
      <c r="F25" s="59" t="s">
        <v>37</v>
      </c>
      <c r="G25" s="59" t="s">
        <v>38</v>
      </c>
      <c r="H25" s="59" t="s">
        <v>39</v>
      </c>
      <c r="I25" s="59" t="s">
        <v>40</v>
      </c>
      <c r="J25" s="145" t="s">
        <v>41</v>
      </c>
      <c r="K25" s="145" t="s">
        <v>42</v>
      </c>
      <c r="L25" s="146" t="s">
        <v>43</v>
      </c>
      <c r="M25" s="146" t="s">
        <v>44</v>
      </c>
      <c r="N25" s="146" t="s">
        <v>45</v>
      </c>
      <c r="O25" s="93" t="s">
        <v>46</v>
      </c>
    </row>
    <row r="26" ht="26" spans="1:15">
      <c r="A26" s="61" t="s">
        <v>47</v>
      </c>
      <c r="B26" s="62" t="s">
        <v>48</v>
      </c>
      <c r="C26" s="62" t="s">
        <v>49</v>
      </c>
      <c r="D26" s="62" t="s">
        <v>50</v>
      </c>
      <c r="E26" s="125">
        <v>1400</v>
      </c>
      <c r="F26" s="126" t="s">
        <v>51</v>
      </c>
      <c r="G26" s="127">
        <v>5.57</v>
      </c>
      <c r="H26" s="62" t="s">
        <v>52</v>
      </c>
      <c r="I26" s="147">
        <f>ROUND(E26*G26,2)</f>
        <v>7798</v>
      </c>
      <c r="J26" s="62" t="s">
        <v>31</v>
      </c>
      <c r="K26" s="62" t="s">
        <v>31</v>
      </c>
      <c r="L26" s="62" t="s">
        <v>53</v>
      </c>
      <c r="M26" s="148" t="s">
        <v>54</v>
      </c>
      <c r="N26" s="62" t="s">
        <v>55</v>
      </c>
      <c r="O26" s="149">
        <v>3.9</v>
      </c>
    </row>
    <row r="27" ht="26" spans="1:15">
      <c r="A27" s="61">
        <v>2</v>
      </c>
      <c r="B27" s="62" t="s">
        <v>56</v>
      </c>
      <c r="C27" s="62">
        <v>2250102522</v>
      </c>
      <c r="D27" s="62" t="s">
        <v>50</v>
      </c>
      <c r="E27" s="125">
        <v>5040</v>
      </c>
      <c r="F27" s="126" t="s">
        <v>51</v>
      </c>
      <c r="G27" s="127">
        <v>3.87</v>
      </c>
      <c r="H27" s="62" t="s">
        <v>52</v>
      </c>
      <c r="I27" s="147">
        <f>ROUND(E27*G27,2)</f>
        <v>19504.8</v>
      </c>
      <c r="J27" s="62" t="s">
        <v>31</v>
      </c>
      <c r="K27" s="62" t="s">
        <v>31</v>
      </c>
      <c r="L27" s="62" t="s">
        <v>53</v>
      </c>
      <c r="M27" s="148" t="s">
        <v>54</v>
      </c>
      <c r="N27" s="62" t="s">
        <v>57</v>
      </c>
      <c r="O27" s="149">
        <v>12.3</v>
      </c>
    </row>
    <row r="28" ht="26" spans="1:15">
      <c r="A28" s="61">
        <v>3</v>
      </c>
      <c r="B28" s="62" t="s">
        <v>56</v>
      </c>
      <c r="C28" s="62">
        <v>2250102522</v>
      </c>
      <c r="D28" s="62" t="s">
        <v>50</v>
      </c>
      <c r="E28" s="125">
        <v>5040</v>
      </c>
      <c r="F28" s="126" t="s">
        <v>51</v>
      </c>
      <c r="G28" s="127">
        <v>3.87</v>
      </c>
      <c r="H28" s="62" t="s">
        <v>52</v>
      </c>
      <c r="I28" s="147">
        <f>ROUND(E28*G28,2)</f>
        <v>19504.8</v>
      </c>
      <c r="J28" s="62" t="s">
        <v>31</v>
      </c>
      <c r="K28" s="62" t="s">
        <v>31</v>
      </c>
      <c r="L28" s="62" t="s">
        <v>53</v>
      </c>
      <c r="M28" s="148" t="s">
        <v>54</v>
      </c>
      <c r="N28" s="62" t="s">
        <v>57</v>
      </c>
      <c r="O28" s="149">
        <v>12.3</v>
      </c>
    </row>
    <row r="29" spans="1:15">
      <c r="A29" s="21"/>
      <c r="E29" s="128"/>
      <c r="I29" s="150"/>
      <c r="J29" s="151"/>
      <c r="K29" s="151"/>
      <c r="L29" s="151"/>
      <c r="M29" s="151"/>
      <c r="N29" s="151"/>
      <c r="O29" s="44"/>
    </row>
    <row r="30" ht="14" spans="1:15">
      <c r="A30" s="129"/>
      <c r="B30" s="130"/>
      <c r="C30" s="131" t="s">
        <v>58</v>
      </c>
      <c r="D30" s="131"/>
      <c r="E30" s="132">
        <f>SUM(E26:E29)</f>
        <v>11480</v>
      </c>
      <c r="F30" s="133"/>
      <c r="G30" s="134"/>
      <c r="H30" s="134"/>
      <c r="I30" s="152">
        <f>SUM(I26:I29)</f>
        <v>46807.6</v>
      </c>
      <c r="J30" s="153"/>
      <c r="K30" s="153"/>
      <c r="L30" s="153"/>
      <c r="M30" s="153"/>
      <c r="N30" s="153"/>
      <c r="O30" s="154">
        <f>SUM(O26:O29)</f>
        <v>28.5</v>
      </c>
    </row>
  </sheetData>
  <mergeCells count="8">
    <mergeCell ref="A1:O1"/>
    <mergeCell ref="B7:C7"/>
    <mergeCell ref="E11:I11"/>
    <mergeCell ref="E13:I13"/>
    <mergeCell ref="A22:B22"/>
    <mergeCell ref="C22:D22"/>
    <mergeCell ref="C24:D24"/>
    <mergeCell ref="C30:D30"/>
  </mergeCells>
  <printOptions horizontalCentered="1"/>
  <pageMargins left="0.7" right="0.7" top="0.75" bottom="0.75" header="0.3" footer="0.3"/>
  <pageSetup paperSize="9" scale="58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1"/>
  <sheetViews>
    <sheetView workbookViewId="0">
      <selection activeCell="F16" sqref="F16"/>
    </sheetView>
  </sheetViews>
  <sheetFormatPr defaultColWidth="7.83333333333333" defaultRowHeight="14"/>
  <cols>
    <col min="1" max="1" width="7.83333333333333" style="2"/>
    <col min="2" max="2" width="10.75" style="2" customWidth="1"/>
    <col min="3" max="3" width="17.8333333333333" style="2" customWidth="1"/>
    <col min="4" max="4" width="7.83333333333333" style="2"/>
    <col min="5" max="5" width="11.0833333333333" style="2" customWidth="1"/>
    <col min="6" max="6" width="11.8333333333333" style="2" customWidth="1"/>
    <col min="7" max="9" width="7.83333333333333" style="2"/>
    <col min="10" max="10" width="12" style="2" customWidth="1"/>
    <col min="11" max="16384" width="7.83333333333333" style="2"/>
  </cols>
  <sheetData>
    <row r="1" spans="1:10">
      <c r="A1" s="3" t="s">
        <v>59</v>
      </c>
      <c r="B1" s="4"/>
      <c r="C1" s="4"/>
      <c r="D1" s="4"/>
      <c r="E1" s="4"/>
      <c r="F1" s="4"/>
      <c r="G1" s="4"/>
      <c r="H1" s="4"/>
      <c r="I1" s="4"/>
      <c r="J1" s="83"/>
    </row>
    <row r="2" spans="1:10">
      <c r="A2" s="5"/>
      <c r="B2" s="6"/>
      <c r="C2" s="6"/>
      <c r="D2" s="6"/>
      <c r="E2" s="6"/>
      <c r="F2" s="6"/>
      <c r="G2" s="6"/>
      <c r="H2" s="6"/>
      <c r="I2" s="6"/>
      <c r="J2" s="84"/>
    </row>
    <row r="3" spans="1:10">
      <c r="A3" s="7" t="s">
        <v>1</v>
      </c>
      <c r="B3" s="8"/>
      <c r="C3" s="9"/>
      <c r="D3" s="9"/>
      <c r="E3" s="10"/>
      <c r="F3" s="8" t="s">
        <v>60</v>
      </c>
      <c r="G3" s="9"/>
      <c r="H3" s="9"/>
      <c r="I3" s="9"/>
      <c r="J3" s="85"/>
    </row>
    <row r="4" s="1" customFormat="1" ht="23" spans="1:11">
      <c r="A4" s="11" t="s">
        <v>3</v>
      </c>
      <c r="B4" s="12"/>
      <c r="C4" s="13"/>
      <c r="D4" s="13"/>
      <c r="F4" s="14" t="s">
        <v>4</v>
      </c>
      <c r="G4" s="15"/>
      <c r="H4" s="15"/>
      <c r="I4" s="13"/>
      <c r="J4" s="86"/>
      <c r="K4" s="87"/>
    </row>
    <row r="5" s="1" customFormat="1" ht="19.55" customHeight="1" spans="1:11">
      <c r="A5" s="16" t="s">
        <v>5</v>
      </c>
      <c r="B5" s="17"/>
      <c r="C5" s="17"/>
      <c r="D5" s="17"/>
      <c r="F5" s="18">
        <f>'INVOICE-隨機'!E4</f>
        <v>46008</v>
      </c>
      <c r="G5" s="19"/>
      <c r="H5" s="20"/>
      <c r="I5" s="13"/>
      <c r="J5" s="86"/>
      <c r="K5" s="87"/>
    </row>
    <row r="6" s="1" customFormat="1" ht="19.55" customHeight="1" spans="1:11">
      <c r="A6" s="16" t="s">
        <v>6</v>
      </c>
      <c r="B6" s="17"/>
      <c r="C6" s="17"/>
      <c r="D6" s="17"/>
      <c r="F6" s="21"/>
      <c r="G6" s="13"/>
      <c r="H6" s="13"/>
      <c r="I6" s="13"/>
      <c r="J6" s="86"/>
      <c r="K6" s="87"/>
    </row>
    <row r="7" s="1" customFormat="1" ht="19.55" customHeight="1" spans="1:11">
      <c r="A7" s="22" t="s">
        <v>7</v>
      </c>
      <c r="B7" s="23"/>
      <c r="C7" s="13"/>
      <c r="D7" s="13"/>
      <c r="F7" s="24"/>
      <c r="G7" s="13"/>
      <c r="H7" s="13"/>
      <c r="I7" s="13"/>
      <c r="J7" s="88"/>
      <c r="K7" s="89"/>
    </row>
    <row r="8" s="1" customFormat="1" ht="19.55" customHeight="1" spans="1:11">
      <c r="A8" s="25" t="s">
        <v>8</v>
      </c>
      <c r="B8" s="157" t="s">
        <v>9</v>
      </c>
      <c r="C8" s="17"/>
      <c r="D8" s="17"/>
      <c r="F8" s="24"/>
      <c r="G8" s="13"/>
      <c r="H8" s="13"/>
      <c r="I8" s="13"/>
      <c r="J8" s="86"/>
      <c r="K8" s="87"/>
    </row>
    <row r="9" s="1" customFormat="1" ht="19.55" customHeight="1" spans="1:11">
      <c r="A9" s="25" t="s">
        <v>10</v>
      </c>
      <c r="B9" s="158" t="s">
        <v>11</v>
      </c>
      <c r="C9" s="13"/>
      <c r="D9" s="13"/>
      <c r="F9" s="27"/>
      <c r="G9" s="28"/>
      <c r="H9" s="28"/>
      <c r="I9" s="28"/>
      <c r="J9" s="90"/>
      <c r="K9" s="89"/>
    </row>
    <row r="10" ht="14.5" spans="1:10">
      <c r="A10" s="29" t="s">
        <v>20</v>
      </c>
      <c r="B10" s="8"/>
      <c r="C10" s="9"/>
      <c r="D10" s="9"/>
      <c r="E10" s="30"/>
      <c r="F10" s="31" t="s">
        <v>25</v>
      </c>
      <c r="G10" s="26"/>
      <c r="H10" s="32"/>
      <c r="I10" s="32"/>
      <c r="J10" s="91"/>
    </row>
    <row r="11" ht="22.7" customHeight="1" spans="1:10">
      <c r="A11" s="11" t="s">
        <v>14</v>
      </c>
      <c r="B11" s="12"/>
      <c r="C11" s="13"/>
      <c r="D11" s="13"/>
      <c r="E11" s="33"/>
      <c r="F11" s="31"/>
      <c r="G11" s="26"/>
      <c r="H11" s="32"/>
      <c r="I11" s="32"/>
      <c r="J11" s="91"/>
    </row>
    <row r="12" ht="22.7" customHeight="1" spans="1:10">
      <c r="A12" s="16" t="s">
        <v>16</v>
      </c>
      <c r="B12" s="17"/>
      <c r="C12" s="17"/>
      <c r="D12" s="17"/>
      <c r="E12" s="33"/>
      <c r="F12" s="32"/>
      <c r="G12" s="32"/>
      <c r="H12" s="32"/>
      <c r="I12" s="32"/>
      <c r="J12" s="91"/>
    </row>
    <row r="13" ht="22.7" customHeight="1" spans="1:10">
      <c r="A13" s="16" t="s">
        <v>17</v>
      </c>
      <c r="B13" s="17"/>
      <c r="C13" s="17"/>
      <c r="D13" s="17"/>
      <c r="E13" s="33"/>
      <c r="F13" s="32"/>
      <c r="G13" s="32"/>
      <c r="H13" s="32"/>
      <c r="I13" s="32"/>
      <c r="J13" s="91"/>
    </row>
    <row r="14" ht="22.7" customHeight="1" spans="1:10">
      <c r="A14" s="22" t="s">
        <v>61</v>
      </c>
      <c r="B14" s="23"/>
      <c r="C14" s="13"/>
      <c r="D14" s="13"/>
      <c r="E14" s="33"/>
      <c r="F14" s="34"/>
      <c r="G14" s="34"/>
      <c r="H14" s="35"/>
      <c r="I14" s="92"/>
      <c r="J14" s="91"/>
    </row>
    <row r="15" ht="22.7" customHeight="1" spans="1:10">
      <c r="A15" s="36" t="s">
        <v>19</v>
      </c>
      <c r="B15" s="26"/>
      <c r="C15" s="17"/>
      <c r="D15" s="17"/>
      <c r="E15" s="1"/>
      <c r="F15" s="37"/>
      <c r="G15" s="34"/>
      <c r="H15" s="38"/>
      <c r="I15" s="32"/>
      <c r="J15" s="91"/>
    </row>
    <row r="16" ht="24" customHeight="1" spans="1:10">
      <c r="A16" s="29" t="s">
        <v>23</v>
      </c>
      <c r="B16" s="39"/>
      <c r="C16" s="40"/>
      <c r="D16" s="29" t="s">
        <v>24</v>
      </c>
      <c r="E16" s="41"/>
      <c r="F16" s="34"/>
      <c r="G16" s="34"/>
      <c r="H16" s="38"/>
      <c r="I16" s="32"/>
      <c r="J16" s="91"/>
    </row>
    <row r="17" ht="24" customHeight="1" spans="1:10">
      <c r="A17" s="36" t="s">
        <v>26</v>
      </c>
      <c r="B17" s="42"/>
      <c r="C17" s="43"/>
      <c r="D17" s="28" t="s">
        <v>27</v>
      </c>
      <c r="E17" s="44"/>
      <c r="F17" s="34"/>
      <c r="G17" s="34"/>
      <c r="H17" s="38"/>
      <c r="I17" s="32"/>
      <c r="J17" s="91"/>
    </row>
    <row r="18" ht="24" customHeight="1" spans="1:10">
      <c r="A18" s="45" t="s">
        <v>28</v>
      </c>
      <c r="B18" s="46"/>
      <c r="C18" s="47"/>
      <c r="D18" s="46" t="s">
        <v>29</v>
      </c>
      <c r="E18" s="48"/>
      <c r="F18" s="32"/>
      <c r="G18" s="32"/>
      <c r="H18" s="32"/>
      <c r="I18" s="32"/>
      <c r="J18" s="91"/>
    </row>
    <row r="19" ht="24" customHeight="1" spans="1:10">
      <c r="A19" s="49"/>
      <c r="B19" s="50"/>
      <c r="C19" s="51"/>
      <c r="D19" s="52"/>
      <c r="E19" s="53"/>
      <c r="F19" s="54"/>
      <c r="G19" s="54"/>
      <c r="H19" s="54"/>
      <c r="I19" s="54"/>
      <c r="J19" s="91"/>
    </row>
    <row r="20" ht="15.8" customHeight="1" spans="1:10">
      <c r="A20" s="55" t="s">
        <v>62</v>
      </c>
      <c r="B20" s="56" t="s">
        <v>34</v>
      </c>
      <c r="C20" s="56" t="s">
        <v>33</v>
      </c>
      <c r="D20" s="56" t="s">
        <v>35</v>
      </c>
      <c r="E20" s="56"/>
      <c r="F20" s="4" t="s">
        <v>36</v>
      </c>
      <c r="G20" s="4" t="s">
        <v>37</v>
      </c>
      <c r="H20" s="57" t="s">
        <v>63</v>
      </c>
      <c r="I20" s="57" t="s">
        <v>64</v>
      </c>
      <c r="J20" s="93" t="s">
        <v>65</v>
      </c>
    </row>
    <row r="21" spans="1:10">
      <c r="A21" s="58"/>
      <c r="B21" s="59"/>
      <c r="C21" s="59"/>
      <c r="D21" s="59"/>
      <c r="E21" s="59"/>
      <c r="F21" s="60"/>
      <c r="G21" s="60"/>
      <c r="H21" s="57" t="s">
        <v>66</v>
      </c>
      <c r="I21" s="57" t="s">
        <v>66</v>
      </c>
      <c r="J21" s="94"/>
    </row>
    <row r="22" ht="20.25" customHeight="1" spans="1:10">
      <c r="A22" s="61" t="s">
        <v>47</v>
      </c>
      <c r="B22" s="62" t="s">
        <v>49</v>
      </c>
      <c r="C22" s="62" t="s">
        <v>55</v>
      </c>
      <c r="D22" s="63" t="s">
        <v>50</v>
      </c>
      <c r="E22" s="63"/>
      <c r="F22" s="64">
        <v>1400</v>
      </c>
      <c r="G22" s="65" t="s">
        <v>51</v>
      </c>
      <c r="H22" s="66">
        <v>3.9</v>
      </c>
      <c r="I22" s="66">
        <v>4.9</v>
      </c>
      <c r="J22" s="95" t="s">
        <v>67</v>
      </c>
    </row>
    <row r="23" ht="20.25" customHeight="1" spans="1:10">
      <c r="A23" s="61">
        <v>2</v>
      </c>
      <c r="B23" s="62">
        <v>2250102522</v>
      </c>
      <c r="C23" s="62" t="s">
        <v>57</v>
      </c>
      <c r="D23" s="63" t="s">
        <v>50</v>
      </c>
      <c r="E23" s="63"/>
      <c r="F23" s="64">
        <v>5040</v>
      </c>
      <c r="G23" s="65" t="s">
        <v>51</v>
      </c>
      <c r="H23" s="66">
        <v>12.3</v>
      </c>
      <c r="I23" s="66">
        <v>13.3</v>
      </c>
      <c r="J23" s="95" t="s">
        <v>68</v>
      </c>
    </row>
    <row r="24" ht="20.25" customHeight="1" spans="1:10">
      <c r="A24" s="61">
        <v>3</v>
      </c>
      <c r="B24" s="62">
        <v>2250102522</v>
      </c>
      <c r="C24" s="62" t="s">
        <v>57</v>
      </c>
      <c r="D24" s="63" t="s">
        <v>50</v>
      </c>
      <c r="E24" s="63"/>
      <c r="F24" s="64">
        <v>5040</v>
      </c>
      <c r="G24" s="65" t="s">
        <v>51</v>
      </c>
      <c r="H24" s="66">
        <v>12.3</v>
      </c>
      <c r="I24" s="66">
        <v>13.3</v>
      </c>
      <c r="J24" s="95" t="s">
        <v>68</v>
      </c>
    </row>
    <row r="25" ht="20.25" customHeight="1" spans="1:10">
      <c r="A25" s="61"/>
      <c r="B25" s="62"/>
      <c r="C25" s="62"/>
      <c r="D25" s="63"/>
      <c r="E25" s="63"/>
      <c r="F25" s="64"/>
      <c r="G25" s="65"/>
      <c r="H25" s="66"/>
      <c r="I25" s="66"/>
      <c r="J25" s="95"/>
    </row>
    <row r="26" ht="20.25" customHeight="1" spans="1:10">
      <c r="A26" s="67"/>
      <c r="B26" s="68"/>
      <c r="C26" s="68"/>
      <c r="D26" s="69"/>
      <c r="E26" s="69"/>
      <c r="F26" s="70"/>
      <c r="G26" s="71"/>
      <c r="H26" s="72"/>
      <c r="I26" s="72"/>
      <c r="J26" s="96"/>
    </row>
    <row r="27" spans="1:10">
      <c r="A27" s="73">
        <v>3</v>
      </c>
      <c r="B27" s="32"/>
      <c r="C27" s="46"/>
      <c r="D27" s="74"/>
      <c r="E27" s="57" t="s">
        <v>69</v>
      </c>
      <c r="F27" s="75">
        <f>SUM(F22:F26)</f>
        <v>11480</v>
      </c>
      <c r="G27" s="57"/>
      <c r="H27" s="76">
        <f>SUM(H22:H26)</f>
        <v>28.5</v>
      </c>
      <c r="I27" s="76">
        <f>SUM(I22:I26)</f>
        <v>31.5</v>
      </c>
      <c r="J27" s="97">
        <v>0.09</v>
      </c>
    </row>
    <row r="28" spans="1:10">
      <c r="A28" s="77"/>
      <c r="E28" s="78" t="s">
        <v>70</v>
      </c>
      <c r="F28" s="79">
        <v>3</v>
      </c>
      <c r="J28" s="98"/>
    </row>
    <row r="29" spans="1:10">
      <c r="A29" s="77"/>
      <c r="E29" s="78" t="s">
        <v>71</v>
      </c>
      <c r="F29" s="80" t="s">
        <v>72</v>
      </c>
      <c r="J29" s="99"/>
    </row>
    <row r="30" spans="1:10">
      <c r="A30" s="77"/>
      <c r="E30" s="78" t="s">
        <v>73</v>
      </c>
      <c r="F30" s="80"/>
      <c r="J30" s="99"/>
    </row>
    <row r="31" spans="1:10">
      <c r="A31" s="81"/>
      <c r="B31" s="82"/>
      <c r="C31" s="82"/>
      <c r="D31" s="82"/>
      <c r="E31" s="82"/>
      <c r="F31" s="82"/>
      <c r="G31" s="82"/>
      <c r="H31" s="82"/>
      <c r="I31" s="82"/>
      <c r="J31" s="100"/>
    </row>
  </sheetData>
  <mergeCells count="17">
    <mergeCell ref="A1:J1"/>
    <mergeCell ref="F14:G14"/>
    <mergeCell ref="F15:G15"/>
    <mergeCell ref="A19:C19"/>
    <mergeCell ref="D19:E19"/>
    <mergeCell ref="D22:E22"/>
    <mergeCell ref="D23:E23"/>
    <mergeCell ref="D24:E24"/>
    <mergeCell ref="D25:E25"/>
    <mergeCell ref="D26:E26"/>
    <mergeCell ref="A20:A21"/>
    <mergeCell ref="B20:B21"/>
    <mergeCell ref="C20:C21"/>
    <mergeCell ref="F20:F21"/>
    <mergeCell ref="G20:G21"/>
    <mergeCell ref="J20:J21"/>
    <mergeCell ref="D20:E21"/>
  </mergeCells>
  <pageMargins left="0.393700787401575" right="0.393700787401575" top="0.393700787401575" bottom="0.393700787401575" header="0.31496062992126" footer="0.31496062992126"/>
  <pageSetup paperSize="9" scale="86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INVOICE-隨機</vt:lpstr>
      <vt:lpstr>PACKING LIST-隨機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Sheep</dc:creator>
  <cp:lastModifiedBy>2012277</cp:lastModifiedBy>
  <dcterms:created xsi:type="dcterms:W3CDTF">2001-03-08T08:01:00Z</dcterms:created>
  <cp:lastPrinted>2025-12-16T06:10:00Z</cp:lastPrinted>
  <dcterms:modified xsi:type="dcterms:W3CDTF">2025-12-18T02:28:26Z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2A7DEBB80AD34A6691AEB855EE8725A8</vt:lpwstr>
  </property>
  <property fmtid="{D5CDD505-2E9C-101B-9397-08002B2CF9AE}" pid="3" name="KSOProductBuildVer">
    <vt:lpwstr>2052-11.8.2.12118</vt:lpwstr>
  </property>
</Properties>
</file>