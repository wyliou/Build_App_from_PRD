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codeName="ThisWorkbook"/>
  <xr:revisionPtr revIDLastSave="0" documentId="11_617B3DE8084CF250D8DAFBB6A9A2B63A29528C3A" xr6:coauthVersionLast="47" xr6:coauthVersionMax="47" xr10:uidLastSave="{00000000-0000-0000-0000-000000000000}"/>
  <bookViews>
    <workbookView xWindow="0" yWindow="0" windowWidth="20490" windowHeight="7860" xr2:uid="{00000000-000D-0000-FFFF-FFFF00000000}"/>
  </bookViews>
  <sheets>
    <sheet name="INVOICE" sheetId="1" r:id="rId1"/>
    <sheet name="PACK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2" l="1"/>
  <c r="K50" i="2"/>
  <c r="I50" i="2"/>
  <c r="A50" i="2"/>
  <c r="L51" i="2" s="1"/>
  <c r="E25" i="1"/>
  <c r="I24" i="1"/>
  <c r="I23" i="1"/>
  <c r="I22" i="1"/>
  <c r="I21" i="1"/>
  <c r="I25" i="1" s="1"/>
</calcChain>
</file>

<file path=xl/sharedStrings.xml><?xml version="1.0" encoding="utf-8"?>
<sst xmlns="http://schemas.openxmlformats.org/spreadsheetml/2006/main" count="231" uniqueCount="82">
  <si>
    <t>COMMERCIAL INVOICE</t>
  </si>
  <si>
    <t>Shipper/Exporter</t>
  </si>
  <si>
    <t>No. &amp; Date of Invoice</t>
  </si>
  <si>
    <t>全进科技股份有限公司</t>
  </si>
  <si>
    <t>Date：</t>
  </si>
  <si>
    <t>BIMOS TECHNOLOGY  CORP.</t>
  </si>
  <si>
    <t>Invoice No：</t>
  </si>
  <si>
    <t>202512150001</t>
  </si>
  <si>
    <t>13F.-2, No.646, Sec. 5, Chongxin Rd., Sanchong Dist.241, New Taipei City, Taiwan,China,</t>
  </si>
  <si>
    <t>TEL：886-2-2995-5509          FAX：886-2-2995-5506</t>
  </si>
  <si>
    <t>Bill To:</t>
  </si>
  <si>
    <t xml:space="preserve"> Payment Term</t>
  </si>
  <si>
    <t>中磊电子(苏州)有限公司  SerNet (Suzhou) Technologies Corporation</t>
  </si>
  <si>
    <t>苏州工业园区唐庄路8号</t>
  </si>
  <si>
    <t xml:space="preserve">采购：Fiona 黃紅平            TEL：512_6761-3993#6572 </t>
  </si>
  <si>
    <t>关务：Tavin 徐天奇            TEL：512-6761-3993#6643</t>
  </si>
  <si>
    <t>Ship To:</t>
  </si>
  <si>
    <t xml:space="preserve"> Trade Term</t>
  </si>
  <si>
    <t>2A：江苏省苏州市工业园区唐庄路8号</t>
  </si>
  <si>
    <r>
      <rPr>
        <sz val="10"/>
        <rFont val="Arial"/>
        <charset val="134"/>
      </rPr>
      <t xml:space="preserve">DDU  </t>
    </r>
    <r>
      <rPr>
        <sz val="10"/>
        <rFont val="細明體"/>
        <charset val="136"/>
      </rPr>
      <t>交中磊电子（苏州）</t>
    </r>
  </si>
  <si>
    <t>收货人：罗豪君，0512-6761 3993#7588        手机：181-5108-8398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</si>
  <si>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</si>
  <si>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</si>
  <si>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</si>
  <si>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</si>
  <si>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</si>
  <si>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</si>
  <si>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中国台湾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</si>
  <si>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</si>
  <si>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</si>
  <si>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</si>
  <si>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</si>
  <si>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</si>
  <si>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</si>
  <si>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</si>
  <si>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</si>
  <si>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</si>
  <si>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</si>
  <si>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</si>
  <si>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</si>
  <si>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</si>
  <si>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</si>
  <si>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1</t>
  </si>
  <si>
    <t>4833001RBS</t>
  </si>
  <si>
    <t>2250602195</t>
  </si>
  <si>
    <t>S0005208N-001</t>
  </si>
  <si>
    <t>PCS</t>
  </si>
  <si>
    <t>USD</t>
  </si>
  <si>
    <t>中国</t>
  </si>
  <si>
    <t>无品牌</t>
  </si>
  <si>
    <t>2</t>
  </si>
  <si>
    <t>225080364401</t>
  </si>
  <si>
    <t>3</t>
  </si>
  <si>
    <t>2251000326</t>
  </si>
  <si>
    <t>4</t>
  </si>
  <si>
    <t>48330005BS</t>
  </si>
  <si>
    <t>2250801082</t>
  </si>
  <si>
    <t>R00030150-001</t>
  </si>
  <si>
    <t xml:space="preserve">                  TOTAL</t>
  </si>
  <si>
    <t>报关行</t>
  </si>
  <si>
    <t>江苏飞力达国际物流</t>
  </si>
  <si>
    <t>申报地海关</t>
  </si>
  <si>
    <t>关联备案号</t>
  </si>
  <si>
    <r>
      <rPr>
        <sz val="12"/>
        <color rgb="FF000000"/>
        <rFont val="SimSun"/>
        <charset val="134"/>
      </rPr>
      <t>新账册</t>
    </r>
    <r>
      <rPr>
        <sz val="12"/>
        <color rgb="FF000000"/>
        <rFont val="Aptos"/>
        <charset val="134"/>
      </rPr>
      <t>T2358W000200</t>
    </r>
  </si>
  <si>
    <t>运输方式</t>
  </si>
  <si>
    <t>保税港区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</si>
  <si>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</si>
  <si>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</si>
  <si>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</si>
  <si>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</si>
  <si>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</si>
  <si>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</si>
  <si>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</si>
  <si>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</si>
  <si>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</si>
  <si>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</si>
  <si>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43*27*26</t>
  </si>
  <si>
    <t>39.5*36.5*33.5</t>
  </si>
  <si>
    <t>TOTAL</t>
  </si>
  <si>
    <t>件数</t>
  </si>
  <si>
    <t>包装种类</t>
  </si>
  <si>
    <t>纸箱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</si>
</sst>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 "/>
    <numFmt numFmtId="177" formatCode="yyyy/m/d;@"/>
    <numFmt numFmtId="178" formatCode="0_ "/>
    <numFmt numFmtId="179" formatCode="yyyy/mm/dd"/>
    <numFmt numFmtId="180" formatCode="0.00_ "/>
    <numFmt numFmtId="181" formatCode="0.00_);[Red]\(0.00\)"/>
    <numFmt numFmtId="182" formatCode="0.0000_);[Red]\(0.0000\)"/>
  </numFmts>
  <fonts count="24">
    <font>
      <sz val="11"/>
      <color theme="1"/>
      <name val="宋体"/>
      <charset val="134"/>
      <scheme val="minor"/>
    </font>
    <font>
      <b/>
      <sz val="1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FF0000"/>
      <name val="宋体"/>
      <charset val="136"/>
    </font>
    <font>
      <sz val="15"/>
      <color theme="1"/>
      <name val="宋体"/>
      <charset val="136"/>
      <scheme val="major"/>
    </font>
    <font>
      <sz val="10"/>
      <color theme="1"/>
      <name val="宋体"/>
      <charset val="136"/>
      <scheme val="major"/>
    </font>
    <font>
      <sz val="13"/>
      <color theme="1"/>
      <name val="宋体"/>
      <charset val="136"/>
      <scheme val="major"/>
    </font>
    <font>
      <sz val="10.5"/>
      <color theme="1"/>
      <name val="宋体"/>
      <charset val="136"/>
      <scheme val="major"/>
    </font>
    <font>
      <b/>
      <sz val="10.5"/>
      <color theme="1"/>
      <name val="宋体"/>
      <charset val="136"/>
      <scheme val="major"/>
    </font>
    <font>
      <sz val="10"/>
      <color rgb="FFFF0000"/>
      <name val="Arial"/>
      <charset val="134"/>
    </font>
    <font>
      <sz val="10"/>
      <name val="宋体"/>
      <charset val="134"/>
    </font>
    <font>
      <sz val="10"/>
      <name val="新細明體"/>
      <charset val="136"/>
    </font>
    <font>
      <sz val="10"/>
      <name val="Times New Roman"/>
      <charset val="134"/>
    </font>
    <font>
      <sz val="10"/>
      <name val="微软雅黑"/>
      <charset val="134"/>
    </font>
    <font>
      <b/>
      <sz val="10"/>
      <name val="宋体"/>
      <charset val="134"/>
    </font>
    <font>
      <sz val="18"/>
      <color theme="1"/>
      <name val="宋体"/>
      <charset val="136"/>
      <scheme val="minor"/>
    </font>
    <font>
      <sz val="12"/>
      <color rgb="FF000000"/>
      <name val="SimSun"/>
      <charset val="134"/>
    </font>
    <font>
      <sz val="12"/>
      <color rgb="FF000000"/>
      <name val="Aptos"/>
      <charset val="134"/>
    </font>
    <font>
      <sz val="10"/>
      <color indexed="12"/>
      <name val="新細明體"/>
      <charset val="136"/>
    </font>
    <font>
      <b/>
      <sz val="10"/>
      <name val="新細明體"/>
      <charset val="136"/>
    </font>
    <font>
      <sz val="12"/>
      <name val="新細明體"/>
      <charset val="136"/>
    </font>
    <font>
      <sz val="12"/>
      <name val="宋体"/>
      <charset val="134"/>
    </font>
    <font>
      <sz val="10"/>
      <name val="細明體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6">
    <xf numFmtId="0" fontId="0" fillId="0" borderId="0">
      <alignment vertical="center"/>
    </xf>
    <xf numFmtId="0" fontId="21" fillId="0" borderId="0"/>
    <xf numFmtId="0" fontId="22" fillId="0" borderId="0"/>
    <xf numFmtId="0" fontId="3" fillId="0" borderId="0"/>
    <xf numFmtId="0" fontId="22" fillId="0" borderId="0"/>
    <xf numFmtId="0" fontId="22" fillId="0" borderId="0"/>
  </cellStyleXfs>
  <cellXfs count="161">
    <xf numFmtId="0" fontId="0" fillId="0" borderId="0" xfId="0">
      <alignment vertical="center"/>
    </xf>
    <xf numFmtId="0" fontId="2" fillId="2" borderId="1" xfId="2" applyFont="1" applyFill="1" applyBorder="1"/>
    <xf numFmtId="0" fontId="2" fillId="2" borderId="2" xfId="2" applyFont="1" applyFill="1" applyBorder="1"/>
    <xf numFmtId="0" fontId="3" fillId="0" borderId="2" xfId="2" applyFont="1" applyBorder="1"/>
    <xf numFmtId="0" fontId="4" fillId="0" borderId="3" xfId="2" applyFont="1" applyBorder="1"/>
    <xf numFmtId="0" fontId="6" fillId="0" borderId="0" xfId="0" applyFont="1" applyAlignment="1"/>
    <xf numFmtId="0" fontId="6" fillId="0" borderId="5" xfId="0" applyFont="1" applyBorder="1" applyAlignment="1"/>
    <xf numFmtId="0" fontId="2" fillId="2" borderId="1" xfId="4" applyFont="1" applyFill="1" applyBorder="1"/>
    <xf numFmtId="0" fontId="3" fillId="2" borderId="2" xfId="2" applyFont="1" applyFill="1" applyBorder="1"/>
    <xf numFmtId="0" fontId="3" fillId="2" borderId="3" xfId="2" applyFont="1" applyFill="1" applyBorder="1"/>
    <xf numFmtId="0" fontId="8" fillId="0" borderId="4" xfId="0" applyFont="1" applyBorder="1">
      <alignment vertical="center"/>
    </xf>
    <xf numFmtId="0" fontId="3" fillId="2" borderId="0" xfId="2" applyFont="1" applyFill="1" applyAlignment="1">
      <alignment horizontal="left"/>
    </xf>
    <xf numFmtId="0" fontId="3" fillId="2" borderId="0" xfId="2" applyFont="1" applyFill="1"/>
    <xf numFmtId="0" fontId="3" fillId="2" borderId="5" xfId="2" applyFont="1" applyFill="1" applyBorder="1"/>
    <xf numFmtId="0" fontId="3" fillId="2" borderId="0" xfId="2" applyFont="1" applyFill="1" applyAlignment="1">
      <alignment vertical="top" wrapText="1"/>
    </xf>
    <xf numFmtId="0" fontId="3" fillId="2" borderId="5" xfId="2" applyFont="1" applyFill="1" applyBorder="1" applyAlignment="1">
      <alignment vertical="top" wrapText="1"/>
    </xf>
    <xf numFmtId="0" fontId="3" fillId="0" borderId="6" xfId="0" applyFont="1" applyBorder="1" applyAlignment="1"/>
    <xf numFmtId="0" fontId="3" fillId="0" borderId="6" xfId="2" applyFont="1" applyBorder="1"/>
    <xf numFmtId="0" fontId="3" fillId="0" borderId="7" xfId="2" applyFont="1" applyBorder="1"/>
    <xf numFmtId="0" fontId="2" fillId="0" borderId="0" xfId="2" applyFont="1"/>
    <xf numFmtId="0" fontId="3" fillId="0" borderId="0" xfId="2" applyFont="1"/>
    <xf numFmtId="0" fontId="3" fillId="0" borderId="5" xfId="2" applyFont="1" applyBorder="1"/>
    <xf numFmtId="0" fontId="9" fillId="0" borderId="4" xfId="0" applyFont="1" applyBorder="1">
      <alignment vertical="center"/>
    </xf>
    <xf numFmtId="0" fontId="3" fillId="0" borderId="0" xfId="2" applyFont="1" applyAlignment="1">
      <alignment horizontal="left"/>
    </xf>
    <xf numFmtId="0" fontId="8" fillId="0" borderId="8" xfId="0" applyFont="1" applyBorder="1" applyAlignment="1">
      <alignment horizontal="left" vertical="center"/>
    </xf>
    <xf numFmtId="0" fontId="3" fillId="0" borderId="6" xfId="2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2" fillId="0" borderId="1" xfId="2" applyFont="1" applyBorder="1"/>
    <xf numFmtId="0" fontId="2" fillId="0" borderId="2" xfId="2" applyFont="1" applyBorder="1"/>
    <xf numFmtId="0" fontId="4" fillId="0" borderId="2" xfId="4" applyFont="1" applyBorder="1"/>
    <xf numFmtId="0" fontId="0" fillId="0" borderId="3" xfId="0" applyBorder="1">
      <alignment vertical="center"/>
    </xf>
    <xf numFmtId="0" fontId="3" fillId="0" borderId="8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>
      <alignment horizontal="left"/>
    </xf>
    <xf numFmtId="0" fontId="0" fillId="0" borderId="7" xfId="0" applyBorder="1">
      <alignment vertical="center"/>
    </xf>
    <xf numFmtId="0" fontId="4" fillId="0" borderId="5" xfId="2" applyFont="1" applyBorder="1"/>
    <xf numFmtId="0" fontId="10" fillId="0" borderId="0" xfId="2" applyFont="1" applyAlignment="1">
      <alignment horizontal="right"/>
    </xf>
    <xf numFmtId="0" fontId="0" fillId="0" borderId="5" xfId="0" applyBorder="1">
      <alignment vertical="center"/>
    </xf>
    <xf numFmtId="177" fontId="3" fillId="0" borderId="8" xfId="0" applyNumberFormat="1" applyFont="1" applyBorder="1" applyAlignment="1">
      <alignment horizontal="left"/>
    </xf>
    <xf numFmtId="177" fontId="3" fillId="0" borderId="6" xfId="0" applyNumberFormat="1" applyFont="1" applyBorder="1" applyAlignment="1"/>
    <xf numFmtId="0" fontId="2" fillId="2" borderId="4" xfId="4" applyFont="1" applyFill="1" applyBorder="1" applyAlignment="1">
      <alignment vertical="center"/>
    </xf>
    <xf numFmtId="0" fontId="2" fillId="2" borderId="0" xfId="4" applyFont="1" applyFill="1" applyAlignment="1">
      <alignment vertical="center"/>
    </xf>
    <xf numFmtId="0" fontId="2" fillId="2" borderId="0" xfId="4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 shrinkToFit="1"/>
    </xf>
    <xf numFmtId="0" fontId="3" fillId="0" borderId="15" xfId="5" applyFont="1" applyBorder="1" applyAlignment="1">
      <alignment horizontal="center" vertical="center" wrapText="1" shrinkToFit="1"/>
    </xf>
    <xf numFmtId="0" fontId="3" fillId="0" borderId="16" xfId="5" applyFont="1" applyBorder="1" applyAlignment="1">
      <alignment horizontal="center" vertical="center" wrapText="1" shrinkToFit="1"/>
    </xf>
    <xf numFmtId="0" fontId="3" fillId="0" borderId="16" xfId="2" applyFont="1" applyBorder="1" applyAlignment="1">
      <alignment horizontal="center" vertical="center" wrapText="1" shrinkToFit="1"/>
    </xf>
    <xf numFmtId="178" fontId="2" fillId="2" borderId="4" xfId="2" applyNumberFormat="1" applyFont="1" applyFill="1" applyBorder="1" applyAlignment="1">
      <alignment horizontal="center"/>
    </xf>
    <xf numFmtId="0" fontId="2" fillId="0" borderId="0" xfId="2" applyFont="1" applyAlignment="1">
      <alignment horizontal="left"/>
    </xf>
    <xf numFmtId="0" fontId="2" fillId="0" borderId="0" xfId="2" applyFont="1" applyAlignment="1">
      <alignment horizontal="center"/>
    </xf>
    <xf numFmtId="0" fontId="0" fillId="0" borderId="4" xfId="0" applyBorder="1">
      <alignment vertical="center"/>
    </xf>
    <xf numFmtId="0" fontId="11" fillId="2" borderId="0" xfId="2" applyFont="1" applyFill="1" applyAlignment="1">
      <alignment horizontal="center"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12" fillId="0" borderId="3" xfId="0" applyFont="1" applyBorder="1" applyAlignment="1"/>
    <xf numFmtId="0" fontId="6" fillId="0" borderId="4" xfId="0" applyFont="1" applyBorder="1" applyAlignment="1">
      <alignment horizontal="right" vertical="center"/>
    </xf>
    <xf numFmtId="179" fontId="8" fillId="0" borderId="0" xfId="3" applyNumberFormat="1" applyFont="1" applyAlignment="1">
      <alignment horizontal="left" vertical="center" wrapText="1"/>
    </xf>
    <xf numFmtId="0" fontId="12" fillId="0" borderId="5" xfId="0" applyFont="1" applyBorder="1" applyAlignment="1"/>
    <xf numFmtId="0" fontId="3" fillId="0" borderId="4" xfId="2" applyFont="1" applyBorder="1"/>
    <xf numFmtId="0" fontId="3" fillId="0" borderId="8" xfId="2" applyFont="1" applyBorder="1"/>
    <xf numFmtId="0" fontId="3" fillId="0" borderId="0" xfId="4" applyFont="1"/>
    <xf numFmtId="0" fontId="13" fillId="0" borderId="0" xfId="2" applyFont="1"/>
    <xf numFmtId="0" fontId="14" fillId="0" borderId="0" xfId="2" applyFont="1"/>
    <xf numFmtId="0" fontId="3" fillId="0" borderId="0" xfId="0" applyFont="1" applyAlignment="1"/>
    <xf numFmtId="0" fontId="2" fillId="0" borderId="0" xfId="0" applyFont="1">
      <alignment vertical="center"/>
    </xf>
    <xf numFmtId="180" fontId="3" fillId="0" borderId="0" xfId="0" applyNumberFormat="1" applyFont="1" applyAlignment="1">
      <alignment horizontal="center" vertical="center"/>
    </xf>
    <xf numFmtId="0" fontId="2" fillId="2" borderId="0" xfId="2" applyFont="1" applyFill="1" applyAlignment="1">
      <alignment horizontal="center"/>
    </xf>
    <xf numFmtId="176" fontId="4" fillId="0" borderId="16" xfId="2" applyNumberFormat="1" applyFont="1" applyBorder="1" applyAlignment="1">
      <alignment horizontal="center" vertical="center" wrapText="1" shrinkToFit="1"/>
    </xf>
    <xf numFmtId="181" fontId="3" fillId="0" borderId="16" xfId="2" applyNumberFormat="1" applyFont="1" applyBorder="1" applyAlignment="1">
      <alignment horizontal="center" vertical="center" wrapText="1" shrinkToFit="1"/>
    </xf>
    <xf numFmtId="181" fontId="2" fillId="0" borderId="16" xfId="2" applyNumberFormat="1" applyFont="1" applyBorder="1" applyAlignment="1">
      <alignment horizontal="center" vertical="center" wrapText="1" shrinkToFit="1"/>
    </xf>
    <xf numFmtId="181" fontId="2" fillId="0" borderId="17" xfId="2" applyNumberFormat="1" applyFont="1" applyBorder="1" applyAlignment="1">
      <alignment horizontal="center" vertical="center" wrapText="1" shrinkToFit="1"/>
    </xf>
    <xf numFmtId="176" fontId="2" fillId="2" borderId="0" xfId="2" applyNumberFormat="1" applyFont="1" applyFill="1" applyAlignment="1">
      <alignment horizontal="center"/>
    </xf>
    <xf numFmtId="181" fontId="2" fillId="2" borderId="0" xfId="2" applyNumberFormat="1" applyFont="1" applyFill="1" applyAlignment="1">
      <alignment horizontal="center"/>
    </xf>
    <xf numFmtId="181" fontId="2" fillId="2" borderId="5" xfId="2" applyNumberFormat="1" applyFont="1" applyFill="1" applyBorder="1" applyAlignment="1">
      <alignment horizontal="center"/>
    </xf>
    <xf numFmtId="178" fontId="3" fillId="2" borderId="0" xfId="2" applyNumberFormat="1" applyFont="1" applyFill="1"/>
    <xf numFmtId="0" fontId="11" fillId="2" borderId="0" xfId="2" applyFont="1" applyFill="1"/>
    <xf numFmtId="0" fontId="16" fillId="0" borderId="0" xfId="0" applyFont="1">
      <alignment vertical="center"/>
    </xf>
    <xf numFmtId="0" fontId="2" fillId="2" borderId="2" xfId="4" applyFont="1" applyFill="1" applyBorder="1"/>
    <xf numFmtId="0" fontId="3" fillId="0" borderId="2" xfId="4" applyFont="1" applyBorder="1"/>
    <xf numFmtId="0" fontId="4" fillId="0" borderId="2" xfId="2" applyFont="1" applyBorder="1"/>
    <xf numFmtId="0" fontId="3" fillId="2" borderId="2" xfId="4" applyFont="1" applyFill="1" applyBorder="1"/>
    <xf numFmtId="0" fontId="3" fillId="2" borderId="3" xfId="4" applyFont="1" applyFill="1" applyBorder="1"/>
    <xf numFmtId="0" fontId="8" fillId="0" borderId="0" xfId="0" applyFont="1">
      <alignment vertical="center"/>
    </xf>
    <xf numFmtId="0" fontId="3" fillId="2" borderId="0" xfId="4" applyFont="1" applyFill="1"/>
    <xf numFmtId="0" fontId="3" fillId="2" borderId="5" xfId="4" applyFont="1" applyFill="1" applyBorder="1"/>
    <xf numFmtId="0" fontId="8" fillId="0" borderId="6" xfId="0" applyFont="1" applyBorder="1">
      <alignment vertical="center"/>
    </xf>
    <xf numFmtId="0" fontId="3" fillId="2" borderId="6" xfId="4" applyFont="1" applyFill="1" applyBorder="1"/>
    <xf numFmtId="0" fontId="3" fillId="2" borderId="7" xfId="4" applyFont="1" applyFill="1" applyBorder="1"/>
    <xf numFmtId="0" fontId="9" fillId="0" borderId="0" xfId="0" applyFont="1">
      <alignment vertical="center"/>
    </xf>
    <xf numFmtId="0" fontId="3" fillId="2" borderId="0" xfId="0" applyFont="1" applyFill="1" applyAlignment="1"/>
    <xf numFmtId="0" fontId="3" fillId="2" borderId="5" xfId="0" applyFont="1" applyFill="1" applyBorder="1" applyAlignment="1"/>
    <xf numFmtId="0" fontId="9" fillId="0" borderId="6" xfId="0" applyFont="1" applyBorder="1" applyAlignment="1">
      <alignment horizontal="left" vertical="center"/>
    </xf>
    <xf numFmtId="0" fontId="2" fillId="0" borderId="1" xfId="4" applyFont="1" applyBorder="1"/>
    <xf numFmtId="0" fontId="3" fillId="0" borderId="5" xfId="4" applyFont="1" applyBorder="1"/>
    <xf numFmtId="0" fontId="11" fillId="2" borderId="0" xfId="4" applyFont="1" applyFill="1"/>
    <xf numFmtId="0" fontId="11" fillId="0" borderId="8" xfId="0" applyFont="1" applyBorder="1" applyAlignment="1"/>
    <xf numFmtId="0" fontId="3" fillId="0" borderId="7" xfId="4" applyFont="1" applyBorder="1"/>
    <xf numFmtId="0" fontId="3" fillId="0" borderId="3" xfId="4" applyFont="1" applyBorder="1"/>
    <xf numFmtId="0" fontId="2" fillId="0" borderId="4" xfId="4" applyFont="1" applyBorder="1"/>
    <xf numFmtId="0" fontId="10" fillId="0" borderId="5" xfId="2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11" fillId="2" borderId="8" xfId="4" applyFont="1" applyFill="1" applyBorder="1"/>
    <xf numFmtId="0" fontId="2" fillId="0" borderId="4" xfId="4" applyFont="1" applyBorder="1" applyAlignment="1">
      <alignment horizontal="center" vertical="center"/>
    </xf>
    <xf numFmtId="0" fontId="2" fillId="0" borderId="0" xfId="4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 shrinkToFit="1"/>
    </xf>
    <xf numFmtId="0" fontId="3" fillId="2" borderId="0" xfId="0" applyFont="1" applyFill="1" applyAlignment="1">
      <alignment horizontal="center" vertical="center" wrapText="1" shrinkToFit="1"/>
    </xf>
    <xf numFmtId="0" fontId="3" fillId="0" borderId="10" xfId="4" applyFont="1" applyBorder="1"/>
    <xf numFmtId="0" fontId="3" fillId="0" borderId="12" xfId="4" applyFont="1" applyBorder="1"/>
    <xf numFmtId="176" fontId="2" fillId="2" borderId="12" xfId="4" applyNumberFormat="1" applyFont="1" applyFill="1" applyBorder="1" applyAlignment="1">
      <alignment horizontal="center"/>
    </xf>
    <xf numFmtId="0" fontId="2" fillId="0" borderId="12" xfId="4" applyFont="1" applyBorder="1"/>
    <xf numFmtId="182" fontId="2" fillId="0" borderId="12" xfId="4" applyNumberFormat="1" applyFont="1" applyBorder="1" applyAlignment="1">
      <alignment horizont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right" vertical="center"/>
    </xf>
    <xf numFmtId="0" fontId="12" fillId="0" borderId="2" xfId="0" applyFont="1" applyBorder="1" applyAlignment="1"/>
    <xf numFmtId="0" fontId="3" fillId="0" borderId="4" xfId="4" applyFont="1" applyBorder="1"/>
    <xf numFmtId="0" fontId="12" fillId="0" borderId="0" xfId="0" applyFont="1" applyAlignment="1"/>
    <xf numFmtId="0" fontId="3" fillId="0" borderId="8" xfId="4" applyFont="1" applyBorder="1"/>
    <xf numFmtId="0" fontId="3" fillId="0" borderId="6" xfId="4" applyFont="1" applyBorder="1"/>
    <xf numFmtId="0" fontId="12" fillId="0" borderId="6" xfId="0" applyFont="1" applyBorder="1">
      <alignment vertical="center"/>
    </xf>
    <xf numFmtId="0" fontId="19" fillId="0" borderId="7" xfId="0" applyFont="1" applyBorder="1">
      <alignment vertical="center"/>
    </xf>
    <xf numFmtId="0" fontId="12" fillId="0" borderId="0" xfId="0" applyFont="1">
      <alignment vertical="center"/>
    </xf>
    <xf numFmtId="0" fontId="12" fillId="0" borderId="5" xfId="0" applyFont="1" applyBorder="1">
      <alignment vertical="center"/>
    </xf>
    <xf numFmtId="0" fontId="19" fillId="0" borderId="0" xfId="0" applyFont="1">
      <alignment vertical="center"/>
    </xf>
    <xf numFmtId="0" fontId="19" fillId="0" borderId="5" xfId="0" applyFont="1" applyBorder="1">
      <alignment vertical="center"/>
    </xf>
    <xf numFmtId="0" fontId="3" fillId="2" borderId="4" xfId="0" applyFont="1" applyFill="1" applyBorder="1">
      <alignment vertical="center"/>
    </xf>
    <xf numFmtId="0" fontId="11" fillId="0" borderId="4" xfId="4" applyFont="1" applyBorder="1"/>
    <xf numFmtId="0" fontId="11" fillId="2" borderId="8" xfId="4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vertical="center" wrapText="1" shrinkToFit="1"/>
    </xf>
    <xf numFmtId="181" fontId="2" fillId="2" borderId="12" xfId="4" applyNumberFormat="1" applyFont="1" applyFill="1" applyBorder="1" applyAlignment="1">
      <alignment horizontal="center"/>
    </xf>
    <xf numFmtId="0" fontId="20" fillId="0" borderId="6" xfId="0" applyFont="1" applyBorder="1" applyAlignment="1"/>
    <xf numFmtId="0" fontId="8" fillId="0" borderId="0" xfId="3" quotePrefix="1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3" fillId="0" borderId="12" xfId="4" applyFont="1" applyBorder="1" applyAlignment="1">
      <alignment horizontal="left"/>
    </xf>
    <xf numFmtId="181" fontId="2" fillId="2" borderId="12" xfId="4" applyNumberFormat="1" applyFont="1" applyFill="1" applyBorder="1" applyAlignment="1">
      <alignment horizontal="right"/>
    </xf>
    <xf numFmtId="181" fontId="2" fillId="2" borderId="11" xfId="4" applyNumberFormat="1" applyFont="1" applyFill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77" fontId="3" fillId="0" borderId="8" xfId="0" applyNumberFormat="1" applyFont="1" applyBorder="1" applyAlignment="1">
      <alignment horizontal="left"/>
    </xf>
    <xf numFmtId="177" fontId="3" fillId="0" borderId="7" xfId="0" applyNumberFormat="1" applyFont="1" applyBorder="1" applyAlignment="1">
      <alignment horizontal="left"/>
    </xf>
    <xf numFmtId="0" fontId="1" fillId="0" borderId="1" xfId="4" applyFont="1" applyBorder="1" applyAlignment="1">
      <alignment horizontal="center"/>
    </xf>
    <xf numFmtId="0" fontId="1" fillId="0" borderId="2" xfId="4" applyFont="1" applyBorder="1" applyAlignment="1">
      <alignment horizontal="center"/>
    </xf>
    <xf numFmtId="0" fontId="1" fillId="0" borderId="3" xfId="4" applyFont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6" fillId="0" borderId="0" xfId="0" applyFont="1" applyAlignment="1"/>
    <xf numFmtId="0" fontId="6" fillId="0" borderId="5" xfId="0" applyFont="1" applyBorder="1" applyAlignment="1"/>
    <xf numFmtId="0" fontId="7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 shrinkToFit="1"/>
    </xf>
    <xf numFmtId="0" fontId="3" fillId="2" borderId="14" xfId="0" applyFont="1" applyFill="1" applyBorder="1" applyAlignment="1">
      <alignment horizontal="center" vertical="center" wrapText="1" shrinkToFi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 shrinkToFit="1"/>
    </xf>
    <xf numFmtId="0" fontId="3" fillId="2" borderId="11" xfId="0" applyFont="1" applyFill="1" applyBorder="1" applyAlignment="1">
      <alignment horizontal="center" vertical="center" wrapText="1" shrinkToFit="1"/>
    </xf>
    <xf numFmtId="0" fontId="3" fillId="2" borderId="12" xfId="0" applyFont="1" applyFill="1" applyBorder="1" applyAlignment="1">
      <alignment horizontal="center" vertical="center" wrapText="1" shrinkToFit="1"/>
    </xf>
    <xf numFmtId="178" fontId="3" fillId="2" borderId="10" xfId="0" applyNumberFormat="1" applyFont="1" applyFill="1" applyBorder="1" applyAlignment="1">
      <alignment horizontal="center" vertical="center" wrapText="1" shrinkToFit="1"/>
    </xf>
    <xf numFmtId="178" fontId="3" fillId="2" borderId="11" xfId="0" applyNumberFormat="1" applyFont="1" applyFill="1" applyBorder="1" applyAlignment="1">
      <alignment horizontal="center" vertical="center" wrapText="1" shrinkToFit="1"/>
    </xf>
  </cellXfs>
  <cellStyles count="6">
    <cellStyle name="一般" xfId="0" builtinId="0"/>
    <cellStyle name="一般 2" xfId="1" xr:uid="{00000000-0005-0000-0000-00001E000000}"/>
    <cellStyle name="一般 3" xfId="3" xr:uid="{00000000-0005-0000-0000-000033000000}"/>
    <cellStyle name="一般_OMRON" xfId="4" xr:uid="{00000000-0005-0000-0000-000034000000}"/>
    <cellStyle name="一般_OMRON海運出口" xfId="2" xr:uid="{00000000-0005-0000-0000-000020000000}"/>
    <cellStyle name="常规_Sheet1_1" xfId="5" xr:uid="{00000000-0005-0000-0000-000035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30"/>
  <sheetViews>
    <sheetView tabSelected="1" workbookViewId="0">
      <selection activeCell="J31" sqref="J31"/>
    </sheetView>
  </sheetViews>
  <sheetFormatPr defaultColWidth="9" defaultRowHeight="22.5"/>
  <cols>
    <col min="1" max="1" width="14.5" style="76" customWidth="1"/>
    <col min="2" max="2" width="13.875" style="76" customWidth="1"/>
    <col min="3" max="3" width="14.375" style="76" customWidth="1"/>
    <col min="4" max="4" width="16.375" style="76" customWidth="1"/>
    <col min="5" max="5" width="12.125" style="76" customWidth="1"/>
    <col min="6" max="8" width="9" style="76"/>
    <col min="9" max="9" width="13" style="76" customWidth="1"/>
    <col min="10" max="10" width="13.875" style="76" customWidth="1"/>
    <col min="11" max="13" width="9" style="76"/>
    <col min="14" max="14" width="16.875" style="76" customWidth="1"/>
    <col min="15" max="16384" width="9" style="76"/>
  </cols>
  <sheetData>
    <row r="1" spans="1:15" ht="23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/>
    </row>
    <row r="2" spans="1:15" ht="31.9" customHeight="1">
      <c r="A2" s="7" t="s">
        <v>1</v>
      </c>
      <c r="B2" s="77"/>
      <c r="C2" s="78"/>
      <c r="D2" s="79"/>
      <c r="E2" s="80"/>
      <c r="F2" s="80"/>
      <c r="G2" s="80"/>
      <c r="H2" s="81"/>
      <c r="I2" s="7" t="s">
        <v>2</v>
      </c>
      <c r="J2" s="80"/>
      <c r="K2" s="80"/>
      <c r="L2" s="78"/>
      <c r="M2" s="113"/>
      <c r="N2" s="113"/>
      <c r="O2" s="54"/>
    </row>
    <row r="3" spans="1:15" ht="31.9" customHeight="1">
      <c r="A3" s="147" t="s">
        <v>3</v>
      </c>
      <c r="B3" s="148"/>
      <c r="C3" s="148"/>
      <c r="D3" s="148"/>
      <c r="E3" s="148"/>
      <c r="F3" s="148"/>
      <c r="G3" s="148"/>
      <c r="H3" s="149"/>
      <c r="I3" s="55" t="s">
        <v>4</v>
      </c>
      <c r="J3" s="56">
        <v>46006</v>
      </c>
      <c r="K3" s="5"/>
      <c r="L3" s="5"/>
      <c r="M3" s="5"/>
      <c r="N3" s="5"/>
      <c r="O3" s="6"/>
    </row>
    <row r="4" spans="1:15" ht="31.9" customHeight="1">
      <c r="A4" s="150" t="s">
        <v>5</v>
      </c>
      <c r="B4" s="148"/>
      <c r="C4" s="148"/>
      <c r="D4" s="148"/>
      <c r="E4" s="148"/>
      <c r="F4" s="148"/>
      <c r="G4" s="148"/>
      <c r="H4" s="149"/>
      <c r="I4" s="55" t="s">
        <v>6</v>
      </c>
      <c r="J4" s="135" t="s">
        <v>7</v>
      </c>
      <c r="K4" s="5"/>
      <c r="L4" s="5"/>
      <c r="M4" s="5"/>
      <c r="N4" s="5"/>
      <c r="O4" s="6"/>
    </row>
    <row r="5" spans="1:15" ht="31.9" customHeight="1">
      <c r="A5" s="151" t="s">
        <v>8</v>
      </c>
      <c r="B5" s="148"/>
      <c r="C5" s="148"/>
      <c r="D5" s="148"/>
      <c r="E5" s="148"/>
      <c r="F5" s="148"/>
      <c r="G5" s="148"/>
      <c r="H5" s="149"/>
      <c r="I5" s="114"/>
      <c r="J5" s="60"/>
      <c r="K5" s="60"/>
      <c r="L5" s="60"/>
      <c r="M5" s="115"/>
      <c r="N5" s="115"/>
      <c r="O5" s="57"/>
    </row>
    <row r="6" spans="1:15" ht="31.9" customHeight="1">
      <c r="A6" s="151" t="s">
        <v>9</v>
      </c>
      <c r="B6" s="148"/>
      <c r="C6" s="148"/>
      <c r="D6" s="148"/>
      <c r="E6" s="148"/>
      <c r="F6" s="148"/>
      <c r="G6" s="148"/>
      <c r="H6" s="149"/>
      <c r="I6" s="116"/>
      <c r="J6" s="117"/>
      <c r="K6" s="117"/>
      <c r="L6" s="117"/>
      <c r="M6" s="118"/>
      <c r="N6" s="118"/>
      <c r="O6" s="119"/>
    </row>
    <row r="7" spans="1:15" ht="31.9" customHeight="1">
      <c r="A7" s="7" t="s">
        <v>10</v>
      </c>
      <c r="B7" s="77"/>
      <c r="C7" s="80"/>
      <c r="D7" s="80"/>
      <c r="E7" s="80"/>
      <c r="F7" s="80"/>
      <c r="G7" s="80"/>
      <c r="H7" s="81"/>
      <c r="I7" s="92" t="s">
        <v>11</v>
      </c>
      <c r="J7" s="78"/>
      <c r="K7" s="78"/>
      <c r="L7" s="78"/>
      <c r="M7" s="120"/>
      <c r="N7" s="120"/>
      <c r="O7" s="121"/>
    </row>
    <row r="8" spans="1:15" ht="31.9" customHeight="1">
      <c r="A8" s="10" t="s">
        <v>12</v>
      </c>
      <c r="B8" s="82"/>
      <c r="C8" s="82"/>
      <c r="D8" s="82"/>
      <c r="E8" s="82"/>
      <c r="F8" s="82"/>
      <c r="G8" s="83"/>
      <c r="H8" s="84"/>
      <c r="I8" s="114"/>
      <c r="J8" s="60"/>
      <c r="K8" s="60"/>
      <c r="L8" s="60"/>
      <c r="M8" s="120"/>
      <c r="N8" s="120"/>
      <c r="O8" s="121"/>
    </row>
    <row r="9" spans="1:15" ht="31.9" customHeight="1">
      <c r="A9" s="10" t="s">
        <v>13</v>
      </c>
      <c r="B9" s="82"/>
      <c r="C9" s="82"/>
      <c r="D9" s="82"/>
      <c r="E9" s="82"/>
      <c r="F9" s="82"/>
      <c r="G9" s="83"/>
      <c r="H9" s="84"/>
      <c r="I9" s="114"/>
      <c r="J9" s="60"/>
      <c r="K9" s="60"/>
      <c r="L9" s="60"/>
      <c r="M9" s="122"/>
      <c r="N9" s="122"/>
      <c r="O9" s="123"/>
    </row>
    <row r="10" spans="1:15" ht="31.9" customHeight="1">
      <c r="A10" s="10" t="s">
        <v>14</v>
      </c>
      <c r="B10" s="82"/>
      <c r="C10" s="82"/>
      <c r="D10" s="82"/>
      <c r="E10" s="82"/>
      <c r="F10" s="82"/>
      <c r="G10" s="83"/>
      <c r="H10" s="84"/>
      <c r="I10" s="114"/>
      <c r="J10" s="60"/>
      <c r="K10" s="60"/>
      <c r="L10" s="60"/>
      <c r="M10" s="122"/>
      <c r="N10" s="122"/>
      <c r="O10" s="123"/>
    </row>
    <row r="11" spans="1:15" ht="31.9" customHeight="1">
      <c r="A11" s="10" t="s">
        <v>15</v>
      </c>
      <c r="B11" s="82"/>
      <c r="C11" s="82"/>
      <c r="D11" s="82"/>
      <c r="E11" s="82"/>
      <c r="F11" s="85"/>
      <c r="G11" s="86"/>
      <c r="H11" s="87"/>
      <c r="I11" s="116"/>
      <c r="J11" s="117"/>
      <c r="K11" s="117"/>
      <c r="L11" s="60"/>
      <c r="M11" s="122"/>
      <c r="N11" s="122"/>
      <c r="O11" s="123"/>
    </row>
    <row r="12" spans="1:15" ht="28.15" customHeight="1">
      <c r="A12" s="7" t="s">
        <v>16</v>
      </c>
      <c r="B12" s="78"/>
      <c r="C12" s="78"/>
      <c r="D12" s="78"/>
      <c r="E12" s="80"/>
      <c r="F12" s="83"/>
      <c r="G12" s="83"/>
      <c r="H12" s="84"/>
      <c r="I12" s="7" t="s">
        <v>17</v>
      </c>
      <c r="J12" s="80"/>
      <c r="K12" s="80"/>
      <c r="L12" s="80"/>
      <c r="M12" s="78"/>
      <c r="N12" s="78"/>
      <c r="O12" s="97"/>
    </row>
    <row r="13" spans="1:15" ht="28.15" customHeight="1">
      <c r="A13" s="22" t="s">
        <v>18</v>
      </c>
      <c r="B13" s="88"/>
      <c r="C13" s="88"/>
      <c r="D13" s="88"/>
      <c r="E13" s="88"/>
      <c r="F13" s="88"/>
      <c r="G13" s="89"/>
      <c r="H13" s="90"/>
      <c r="I13" s="124" t="s">
        <v>19</v>
      </c>
      <c r="J13" s="89"/>
      <c r="K13" s="89"/>
      <c r="L13" s="89"/>
      <c r="M13" s="115"/>
      <c r="N13" s="115"/>
      <c r="O13" s="57"/>
    </row>
    <row r="14" spans="1:15" ht="28.15" customHeight="1">
      <c r="A14" s="24" t="s">
        <v>20</v>
      </c>
      <c r="B14" s="91"/>
      <c r="C14" s="91"/>
      <c r="D14" s="91"/>
      <c r="E14" s="91"/>
      <c r="F14" s="91"/>
      <c r="G14" s="86"/>
      <c r="H14" s="87"/>
      <c r="I14" s="116"/>
      <c r="J14" s="117"/>
      <c r="K14" s="117"/>
      <c r="L14" s="117"/>
      <c r="M14" s="115"/>
      <c r="N14" s="115"/>
      <c r="O14" s="119"/>
    </row>
    <row r="15" spans="1:15" ht="13.5">
      <c r="A15" s="92" t="s">
        <v>21</v>
      </c>
      <c r="B15" s="78"/>
      <c r="C15" s="92" t="s">
        <v>22</v>
      </c>
      <c r="D15" s="93"/>
      <c r="E15" s="83"/>
      <c r="F15" s="12"/>
      <c r="G15" s="12"/>
      <c r="H15" s="12"/>
      <c r="I15" s="92" t="s">
        <v>23</v>
      </c>
      <c r="J15" s="3"/>
      <c r="K15" s="20"/>
      <c r="L15" s="20"/>
      <c r="M15" s="113"/>
      <c r="N15" s="113"/>
      <c r="O15" s="57"/>
    </row>
    <row r="16" spans="1:15" ht="13.5">
      <c r="A16" s="140"/>
      <c r="B16" s="141"/>
      <c r="C16" s="140"/>
      <c r="D16" s="141"/>
      <c r="E16" s="94"/>
      <c r="F16" s="83"/>
      <c r="G16" s="83"/>
      <c r="H16" s="83"/>
      <c r="I16" s="125"/>
      <c r="J16" s="60"/>
      <c r="K16" s="60"/>
      <c r="L16" s="60"/>
      <c r="M16" s="115"/>
      <c r="N16" s="115"/>
      <c r="O16" s="57"/>
    </row>
    <row r="17" spans="1:15" ht="13.5">
      <c r="A17" s="31"/>
      <c r="B17" s="16"/>
      <c r="C17" s="95"/>
      <c r="D17" s="96"/>
      <c r="E17" s="94"/>
      <c r="F17" s="89"/>
      <c r="G17" s="83"/>
      <c r="H17" s="83"/>
      <c r="I17" s="125"/>
      <c r="J17" s="63"/>
      <c r="K17" s="60"/>
      <c r="L17" s="60"/>
      <c r="M17" s="115"/>
      <c r="N17" s="115"/>
      <c r="O17" s="57"/>
    </row>
    <row r="18" spans="1:15" ht="13.5">
      <c r="A18" s="92" t="s">
        <v>24</v>
      </c>
      <c r="B18" s="97"/>
      <c r="C18" s="98" t="s">
        <v>25</v>
      </c>
      <c r="D18" s="99"/>
      <c r="E18" s="94"/>
      <c r="F18" s="89"/>
      <c r="G18" s="83"/>
      <c r="H18" s="83"/>
      <c r="I18" s="125"/>
      <c r="J18" s="63"/>
      <c r="K18" s="60"/>
      <c r="L18" s="60"/>
      <c r="M18" s="115"/>
      <c r="N18" s="115"/>
      <c r="O18" s="57"/>
    </row>
    <row r="19" spans="1:15" ht="13.5">
      <c r="A19" s="33"/>
      <c r="B19" s="100"/>
      <c r="C19" s="142"/>
      <c r="D19" s="143"/>
      <c r="E19" s="101"/>
      <c r="F19" s="86"/>
      <c r="G19" s="86"/>
      <c r="H19" s="86"/>
      <c r="I19" s="126" t="s">
        <v>26</v>
      </c>
      <c r="J19" s="127" t="s">
        <v>27</v>
      </c>
      <c r="K19" s="117"/>
      <c r="L19" s="117"/>
      <c r="M19" s="115"/>
      <c r="N19" s="115"/>
      <c r="O19" s="57"/>
    </row>
    <row r="20" spans="1:15" ht="34.15" customHeight="1">
      <c r="A20" s="102" t="s">
        <v>28</v>
      </c>
      <c r="B20" s="42" t="s">
        <v>29</v>
      </c>
      <c r="C20" s="42" t="s">
        <v>30</v>
      </c>
      <c r="D20" s="103" t="s">
        <v>31</v>
      </c>
      <c r="E20" s="42" t="s">
        <v>32</v>
      </c>
      <c r="F20" s="42" t="s">
        <v>33</v>
      </c>
      <c r="G20" s="42" t="s">
        <v>34</v>
      </c>
      <c r="H20" s="42" t="s">
        <v>35</v>
      </c>
      <c r="I20" s="42" t="s">
        <v>36</v>
      </c>
      <c r="J20" s="128" t="s">
        <v>37</v>
      </c>
      <c r="K20" s="128" t="s">
        <v>38</v>
      </c>
      <c r="L20" s="129" t="s">
        <v>39</v>
      </c>
      <c r="M20" s="129" t="s">
        <v>40</v>
      </c>
      <c r="N20" s="129" t="s">
        <v>41</v>
      </c>
      <c r="O20" s="130"/>
    </row>
    <row r="21" spans="1:15" ht="34.15" customHeight="1">
      <c r="A21" s="104" t="s">
        <v>42</v>
      </c>
      <c r="B21" s="105" t="s">
        <v>43</v>
      </c>
      <c r="C21" s="105" t="s">
        <v>44</v>
      </c>
      <c r="D21" s="105" t="s">
        <v>45</v>
      </c>
      <c r="E21" s="105">
        <v>3900</v>
      </c>
      <c r="F21" s="105" t="s">
        <v>46</v>
      </c>
      <c r="G21" s="105">
        <v>0.99</v>
      </c>
      <c r="H21" s="105" t="s">
        <v>47</v>
      </c>
      <c r="I21" s="105">
        <f t="shared" ref="I21:I24" si="0">ROUND(E21*G21,2)</f>
        <v>3861</v>
      </c>
      <c r="J21" s="131" t="s">
        <v>48</v>
      </c>
      <c r="K21" s="105"/>
      <c r="L21" s="136" t="s">
        <v>49</v>
      </c>
      <c r="M21" s="136"/>
      <c r="N21" s="105" t="s">
        <v>45</v>
      </c>
      <c r="O21" s="132"/>
    </row>
    <row r="22" spans="1:15" ht="34.15" customHeight="1">
      <c r="A22" s="104" t="s">
        <v>50</v>
      </c>
      <c r="B22" s="105" t="s">
        <v>43</v>
      </c>
      <c r="C22" s="105" t="s">
        <v>51</v>
      </c>
      <c r="D22" s="105" t="s">
        <v>45</v>
      </c>
      <c r="E22" s="105">
        <v>100</v>
      </c>
      <c r="F22" s="105" t="s">
        <v>46</v>
      </c>
      <c r="G22" s="105">
        <v>0.99</v>
      </c>
      <c r="H22" s="105" t="s">
        <v>47</v>
      </c>
      <c r="I22" s="105">
        <f t="shared" si="0"/>
        <v>99</v>
      </c>
      <c r="J22" s="131" t="s">
        <v>48</v>
      </c>
      <c r="K22" s="105"/>
      <c r="L22" s="136" t="s">
        <v>49</v>
      </c>
      <c r="M22" s="136"/>
      <c r="N22" s="105" t="s">
        <v>45</v>
      </c>
      <c r="O22" s="132"/>
    </row>
    <row r="23" spans="1:15" ht="34.15" customHeight="1">
      <c r="A23" s="104" t="s">
        <v>52</v>
      </c>
      <c r="B23" s="105" t="s">
        <v>43</v>
      </c>
      <c r="C23" s="105" t="s">
        <v>53</v>
      </c>
      <c r="D23" s="105" t="s">
        <v>45</v>
      </c>
      <c r="E23" s="105">
        <v>2000</v>
      </c>
      <c r="F23" s="105" t="s">
        <v>46</v>
      </c>
      <c r="G23" s="105">
        <v>0.99</v>
      </c>
      <c r="H23" s="105" t="s">
        <v>47</v>
      </c>
      <c r="I23" s="105">
        <f t="shared" si="0"/>
        <v>1980</v>
      </c>
      <c r="J23" s="131" t="s">
        <v>48</v>
      </c>
      <c r="K23" s="105"/>
      <c r="L23" s="136" t="s">
        <v>49</v>
      </c>
      <c r="M23" s="136"/>
      <c r="N23" s="105" t="s">
        <v>45</v>
      </c>
      <c r="O23" s="132"/>
    </row>
    <row r="24" spans="1:15" ht="34.15" customHeight="1">
      <c r="A24" s="104" t="s">
        <v>54</v>
      </c>
      <c r="B24" s="105" t="s">
        <v>55</v>
      </c>
      <c r="C24" s="105" t="s">
        <v>56</v>
      </c>
      <c r="D24" s="105" t="s">
        <v>57</v>
      </c>
      <c r="E24" s="105">
        <v>3080</v>
      </c>
      <c r="F24" s="105" t="s">
        <v>46</v>
      </c>
      <c r="G24" s="105">
        <v>0.43</v>
      </c>
      <c r="H24" s="105" t="s">
        <v>47</v>
      </c>
      <c r="I24" s="105">
        <f t="shared" si="0"/>
        <v>1324.4</v>
      </c>
      <c r="J24" s="131" t="s">
        <v>48</v>
      </c>
      <c r="K24" s="105"/>
      <c r="L24" s="136" t="s">
        <v>49</v>
      </c>
      <c r="M24" s="136"/>
      <c r="N24" s="105" t="s">
        <v>57</v>
      </c>
      <c r="O24" s="132"/>
    </row>
    <row r="25" spans="1:15">
      <c r="A25" s="106"/>
      <c r="B25" s="107"/>
      <c r="C25" s="137" t="s">
        <v>58</v>
      </c>
      <c r="D25" s="137"/>
      <c r="E25" s="108">
        <f>SUM(E21:E24)</f>
        <v>9080</v>
      </c>
      <c r="F25" s="109"/>
      <c r="G25" s="110"/>
      <c r="H25" s="110"/>
      <c r="I25" s="133">
        <f>SUM(I21:I24)</f>
        <v>7264.4</v>
      </c>
      <c r="J25" s="134"/>
      <c r="K25" s="134"/>
      <c r="L25" s="134"/>
      <c r="M25" s="134"/>
      <c r="N25" s="138"/>
      <c r="O25" s="139"/>
    </row>
    <row r="27" spans="1:15" ht="14.25">
      <c r="A27" s="111" t="s">
        <v>59</v>
      </c>
      <c r="B27" s="111" t="s">
        <v>60</v>
      </c>
    </row>
    <row r="28" spans="1:15" ht="14.25">
      <c r="A28" s="111" t="s">
        <v>61</v>
      </c>
      <c r="B28" s="112">
        <v>2358</v>
      </c>
    </row>
    <row r="29" spans="1:15" ht="14.25">
      <c r="A29" s="111" t="s">
        <v>62</v>
      </c>
      <c r="B29" s="111" t="s">
        <v>63</v>
      </c>
    </row>
    <row r="30" spans="1:15" ht="14.25">
      <c r="A30" s="111" t="s">
        <v>64</v>
      </c>
      <c r="B30" s="111" t="s">
        <v>65</v>
      </c>
    </row>
  </sheetData>
  <mergeCells count="14">
    <mergeCell ref="A1:O1"/>
    <mergeCell ref="A3:H3"/>
    <mergeCell ref="A4:H4"/>
    <mergeCell ref="A5:H5"/>
    <mergeCell ref="A6:H6"/>
    <mergeCell ref="L23:M23"/>
    <mergeCell ref="L24:M24"/>
    <mergeCell ref="C25:D25"/>
    <mergeCell ref="N25:O25"/>
    <mergeCell ref="A16:B16"/>
    <mergeCell ref="C16:D16"/>
    <mergeCell ref="C19:D19"/>
    <mergeCell ref="L21:M21"/>
    <mergeCell ref="L22:M22"/>
  </mergeCells>
  <pageMargins left="0.25" right="0.25" top="0.75" bottom="0.75" header="0.3" footer="0.3"/>
  <pageSetup paperSize="9" scale="6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54"/>
  <sheetViews>
    <sheetView topLeftCell="A9" workbookViewId="0">
      <selection activeCell="L12" sqref="L12"/>
    </sheetView>
  </sheetViews>
  <sheetFormatPr defaultColWidth="9" defaultRowHeight="13.5"/>
  <cols>
    <col min="1" max="1" width="10" customWidth="1"/>
    <col min="4" max="4" width="15.25" customWidth="1"/>
    <col min="8" max="8" width="9" customWidth="1"/>
    <col min="9" max="9" width="14" customWidth="1"/>
    <col min="10" max="10" width="13.875" customWidth="1"/>
    <col min="11" max="11" width="9.125" customWidth="1"/>
    <col min="12" max="12" width="11.875" customWidth="1"/>
    <col min="13" max="13" width="17.875" customWidth="1"/>
  </cols>
  <sheetData>
    <row r="1" spans="1:13" ht="23.25">
      <c r="A1" s="144" t="s">
        <v>66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23.25">
      <c r="A2" s="144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</row>
    <row r="3" spans="1:13" ht="28.15" customHeight="1">
      <c r="A3" s="1" t="s">
        <v>1</v>
      </c>
      <c r="B3" s="2"/>
      <c r="C3" s="2"/>
      <c r="D3" s="3"/>
      <c r="E3" s="3"/>
      <c r="F3" s="3"/>
      <c r="G3" s="3"/>
      <c r="H3" s="4"/>
      <c r="I3" s="2" t="s">
        <v>67</v>
      </c>
      <c r="J3" s="3"/>
      <c r="K3" s="3"/>
      <c r="L3" s="3"/>
      <c r="M3" s="54"/>
    </row>
    <row r="4" spans="1:13" ht="22.9" customHeight="1">
      <c r="A4" s="147" t="s">
        <v>3</v>
      </c>
      <c r="B4" s="148"/>
      <c r="C4" s="148"/>
      <c r="D4" s="148"/>
      <c r="E4" s="148"/>
      <c r="F4" s="148"/>
      <c r="G4" s="148"/>
      <c r="H4" s="149"/>
      <c r="I4" s="55" t="s">
        <v>4</v>
      </c>
      <c r="J4" s="56">
        <v>46006</v>
      </c>
      <c r="K4" s="20"/>
      <c r="L4" s="20"/>
      <c r="M4" s="57"/>
    </row>
    <row r="5" spans="1:13" ht="22.9" customHeight="1">
      <c r="A5" s="150" t="s">
        <v>5</v>
      </c>
      <c r="B5" s="148"/>
      <c r="C5" s="148"/>
      <c r="D5" s="148"/>
      <c r="E5" s="148"/>
      <c r="F5" s="148"/>
      <c r="G5" s="148"/>
      <c r="H5" s="149"/>
      <c r="I5" s="55" t="s">
        <v>6</v>
      </c>
      <c r="J5" s="135" t="s">
        <v>7</v>
      </c>
      <c r="K5" s="20"/>
      <c r="L5" s="20"/>
      <c r="M5" s="57"/>
    </row>
    <row r="6" spans="1:13" ht="22.9" customHeight="1">
      <c r="A6" s="151" t="s">
        <v>8</v>
      </c>
      <c r="B6" s="148"/>
      <c r="C6" s="148"/>
      <c r="D6" s="148"/>
      <c r="E6" s="148"/>
      <c r="F6" s="148"/>
      <c r="G6" s="148"/>
      <c r="H6" s="149"/>
      <c r="I6" s="58"/>
      <c r="J6" s="20"/>
      <c r="K6" s="20"/>
      <c r="L6" s="20"/>
      <c r="M6" s="57"/>
    </row>
    <row r="7" spans="1:13" ht="22.9" customHeight="1">
      <c r="A7" s="151" t="s">
        <v>9</v>
      </c>
      <c r="B7" s="148"/>
      <c r="C7" s="148"/>
      <c r="D7" s="148"/>
      <c r="E7" s="148"/>
      <c r="F7" s="148"/>
      <c r="G7" s="148"/>
      <c r="H7" s="149"/>
      <c r="I7" s="59"/>
      <c r="J7" s="17"/>
      <c r="K7" s="17"/>
      <c r="L7" s="17"/>
      <c r="M7" s="18"/>
    </row>
    <row r="8" spans="1:13" ht="22.9" customHeight="1">
      <c r="A8" s="7" t="s">
        <v>10</v>
      </c>
      <c r="B8" s="2"/>
      <c r="C8" s="2"/>
      <c r="D8" s="8"/>
      <c r="E8" s="8"/>
      <c r="F8" s="8"/>
      <c r="G8" s="8"/>
      <c r="H8" s="9"/>
      <c r="I8" s="28" t="s">
        <v>68</v>
      </c>
      <c r="J8" s="20"/>
      <c r="K8" s="20"/>
      <c r="L8" s="20"/>
      <c r="M8" s="57"/>
    </row>
    <row r="9" spans="1:13" ht="22.9" customHeight="1">
      <c r="A9" s="10" t="s">
        <v>12</v>
      </c>
      <c r="B9" s="11"/>
      <c r="C9" s="11"/>
      <c r="D9" s="12"/>
      <c r="E9" s="12"/>
      <c r="F9" s="12"/>
      <c r="G9" s="12"/>
      <c r="H9" s="13"/>
      <c r="I9" s="19"/>
      <c r="J9" s="60"/>
      <c r="K9" s="60"/>
      <c r="L9" s="60"/>
      <c r="M9" s="57"/>
    </row>
    <row r="10" spans="1:13" ht="22.9" customHeight="1">
      <c r="A10" s="10" t="s">
        <v>13</v>
      </c>
      <c r="B10" s="14"/>
      <c r="C10" s="14"/>
      <c r="D10" s="14"/>
      <c r="E10" s="14"/>
      <c r="F10" s="14"/>
      <c r="G10" s="14"/>
      <c r="H10" s="15"/>
      <c r="I10" s="19"/>
      <c r="J10" s="20"/>
      <c r="K10" s="20"/>
      <c r="L10" s="60"/>
      <c r="M10" s="57"/>
    </row>
    <row r="11" spans="1:13" ht="22.9" customHeight="1">
      <c r="A11" s="10" t="s">
        <v>14</v>
      </c>
      <c r="B11" s="14"/>
      <c r="C11" s="14"/>
      <c r="D11" s="14"/>
      <c r="E11" s="14"/>
      <c r="F11" s="14"/>
      <c r="G11" s="14"/>
      <c r="H11" s="15"/>
      <c r="I11" s="19"/>
      <c r="J11" s="20"/>
      <c r="K11" s="20"/>
      <c r="L11" s="60"/>
      <c r="M11" s="57"/>
    </row>
    <row r="12" spans="1:13" ht="22.9" customHeight="1">
      <c r="A12" s="10" t="s">
        <v>15</v>
      </c>
      <c r="B12" s="16"/>
      <c r="C12" s="16"/>
      <c r="D12" s="17"/>
      <c r="E12" s="17"/>
      <c r="F12" s="17"/>
      <c r="G12" s="17"/>
      <c r="H12" s="18"/>
      <c r="I12" s="20"/>
      <c r="J12" s="61"/>
      <c r="K12" s="61"/>
      <c r="L12" s="20"/>
      <c r="M12" s="57"/>
    </row>
    <row r="13" spans="1:13" ht="28.15" customHeight="1">
      <c r="A13" s="7" t="s">
        <v>16</v>
      </c>
      <c r="B13" s="19"/>
      <c r="C13" s="19"/>
      <c r="D13" s="20"/>
      <c r="E13" s="20"/>
      <c r="F13" s="20"/>
      <c r="G13" s="20"/>
      <c r="H13" s="21"/>
      <c r="I13" s="62"/>
      <c r="J13" s="63"/>
      <c r="K13" s="20"/>
      <c r="L13" s="20"/>
      <c r="M13" s="57"/>
    </row>
    <row r="14" spans="1:13" ht="28.15" customHeight="1">
      <c r="A14" s="22" t="s">
        <v>18</v>
      </c>
      <c r="B14" s="23"/>
      <c r="C14" s="23"/>
      <c r="D14" s="23"/>
      <c r="E14" s="23"/>
      <c r="F14" s="23"/>
      <c r="G14" s="23"/>
      <c r="H14" s="21"/>
      <c r="I14" s="62"/>
      <c r="J14" s="63"/>
      <c r="K14" s="20"/>
      <c r="L14" s="20"/>
      <c r="M14" s="57"/>
    </row>
    <row r="15" spans="1:13" ht="28.15" customHeight="1">
      <c r="A15" s="24" t="s">
        <v>20</v>
      </c>
      <c r="B15" s="25"/>
      <c r="C15" s="25"/>
      <c r="D15" s="17"/>
      <c r="E15" s="17"/>
      <c r="F15" s="17"/>
      <c r="G15" s="17"/>
      <c r="H15" s="26"/>
      <c r="I15" s="20"/>
      <c r="J15" s="20"/>
      <c r="K15" s="20"/>
      <c r="L15" s="20"/>
      <c r="M15" s="57"/>
    </row>
    <row r="16" spans="1:13" ht="18" customHeight="1">
      <c r="A16" s="27" t="s">
        <v>69</v>
      </c>
      <c r="B16" s="28"/>
      <c r="C16" s="28"/>
      <c r="D16" s="4"/>
      <c r="E16" s="28" t="s">
        <v>70</v>
      </c>
      <c r="F16" s="28"/>
      <c r="G16" s="29"/>
      <c r="H16" s="30"/>
      <c r="I16" s="64"/>
      <c r="J16" s="64"/>
      <c r="K16" s="65"/>
      <c r="L16" s="20"/>
      <c r="M16" s="57"/>
    </row>
    <row r="17" spans="1:13" ht="18" customHeight="1">
      <c r="A17" s="31"/>
      <c r="B17" s="16"/>
      <c r="C17" s="16"/>
      <c r="D17" s="32"/>
      <c r="E17" s="33"/>
      <c r="F17" s="16"/>
      <c r="G17" s="16"/>
      <c r="H17" s="34"/>
      <c r="I17" s="64"/>
      <c r="J17" s="64"/>
      <c r="K17" s="65"/>
      <c r="L17" s="20"/>
      <c r="M17" s="57"/>
    </row>
    <row r="18" spans="1:13" ht="18" customHeight="1">
      <c r="A18" s="27" t="s">
        <v>24</v>
      </c>
      <c r="B18" s="19"/>
      <c r="C18" s="19"/>
      <c r="D18" s="35"/>
      <c r="E18" s="28" t="s">
        <v>25</v>
      </c>
      <c r="F18" s="19"/>
      <c r="G18" s="36"/>
      <c r="H18" s="37"/>
      <c r="I18" s="20"/>
      <c r="J18" s="20"/>
      <c r="K18" s="20"/>
      <c r="L18" s="20"/>
      <c r="M18" s="57"/>
    </row>
    <row r="19" spans="1:13" ht="18" customHeight="1">
      <c r="A19" s="31"/>
      <c r="B19" s="16"/>
      <c r="C19" s="16"/>
      <c r="D19" s="32"/>
      <c r="E19" s="38"/>
      <c r="F19" s="39"/>
      <c r="G19" s="39"/>
      <c r="H19" s="34"/>
      <c r="I19" s="17"/>
      <c r="J19" s="17"/>
      <c r="K19" s="17"/>
      <c r="L19" s="17"/>
      <c r="M19" s="57"/>
    </row>
    <row r="20" spans="1:13" ht="15" customHeight="1">
      <c r="A20" s="40" t="s">
        <v>71</v>
      </c>
      <c r="B20" s="41" t="s">
        <v>30</v>
      </c>
      <c r="C20" s="42"/>
      <c r="D20" s="41" t="s">
        <v>29</v>
      </c>
      <c r="E20" s="42"/>
      <c r="F20" s="41" t="s">
        <v>31</v>
      </c>
      <c r="G20" s="41"/>
      <c r="H20" s="41"/>
      <c r="I20" s="154" t="s">
        <v>32</v>
      </c>
      <c r="J20" s="154" t="s">
        <v>33</v>
      </c>
      <c r="K20" s="66" t="s">
        <v>72</v>
      </c>
      <c r="L20" s="66" t="s">
        <v>73</v>
      </c>
      <c r="M20" s="154" t="s">
        <v>74</v>
      </c>
    </row>
    <row r="21" spans="1:13">
      <c r="A21" s="40"/>
      <c r="B21" s="41"/>
      <c r="C21" s="42"/>
      <c r="D21" s="41"/>
      <c r="E21" s="42"/>
      <c r="F21" s="41"/>
      <c r="G21" s="41"/>
      <c r="H21" s="41"/>
      <c r="I21" s="155"/>
      <c r="J21" s="155"/>
      <c r="K21" s="66" t="s">
        <v>75</v>
      </c>
      <c r="L21" s="66" t="s">
        <v>75</v>
      </c>
      <c r="M21" s="155"/>
    </row>
    <row r="22" spans="1:13" ht="14.45" customHeight="1">
      <c r="A22" s="43">
        <v>1</v>
      </c>
      <c r="B22" s="156">
        <v>2250801082</v>
      </c>
      <c r="C22" s="157"/>
      <c r="D22" s="43" t="s">
        <v>55</v>
      </c>
      <c r="E22" s="156" t="s">
        <v>57</v>
      </c>
      <c r="F22" s="158"/>
      <c r="G22" s="158"/>
      <c r="H22" s="157"/>
      <c r="I22" s="43">
        <v>1540</v>
      </c>
      <c r="J22" s="43" t="s">
        <v>46</v>
      </c>
      <c r="K22" s="43">
        <v>8.42</v>
      </c>
      <c r="L22" s="43">
        <v>10.5</v>
      </c>
      <c r="M22" s="43" t="s">
        <v>76</v>
      </c>
    </row>
    <row r="23" spans="1:13" ht="14.45" customHeight="1">
      <c r="A23" s="43">
        <v>2</v>
      </c>
      <c r="B23" s="156">
        <v>2250801082</v>
      </c>
      <c r="C23" s="157"/>
      <c r="D23" s="43" t="s">
        <v>55</v>
      </c>
      <c r="E23" s="156" t="s">
        <v>57</v>
      </c>
      <c r="F23" s="158"/>
      <c r="G23" s="158"/>
      <c r="H23" s="157"/>
      <c r="I23" s="43">
        <v>1540</v>
      </c>
      <c r="J23" s="43" t="s">
        <v>46</v>
      </c>
      <c r="K23" s="43">
        <v>8.42</v>
      </c>
      <c r="L23" s="43">
        <v>10.5</v>
      </c>
      <c r="M23" s="43" t="s">
        <v>76</v>
      </c>
    </row>
    <row r="24" spans="1:13" ht="14.45" customHeight="1">
      <c r="A24" s="43">
        <v>3</v>
      </c>
      <c r="B24" s="156">
        <v>2250602195</v>
      </c>
      <c r="C24" s="157"/>
      <c r="D24" s="43" t="s">
        <v>43</v>
      </c>
      <c r="E24" s="156" t="s">
        <v>45</v>
      </c>
      <c r="F24" s="158"/>
      <c r="G24" s="158"/>
      <c r="H24" s="157"/>
      <c r="I24" s="43">
        <v>250</v>
      </c>
      <c r="J24" s="43" t="s">
        <v>46</v>
      </c>
      <c r="K24" s="43">
        <v>7.6</v>
      </c>
      <c r="L24" s="43">
        <v>10.1</v>
      </c>
      <c r="M24" s="43" t="s">
        <v>77</v>
      </c>
    </row>
    <row r="25" spans="1:13" ht="14.45" customHeight="1">
      <c r="A25" s="43">
        <v>4</v>
      </c>
      <c r="B25" s="156">
        <v>2250602195</v>
      </c>
      <c r="C25" s="157"/>
      <c r="D25" s="43" t="s">
        <v>43</v>
      </c>
      <c r="E25" s="156" t="s">
        <v>45</v>
      </c>
      <c r="F25" s="158"/>
      <c r="G25" s="158"/>
      <c r="H25" s="157"/>
      <c r="I25" s="43">
        <v>250</v>
      </c>
      <c r="J25" s="43" t="s">
        <v>46</v>
      </c>
      <c r="K25" s="43">
        <v>7.6</v>
      </c>
      <c r="L25" s="43">
        <v>10.1</v>
      </c>
      <c r="M25" s="43" t="s">
        <v>77</v>
      </c>
    </row>
    <row r="26" spans="1:13" ht="14.45" customHeight="1">
      <c r="A26" s="43">
        <v>5</v>
      </c>
      <c r="B26" s="156">
        <v>2250602195</v>
      </c>
      <c r="C26" s="157"/>
      <c r="D26" s="43" t="s">
        <v>43</v>
      </c>
      <c r="E26" s="156" t="s">
        <v>45</v>
      </c>
      <c r="F26" s="158"/>
      <c r="G26" s="158"/>
      <c r="H26" s="157"/>
      <c r="I26" s="43">
        <v>250</v>
      </c>
      <c r="J26" s="43" t="s">
        <v>46</v>
      </c>
      <c r="K26" s="43">
        <v>7.6</v>
      </c>
      <c r="L26" s="43">
        <v>10.1</v>
      </c>
      <c r="M26" s="43" t="s">
        <v>77</v>
      </c>
    </row>
    <row r="27" spans="1:13" ht="14.45" customHeight="1">
      <c r="A27" s="43">
        <v>6</v>
      </c>
      <c r="B27" s="156">
        <v>2250602195</v>
      </c>
      <c r="C27" s="157"/>
      <c r="D27" s="43" t="s">
        <v>43</v>
      </c>
      <c r="E27" s="156" t="s">
        <v>45</v>
      </c>
      <c r="F27" s="158"/>
      <c r="G27" s="158"/>
      <c r="H27" s="157"/>
      <c r="I27" s="43">
        <v>250</v>
      </c>
      <c r="J27" s="43" t="s">
        <v>46</v>
      </c>
      <c r="K27" s="43">
        <v>7.6</v>
      </c>
      <c r="L27" s="43">
        <v>10.1</v>
      </c>
      <c r="M27" s="43" t="s">
        <v>77</v>
      </c>
    </row>
    <row r="28" spans="1:13" ht="14.45" customHeight="1">
      <c r="A28" s="43">
        <v>7</v>
      </c>
      <c r="B28" s="156">
        <v>2250602195</v>
      </c>
      <c r="C28" s="157"/>
      <c r="D28" s="43" t="s">
        <v>43</v>
      </c>
      <c r="E28" s="156" t="s">
        <v>45</v>
      </c>
      <c r="F28" s="158"/>
      <c r="G28" s="158"/>
      <c r="H28" s="157"/>
      <c r="I28" s="43">
        <v>250</v>
      </c>
      <c r="J28" s="43" t="s">
        <v>46</v>
      </c>
      <c r="K28" s="43">
        <v>7.6</v>
      </c>
      <c r="L28" s="43">
        <v>10.1</v>
      </c>
      <c r="M28" s="43" t="s">
        <v>77</v>
      </c>
    </row>
    <row r="29" spans="1:13" ht="14.45" customHeight="1">
      <c r="A29" s="43">
        <v>8</v>
      </c>
      <c r="B29" s="156">
        <v>2250602195</v>
      </c>
      <c r="C29" s="157"/>
      <c r="D29" s="43" t="s">
        <v>43</v>
      </c>
      <c r="E29" s="156" t="s">
        <v>45</v>
      </c>
      <c r="F29" s="158"/>
      <c r="G29" s="158"/>
      <c r="H29" s="157"/>
      <c r="I29" s="43">
        <v>250</v>
      </c>
      <c r="J29" s="43" t="s">
        <v>46</v>
      </c>
      <c r="K29" s="43">
        <v>7.6</v>
      </c>
      <c r="L29" s="43">
        <v>10.1</v>
      </c>
      <c r="M29" s="43" t="s">
        <v>77</v>
      </c>
    </row>
    <row r="30" spans="1:13" ht="14.45" customHeight="1">
      <c r="A30" s="43">
        <v>9</v>
      </c>
      <c r="B30" s="156">
        <v>2250602195</v>
      </c>
      <c r="C30" s="157"/>
      <c r="D30" s="43" t="s">
        <v>43</v>
      </c>
      <c r="E30" s="156" t="s">
        <v>45</v>
      </c>
      <c r="F30" s="158"/>
      <c r="G30" s="158"/>
      <c r="H30" s="157"/>
      <c r="I30" s="43">
        <v>250</v>
      </c>
      <c r="J30" s="43" t="s">
        <v>46</v>
      </c>
      <c r="K30" s="43">
        <v>7.6</v>
      </c>
      <c r="L30" s="43">
        <v>10.1</v>
      </c>
      <c r="M30" s="43" t="s">
        <v>77</v>
      </c>
    </row>
    <row r="31" spans="1:13" ht="14.45" customHeight="1">
      <c r="A31" s="43">
        <v>10</v>
      </c>
      <c r="B31" s="156">
        <v>2250602195</v>
      </c>
      <c r="C31" s="157"/>
      <c r="D31" s="43" t="s">
        <v>43</v>
      </c>
      <c r="E31" s="156" t="s">
        <v>45</v>
      </c>
      <c r="F31" s="158"/>
      <c r="G31" s="158"/>
      <c r="H31" s="157"/>
      <c r="I31" s="43">
        <v>250</v>
      </c>
      <c r="J31" s="43" t="s">
        <v>46</v>
      </c>
      <c r="K31" s="43">
        <v>7.6</v>
      </c>
      <c r="L31" s="43">
        <v>10.1</v>
      </c>
      <c r="M31" s="43" t="s">
        <v>77</v>
      </c>
    </row>
    <row r="32" spans="1:13" ht="14.45" customHeight="1">
      <c r="A32" s="43">
        <v>11</v>
      </c>
      <c r="B32" s="156">
        <v>2250602195</v>
      </c>
      <c r="C32" s="157"/>
      <c r="D32" s="43" t="s">
        <v>43</v>
      </c>
      <c r="E32" s="156" t="s">
        <v>45</v>
      </c>
      <c r="F32" s="158"/>
      <c r="G32" s="158"/>
      <c r="H32" s="157"/>
      <c r="I32" s="43">
        <v>250</v>
      </c>
      <c r="J32" s="43" t="s">
        <v>46</v>
      </c>
      <c r="K32" s="43">
        <v>7.6</v>
      </c>
      <c r="L32" s="43">
        <v>10.1</v>
      </c>
      <c r="M32" s="43" t="s">
        <v>77</v>
      </c>
    </row>
    <row r="33" spans="1:13" ht="14.45" customHeight="1">
      <c r="A33" s="43">
        <v>12</v>
      </c>
      <c r="B33" s="156">
        <v>2250602195</v>
      </c>
      <c r="C33" s="157"/>
      <c r="D33" s="43" t="s">
        <v>43</v>
      </c>
      <c r="E33" s="156" t="s">
        <v>45</v>
      </c>
      <c r="F33" s="158"/>
      <c r="G33" s="158"/>
      <c r="H33" s="157"/>
      <c r="I33" s="43">
        <v>250</v>
      </c>
      <c r="J33" s="43" t="s">
        <v>46</v>
      </c>
      <c r="K33" s="43">
        <v>7.6</v>
      </c>
      <c r="L33" s="43">
        <v>10.1</v>
      </c>
      <c r="M33" s="43" t="s">
        <v>77</v>
      </c>
    </row>
    <row r="34" spans="1:13" ht="14.45" customHeight="1">
      <c r="A34" s="43">
        <v>13</v>
      </c>
      <c r="B34" s="156">
        <v>2250602195</v>
      </c>
      <c r="C34" s="157"/>
      <c r="D34" s="43" t="s">
        <v>43</v>
      </c>
      <c r="E34" s="156" t="s">
        <v>45</v>
      </c>
      <c r="F34" s="158"/>
      <c r="G34" s="158"/>
      <c r="H34" s="157"/>
      <c r="I34" s="43">
        <v>250</v>
      </c>
      <c r="J34" s="43" t="s">
        <v>46</v>
      </c>
      <c r="K34" s="43">
        <v>7.6</v>
      </c>
      <c r="L34" s="43">
        <v>10.1</v>
      </c>
      <c r="M34" s="43" t="s">
        <v>77</v>
      </c>
    </row>
    <row r="35" spans="1:13" ht="14.45" customHeight="1">
      <c r="A35" s="43">
        <v>14</v>
      </c>
      <c r="B35" s="156">
        <v>2250602195</v>
      </c>
      <c r="C35" s="157"/>
      <c r="D35" s="43" t="s">
        <v>43</v>
      </c>
      <c r="E35" s="156" t="s">
        <v>45</v>
      </c>
      <c r="F35" s="158"/>
      <c r="G35" s="158"/>
      <c r="H35" s="157"/>
      <c r="I35" s="43">
        <v>250</v>
      </c>
      <c r="J35" s="43" t="s">
        <v>46</v>
      </c>
      <c r="K35" s="43">
        <v>7.6</v>
      </c>
      <c r="L35" s="43">
        <v>10.1</v>
      </c>
      <c r="M35" s="43" t="s">
        <v>77</v>
      </c>
    </row>
    <row r="36" spans="1:13" ht="14.45" customHeight="1">
      <c r="A36" s="43">
        <v>15</v>
      </c>
      <c r="B36" s="156">
        <v>2250602195</v>
      </c>
      <c r="C36" s="157"/>
      <c r="D36" s="43" t="s">
        <v>43</v>
      </c>
      <c r="E36" s="156" t="s">
        <v>45</v>
      </c>
      <c r="F36" s="158"/>
      <c r="G36" s="158"/>
      <c r="H36" s="157"/>
      <c r="I36" s="43">
        <v>250</v>
      </c>
      <c r="J36" s="43" t="s">
        <v>46</v>
      </c>
      <c r="K36" s="43">
        <v>7.6</v>
      </c>
      <c r="L36" s="43">
        <v>10.1</v>
      </c>
      <c r="M36" s="43" t="s">
        <v>77</v>
      </c>
    </row>
    <row r="37" spans="1:13" ht="14.45" customHeight="1">
      <c r="A37" s="43">
        <v>16</v>
      </c>
      <c r="B37" s="156">
        <v>2250602195</v>
      </c>
      <c r="C37" s="157"/>
      <c r="D37" s="43" t="s">
        <v>43</v>
      </c>
      <c r="E37" s="156" t="s">
        <v>45</v>
      </c>
      <c r="F37" s="158"/>
      <c r="G37" s="158"/>
      <c r="H37" s="157"/>
      <c r="I37" s="43">
        <v>250</v>
      </c>
      <c r="J37" s="43" t="s">
        <v>46</v>
      </c>
      <c r="K37" s="43">
        <v>7.6</v>
      </c>
      <c r="L37" s="43">
        <v>10.1</v>
      </c>
      <c r="M37" s="43" t="s">
        <v>77</v>
      </c>
    </row>
    <row r="38" spans="1:13" ht="14.45" customHeight="1">
      <c r="A38" s="43">
        <v>17</v>
      </c>
      <c r="B38" s="156">
        <v>2250602195</v>
      </c>
      <c r="C38" s="157"/>
      <c r="D38" s="43" t="s">
        <v>43</v>
      </c>
      <c r="E38" s="156" t="s">
        <v>45</v>
      </c>
      <c r="F38" s="158"/>
      <c r="G38" s="158"/>
      <c r="H38" s="157"/>
      <c r="I38" s="43">
        <v>250</v>
      </c>
      <c r="J38" s="43" t="s">
        <v>46</v>
      </c>
      <c r="K38" s="43">
        <v>7.6</v>
      </c>
      <c r="L38" s="43">
        <v>10.1</v>
      </c>
      <c r="M38" s="43" t="s">
        <v>77</v>
      </c>
    </row>
    <row r="39" spans="1:13" ht="14.45" customHeight="1">
      <c r="A39" s="152">
        <v>18</v>
      </c>
      <c r="B39" s="156">
        <v>2250602195</v>
      </c>
      <c r="C39" s="157"/>
      <c r="D39" s="43" t="s">
        <v>43</v>
      </c>
      <c r="E39" s="156" t="s">
        <v>45</v>
      </c>
      <c r="F39" s="158"/>
      <c r="G39" s="158"/>
      <c r="H39" s="157"/>
      <c r="I39" s="43">
        <v>150</v>
      </c>
      <c r="J39" s="43" t="s">
        <v>46</v>
      </c>
      <c r="K39" s="152">
        <v>7.6</v>
      </c>
      <c r="L39" s="152">
        <v>10.1</v>
      </c>
      <c r="M39" s="152" t="s">
        <v>77</v>
      </c>
    </row>
    <row r="40" spans="1:13" ht="14.45" customHeight="1">
      <c r="A40" s="153"/>
      <c r="B40" s="159">
        <v>225080364401</v>
      </c>
      <c r="C40" s="160"/>
      <c r="D40" s="43" t="s">
        <v>43</v>
      </c>
      <c r="E40" s="156" t="s">
        <v>45</v>
      </c>
      <c r="F40" s="158"/>
      <c r="G40" s="158"/>
      <c r="H40" s="157"/>
      <c r="I40" s="43">
        <v>100</v>
      </c>
      <c r="J40" s="43" t="s">
        <v>46</v>
      </c>
      <c r="K40" s="153"/>
      <c r="L40" s="153"/>
      <c r="M40" s="153"/>
    </row>
    <row r="41" spans="1:13" ht="14.45" customHeight="1">
      <c r="A41" s="43">
        <v>19</v>
      </c>
      <c r="B41" s="156">
        <v>2251000326</v>
      </c>
      <c r="C41" s="157"/>
      <c r="D41" s="43" t="s">
        <v>43</v>
      </c>
      <c r="E41" s="156" t="s">
        <v>45</v>
      </c>
      <c r="F41" s="158"/>
      <c r="G41" s="158"/>
      <c r="H41" s="157"/>
      <c r="I41" s="43">
        <v>250</v>
      </c>
      <c r="J41" s="43" t="s">
        <v>46</v>
      </c>
      <c r="K41" s="43">
        <v>7.6</v>
      </c>
      <c r="L41" s="43">
        <v>10.1</v>
      </c>
      <c r="M41" s="43" t="s">
        <v>77</v>
      </c>
    </row>
    <row r="42" spans="1:13" ht="14.45" customHeight="1">
      <c r="A42" s="43">
        <v>20</v>
      </c>
      <c r="B42" s="156">
        <v>2251000326</v>
      </c>
      <c r="C42" s="157"/>
      <c r="D42" s="43" t="s">
        <v>43</v>
      </c>
      <c r="E42" s="156" t="s">
        <v>45</v>
      </c>
      <c r="F42" s="158"/>
      <c r="G42" s="158"/>
      <c r="H42" s="157"/>
      <c r="I42" s="43">
        <v>250</v>
      </c>
      <c r="J42" s="43" t="s">
        <v>46</v>
      </c>
      <c r="K42" s="43">
        <v>7.6</v>
      </c>
      <c r="L42" s="43">
        <v>10.1</v>
      </c>
      <c r="M42" s="43" t="s">
        <v>77</v>
      </c>
    </row>
    <row r="43" spans="1:13" ht="14.45" customHeight="1">
      <c r="A43" s="43">
        <v>21</v>
      </c>
      <c r="B43" s="156">
        <v>2251000326</v>
      </c>
      <c r="C43" s="157"/>
      <c r="D43" s="43" t="s">
        <v>43</v>
      </c>
      <c r="E43" s="156" t="s">
        <v>45</v>
      </c>
      <c r="F43" s="158"/>
      <c r="G43" s="158"/>
      <c r="H43" s="157"/>
      <c r="I43" s="43">
        <v>250</v>
      </c>
      <c r="J43" s="43" t="s">
        <v>46</v>
      </c>
      <c r="K43" s="43">
        <v>7.6</v>
      </c>
      <c r="L43" s="43">
        <v>10.1</v>
      </c>
      <c r="M43" s="43" t="s">
        <v>77</v>
      </c>
    </row>
    <row r="44" spans="1:13" ht="14.45" customHeight="1">
      <c r="A44" s="43">
        <v>22</v>
      </c>
      <c r="B44" s="156">
        <v>2251000326</v>
      </c>
      <c r="C44" s="157"/>
      <c r="D44" s="43" t="s">
        <v>43</v>
      </c>
      <c r="E44" s="156" t="s">
        <v>45</v>
      </c>
      <c r="F44" s="158"/>
      <c r="G44" s="158"/>
      <c r="H44" s="157"/>
      <c r="I44" s="43">
        <v>250</v>
      </c>
      <c r="J44" s="43" t="s">
        <v>46</v>
      </c>
      <c r="K44" s="43">
        <v>7.6</v>
      </c>
      <c r="L44" s="43">
        <v>10.1</v>
      </c>
      <c r="M44" s="43" t="s">
        <v>77</v>
      </c>
    </row>
    <row r="45" spans="1:13" ht="14.45" customHeight="1">
      <c r="A45" s="43">
        <v>23</v>
      </c>
      <c r="B45" s="156">
        <v>2251000326</v>
      </c>
      <c r="C45" s="157"/>
      <c r="D45" s="43" t="s">
        <v>43</v>
      </c>
      <c r="E45" s="156" t="s">
        <v>45</v>
      </c>
      <c r="F45" s="158"/>
      <c r="G45" s="158"/>
      <c r="H45" s="157"/>
      <c r="I45" s="43">
        <v>250</v>
      </c>
      <c r="J45" s="43" t="s">
        <v>46</v>
      </c>
      <c r="K45" s="43">
        <v>7.6</v>
      </c>
      <c r="L45" s="43">
        <v>10.1</v>
      </c>
      <c r="M45" s="43" t="s">
        <v>77</v>
      </c>
    </row>
    <row r="46" spans="1:13" ht="14.45" customHeight="1">
      <c r="A46" s="43">
        <v>24</v>
      </c>
      <c r="B46" s="156">
        <v>2251000326</v>
      </c>
      <c r="C46" s="157"/>
      <c r="D46" s="43" t="s">
        <v>43</v>
      </c>
      <c r="E46" s="156" t="s">
        <v>45</v>
      </c>
      <c r="F46" s="158"/>
      <c r="G46" s="158"/>
      <c r="H46" s="157"/>
      <c r="I46" s="43">
        <v>250</v>
      </c>
      <c r="J46" s="43" t="s">
        <v>46</v>
      </c>
      <c r="K46" s="43">
        <v>7.6</v>
      </c>
      <c r="L46" s="43">
        <v>10.1</v>
      </c>
      <c r="M46" s="43" t="s">
        <v>77</v>
      </c>
    </row>
    <row r="47" spans="1:13" ht="14.45" customHeight="1">
      <c r="A47" s="43">
        <v>25</v>
      </c>
      <c r="B47" s="156">
        <v>2251000326</v>
      </c>
      <c r="C47" s="157"/>
      <c r="D47" s="43" t="s">
        <v>43</v>
      </c>
      <c r="E47" s="156" t="s">
        <v>45</v>
      </c>
      <c r="F47" s="158"/>
      <c r="G47" s="158"/>
      <c r="H47" s="157"/>
      <c r="I47" s="43">
        <v>250</v>
      </c>
      <c r="J47" s="43" t="s">
        <v>46</v>
      </c>
      <c r="K47" s="43">
        <v>7.6</v>
      </c>
      <c r="L47" s="43">
        <v>10.1</v>
      </c>
      <c r="M47" s="43" t="s">
        <v>77</v>
      </c>
    </row>
    <row r="48" spans="1:13" ht="14.45" customHeight="1">
      <c r="A48" s="43">
        <v>26</v>
      </c>
      <c r="B48" s="156">
        <v>2251000326</v>
      </c>
      <c r="C48" s="157"/>
      <c r="D48" s="43" t="s">
        <v>43</v>
      </c>
      <c r="E48" s="156" t="s">
        <v>45</v>
      </c>
      <c r="F48" s="158"/>
      <c r="G48" s="158"/>
      <c r="H48" s="157"/>
      <c r="I48" s="43">
        <v>250</v>
      </c>
      <c r="J48" s="43" t="s">
        <v>46</v>
      </c>
      <c r="K48" s="43">
        <v>7.6</v>
      </c>
      <c r="L48" s="43">
        <v>10.1</v>
      </c>
      <c r="M48" s="43" t="s">
        <v>77</v>
      </c>
    </row>
    <row r="49" spans="1:13" ht="14.25">
      <c r="A49" s="44"/>
      <c r="B49" s="45"/>
      <c r="C49" s="45"/>
      <c r="D49" s="46"/>
      <c r="E49" s="46"/>
      <c r="F49" s="46"/>
      <c r="G49" s="46"/>
      <c r="H49" s="46"/>
      <c r="I49" s="67"/>
      <c r="J49" s="46"/>
      <c r="K49" s="68"/>
      <c r="L49" s="69"/>
      <c r="M49" s="70"/>
    </row>
    <row r="50" spans="1:13">
      <c r="A50" s="47">
        <f>COUNTA(A22:A49)</f>
        <v>26</v>
      </c>
      <c r="B50" s="20"/>
      <c r="C50" s="20"/>
      <c r="D50" s="19"/>
      <c r="E50" s="19"/>
      <c r="F50" s="48"/>
      <c r="G50" s="48"/>
      <c r="H50" s="49" t="s">
        <v>78</v>
      </c>
      <c r="I50" s="71">
        <f>SUM(I22:I48)</f>
        <v>9080</v>
      </c>
      <c r="J50" s="66"/>
      <c r="K50" s="72">
        <f>SUM(K22:K48)</f>
        <v>199.23999999999992</v>
      </c>
      <c r="L50" s="72">
        <f>SUM(L22:L48)</f>
        <v>263.39999999999992</v>
      </c>
      <c r="M50" s="73"/>
    </row>
    <row r="51" spans="1:13">
      <c r="A51" s="50"/>
      <c r="H51" s="51"/>
      <c r="I51" s="12"/>
      <c r="K51" s="51" t="s">
        <v>79</v>
      </c>
      <c r="L51" s="74">
        <f>A50</f>
        <v>26</v>
      </c>
      <c r="M51" s="37"/>
    </row>
    <row r="52" spans="1:13">
      <c r="A52" s="50"/>
      <c r="H52" s="51"/>
      <c r="I52" s="75"/>
      <c r="K52" s="51" t="s">
        <v>80</v>
      </c>
      <c r="L52" s="75" t="s">
        <v>81</v>
      </c>
      <c r="M52" s="37"/>
    </row>
    <row r="53" spans="1:13">
      <c r="A53" s="50"/>
      <c r="H53" s="51"/>
      <c r="I53" s="75"/>
      <c r="K53" s="51"/>
      <c r="L53" s="75"/>
      <c r="M53" s="37"/>
    </row>
    <row r="54" spans="1:13">
      <c r="A54" s="52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34"/>
    </row>
  </sheetData>
  <mergeCells count="67">
    <mergeCell ref="A1:M1"/>
    <mergeCell ref="A2:M2"/>
    <mergeCell ref="A4:H4"/>
    <mergeCell ref="A5:H5"/>
    <mergeCell ref="A6:H6"/>
    <mergeCell ref="A7:H7"/>
    <mergeCell ref="B22:C22"/>
    <mergeCell ref="E22:H22"/>
    <mergeCell ref="B23:C23"/>
    <mergeCell ref="E23:H23"/>
    <mergeCell ref="B24:C24"/>
    <mergeCell ref="E24:H24"/>
    <mergeCell ref="B25:C25"/>
    <mergeCell ref="E25:H25"/>
    <mergeCell ref="B26:C26"/>
    <mergeCell ref="E26:H26"/>
    <mergeCell ref="B27:C27"/>
    <mergeCell ref="E27:H27"/>
    <mergeCell ref="B28:C28"/>
    <mergeCell ref="E28:H28"/>
    <mergeCell ref="B29:C29"/>
    <mergeCell ref="E29:H29"/>
    <mergeCell ref="B30:C30"/>
    <mergeCell ref="E30:H30"/>
    <mergeCell ref="B31:C31"/>
    <mergeCell ref="E31:H31"/>
    <mergeCell ref="B32:C32"/>
    <mergeCell ref="E32:H32"/>
    <mergeCell ref="E38:H38"/>
    <mergeCell ref="B33:C33"/>
    <mergeCell ref="E33:H33"/>
    <mergeCell ref="B34:C34"/>
    <mergeCell ref="E34:H34"/>
    <mergeCell ref="B35:C35"/>
    <mergeCell ref="E35:H35"/>
    <mergeCell ref="A39:A40"/>
    <mergeCell ref="I20:I21"/>
    <mergeCell ref="J20:J21"/>
    <mergeCell ref="B45:C45"/>
    <mergeCell ref="E45:H45"/>
    <mergeCell ref="B42:C42"/>
    <mergeCell ref="E42:H42"/>
    <mergeCell ref="B43:C43"/>
    <mergeCell ref="E43:H43"/>
    <mergeCell ref="B44:C44"/>
    <mergeCell ref="E44:H44"/>
    <mergeCell ref="B39:C39"/>
    <mergeCell ref="E39:H39"/>
    <mergeCell ref="B40:C40"/>
    <mergeCell ref="E40:H40"/>
    <mergeCell ref="B41:C41"/>
    <mergeCell ref="K39:K40"/>
    <mergeCell ref="L39:L40"/>
    <mergeCell ref="M20:M21"/>
    <mergeCell ref="M39:M40"/>
    <mergeCell ref="B48:C48"/>
    <mergeCell ref="E48:H48"/>
    <mergeCell ref="B46:C46"/>
    <mergeCell ref="E46:H46"/>
    <mergeCell ref="B47:C47"/>
    <mergeCell ref="E47:H47"/>
    <mergeCell ref="E41:H41"/>
    <mergeCell ref="B36:C36"/>
    <mergeCell ref="E36:H36"/>
    <mergeCell ref="B37:C37"/>
    <mergeCell ref="E37:H37"/>
    <mergeCell ref="B38:C38"/>
  </mergeCells>
  <pageMargins left="0.23622047244094499" right="0.23622047244094499" top="0.23622047244094499" bottom="0.74803149606299202" header="0.31496062992126" footer="0.31496062992126"/>
  <pageSetup paperSize="9" scale="7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D000208</dc:creator>
  <cp:keywords/>
  <dc:description/>
  <cp:lastModifiedBy>Alex Liou</cp:lastModifiedBy>
  <cp:revision/>
  <dcterms:created xsi:type="dcterms:W3CDTF">2025-07-17T08:11:00Z</dcterms:created>
  <dcterms:modified xsi:type="dcterms:W3CDTF">2025-12-12T05:34:57Z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AB6CE5CA9D464D5CA50786145C3F910A</vt:lpwstr>
  </property>
  <property fmtid="{D5CDD505-2E9C-101B-9397-08002B2CF9AE}" pid="3" name="KSOProductBuildVer">
    <vt:lpwstr>2052-11.8.2.12118</vt:lpwstr>
  </property>
</Properties>
</file>