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INVOICE" sheetId="1" r:id="rId1"/>
    <sheet name="PACKING" sheetId="2" r:id="rId2"/>
    <sheet name="CONTRACT" sheetId="3" r:id="rId3"/>
  </sheets>
  <calcPr calcId="144525"/>
</workbook>
</file>

<file path=xl/sharedStrings.xml><?xml version="1.0" encoding="utf-8"?>
<sst xmlns="http://schemas.openxmlformats.org/spreadsheetml/2006/main" count="266" uniqueCount="142">
  <si>
    <t>COMMERCIAL INVOICE</t>
  </si>
  <si>
    <t>Shipper/Exporter</t>
  </si>
  <si>
    <t>No. &amp; Date of Invoice</t>
  </si>
  <si>
    <t>NIEN-YI INDUSTRIAL(HK) LTD  </t>
  </si>
  <si>
    <t>Unit No.8 on 7th Floorof One Midtown, No.11 Hoi Shing Road, Tsuen Wan, New Territories Hong Kong</t>
  </si>
  <si>
    <t>Post code:215400    TEL:0512-88895888</t>
  </si>
  <si>
    <t>Bill To:</t>
  </si>
  <si>
    <t xml:space="preserve"> Payment Term</t>
  </si>
  <si>
    <t>Sernet(Suzhou) Technologies Corporation</t>
  </si>
  <si>
    <t xml:space="preserve"> T/T 120 DAYS</t>
  </si>
  <si>
    <t>NO.8 Tangzhuang  Road,Suzhou Industrial Park,Su Zhou City,Jiangsu Province,China</t>
  </si>
  <si>
    <t xml:space="preserve">Post code:215021    TEL:0512-67613993  </t>
  </si>
  <si>
    <t>Ship To:</t>
  </si>
  <si>
    <t xml:space="preserve"> Trade Term</t>
  </si>
  <si>
    <t>DDU-SZ</t>
  </si>
  <si>
    <t>Port of Loading</t>
  </si>
  <si>
    <t>Port of Discharge</t>
  </si>
  <si>
    <t xml:space="preserve"> Remarks:</t>
  </si>
  <si>
    <t>SUZHOU CHINA</t>
  </si>
  <si>
    <t>Carrier</t>
  </si>
  <si>
    <t>Sailing on/or About</t>
  </si>
  <si>
    <t>Taicang Nien-Yi</t>
  </si>
  <si>
    <t>TRUCK</t>
  </si>
  <si>
    <r>
      <rPr>
        <sz val="10"/>
        <color theme="1"/>
        <rFont val="宋体"/>
        <charset val="134"/>
      </rPr>
      <t>贸易国：</t>
    </r>
  </si>
  <si>
    <r>
      <rPr>
        <sz val="10"/>
        <color theme="1"/>
        <rFont val="宋体"/>
        <charset val="134"/>
      </rPr>
      <t>中国香港</t>
    </r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</si>
  <si>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</si>
  <si>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</si>
  <si>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</si>
  <si>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</si>
  <si>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</si>
  <si>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</si>
  <si>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</si>
  <si>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</si>
  <si>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</si>
  <si>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</si>
  <si>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</si>
  <si>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</si>
  <si>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</si>
  <si>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</si>
  <si>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</si>
  <si>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455015AJNY</t>
  </si>
  <si>
    <t>CABLE LAN NYS4188,1.5M/8P8C#24x4P
CAT.6A WH NYI</t>
  </si>
  <si>
    <t>PCS</t>
  </si>
  <si>
    <t>USD</t>
  </si>
  <si>
    <t>CHINA</t>
  </si>
  <si>
    <t>无品牌</t>
  </si>
  <si>
    <t>无型号</t>
  </si>
  <si>
    <t>4540008NNY</t>
  </si>
  <si>
    <t>WIRESET NYS4094,85mm #30x1C NYI</t>
  </si>
  <si>
    <t>455015E0NY</t>
  </si>
  <si>
    <t>CABLE LAN NYS5981,1.5M 8P8C
#30x4P CAT.5e WH NYI</t>
  </si>
  <si>
    <t>4550159DNYX</t>
  </si>
  <si>
    <t>CABLE LAN NYS4366,3M 8P8C#30x4P
GY NYI</t>
  </si>
  <si>
    <t>4550159ENYX</t>
  </si>
  <si>
    <t>CABLE LAN NYS4368,4.5M 8P8C#30x4P
GY NYI</t>
  </si>
  <si>
    <t>4550066XNYX</t>
  </si>
  <si>
    <t>CABLE RJ11 NYS4369,3M/6P4C#28x4C
GY NYI</t>
  </si>
  <si>
    <t>4550066WNYX</t>
  </si>
  <si>
    <t>CABLE RJ11 NYS4372,3M/6P4C#28*4C
GY NYI</t>
  </si>
  <si>
    <t xml:space="preserve">                  TOTAL</t>
  </si>
  <si>
    <t>报关行</t>
  </si>
  <si>
    <t>江苏众诚报关代理有限公司</t>
  </si>
  <si>
    <t>申报地海关 2358</t>
  </si>
  <si>
    <r>
      <rPr>
        <sz val="12"/>
        <color rgb="FF000000"/>
        <rFont val="微软雅黑"/>
        <charset val="134"/>
      </rPr>
      <t>关联备案号新帐册号</t>
    </r>
    <r>
      <rPr>
        <sz val="12"/>
        <color rgb="FF000000"/>
        <rFont val="Aptos"/>
        <charset val="134"/>
      </rPr>
      <t>T2358W000197</t>
    </r>
  </si>
  <si>
    <t>运输方式  保税港区</t>
  </si>
  <si>
    <t>PACKING LIST</t>
  </si>
  <si>
    <t>No &amp; Date of Invoice</t>
  </si>
  <si>
    <t>Remarks:</t>
  </si>
  <si>
    <t>Post code:215021    TEL:0512-67613993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</si>
  <si>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</si>
  <si>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</si>
  <si>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</si>
  <si>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</si>
  <si>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</si>
  <si>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</si>
  <si>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</si>
  <si>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r>
      <rPr>
        <sz val="10"/>
        <color theme="1"/>
        <rFont val="宋体"/>
        <charset val="134"/>
      </rPr>
      <t>线材总长</t>
    </r>
  </si>
  <si>
    <t>30.5*30.5*30.5CM</t>
  </si>
  <si>
    <t>46*33*26.5CM</t>
  </si>
  <si>
    <t>32*32*20CM</t>
  </si>
  <si>
    <t>TOTAL</t>
  </si>
  <si>
    <t>5.63m³</t>
  </si>
  <si>
    <r>
      <rPr>
        <sz val="10"/>
        <rFont val="宋体"/>
        <charset val="134"/>
      </rPr>
      <t>件数</t>
    </r>
  </si>
  <si>
    <r>
      <rPr>
        <sz val="10"/>
        <rFont val="宋体"/>
        <charset val="134"/>
      </rPr>
      <t>包装种类</t>
    </r>
  </si>
  <si>
    <r>
      <rPr>
        <sz val="10"/>
        <rFont val="宋体"/>
        <charset val="134"/>
      </rPr>
      <t>纸箱</t>
    </r>
  </si>
  <si>
    <t>太仓年益科技电子有限公司</t>
  </si>
  <si>
    <t>TAICANG NIEN-YI TECHNOLOGY ELECTRONICS CO.LTD</t>
  </si>
  <si>
    <t>地址：太仓市经济开发区北京路89号</t>
  </si>
  <si>
    <r>
      <rPr>
        <sz val="12"/>
        <rFont val="Times New Roman"/>
        <charset val="134"/>
      </rPr>
      <t>TEL</t>
    </r>
    <r>
      <rPr>
        <sz val="12"/>
        <rFont val="細明體"/>
        <charset val="136"/>
      </rPr>
      <t>：</t>
    </r>
    <r>
      <rPr>
        <sz val="12"/>
        <rFont val="Times New Roman"/>
        <charset val="134"/>
      </rPr>
      <t xml:space="preserve">  0512-88895888</t>
    </r>
  </si>
  <si>
    <r>
      <rPr>
        <sz val="12"/>
        <rFont val="Times New Roman"/>
        <charset val="134"/>
      </rPr>
      <t>ADD</t>
    </r>
    <r>
      <rPr>
        <sz val="12"/>
        <rFont val="細明體"/>
        <charset val="136"/>
      </rPr>
      <t>：</t>
    </r>
    <r>
      <rPr>
        <sz val="12"/>
        <rFont val="Times New Roman"/>
        <charset val="134"/>
      </rPr>
      <t xml:space="preserve">NO.89 BEIJING ROAD,TAICANG ECONOMIC DEVELOPMENT ZONE,JIANGSU,CHINA 
</t>
    </r>
  </si>
  <si>
    <t xml:space="preserve"> CONTRACT</t>
  </si>
  <si>
    <t xml:space="preserve">                          Contract  no:</t>
  </si>
  <si>
    <t xml:space="preserve">                           Date:</t>
  </si>
  <si>
    <t>買方:中磊电子（苏州）有限公司</t>
  </si>
  <si>
    <r>
      <rPr>
        <sz val="12"/>
        <rFont val="宋体"/>
        <charset val="134"/>
        <scheme val="major"/>
      </rPr>
      <t>地址:苏州工业园区唐庄路</t>
    </r>
    <r>
      <rPr>
        <sz val="12"/>
        <rFont val="宋体"/>
        <charset val="134"/>
      </rPr>
      <t>8</t>
    </r>
    <r>
      <rPr>
        <sz val="12"/>
        <rFont val="宋体"/>
        <charset val="134"/>
      </rPr>
      <t>号</t>
    </r>
  </si>
  <si>
    <t>賣方: 太仓年益科技电子有限公司</t>
  </si>
  <si>
    <t>地址:太仓市经济开发区北京路89号</t>
  </si>
  <si>
    <t>茲經買賣雙方同意按照以下條款由買方購進賣方售出的以下商品。</t>
  </si>
  <si>
    <t>This contract is made by and between the Buyers and Sellers ,whereby the Buyers agree to buy and Sellers</t>
  </si>
  <si>
    <t xml:space="preserve"> agree to sell the  under mentioned  goods  subject to the terms and conditions stipulated hereinafter.</t>
  </si>
  <si>
    <t>貨號</t>
  </si>
  <si>
    <t>品名及規格</t>
  </si>
  <si>
    <t>單位</t>
  </si>
  <si>
    <t>數量</t>
  </si>
  <si>
    <t>單價</t>
  </si>
  <si>
    <t>總價</t>
  </si>
  <si>
    <t>Article Number</t>
  </si>
  <si>
    <t xml:space="preserve">Description of Goods </t>
  </si>
  <si>
    <t>Unit Price(USD)</t>
  </si>
  <si>
    <t>Amount(USD)</t>
  </si>
  <si>
    <t>网络线</t>
  </si>
  <si>
    <t>PC</t>
  </si>
  <si>
    <t xml:space="preserve">连接线 </t>
  </si>
  <si>
    <t>有接头网线</t>
  </si>
  <si>
    <t>带接头电话线</t>
  </si>
  <si>
    <t>HS CODE：8544421100（网络线）</t>
  </si>
  <si>
    <t>HS CODE：8544421900（连接线）</t>
  </si>
  <si>
    <t>HS CODE：8544422100（带接头电话线）</t>
  </si>
  <si>
    <t>HS CODE：8544421100（有接头网线）</t>
  </si>
  <si>
    <t xml:space="preserve">Total: 201 Cartons </t>
  </si>
  <si>
    <t>TOTAL:(USD)</t>
  </si>
  <si>
    <r>
      <rPr>
        <sz val="12"/>
        <rFont val="Times New Roman"/>
        <charset val="134"/>
      </rPr>
      <t>1.</t>
    </r>
    <r>
      <rPr>
        <sz val="12"/>
        <rFont val="細明體"/>
        <charset val="136"/>
      </rPr>
      <t>價格術語</t>
    </r>
  </si>
  <si>
    <r>
      <rPr>
        <sz val="12"/>
        <rFont val="Times New Roman"/>
        <charset val="134"/>
      </rPr>
      <t>6.</t>
    </r>
    <r>
      <rPr>
        <sz val="12"/>
        <rFont val="宋体"/>
        <charset val="134"/>
      </rPr>
      <t>裝運地</t>
    </r>
    <r>
      <rPr>
        <sz val="12"/>
        <rFont val="Times New Roman"/>
        <charset val="134"/>
      </rPr>
      <t>:</t>
    </r>
  </si>
  <si>
    <t>Price terms: DDU SerNet Factory</t>
  </si>
  <si>
    <t>Port of shipment: SuZhou</t>
  </si>
  <si>
    <r>
      <rPr>
        <sz val="12"/>
        <rFont val="Times New Roman"/>
        <charset val="134"/>
      </rPr>
      <t>2.</t>
    </r>
    <r>
      <rPr>
        <sz val="12"/>
        <rFont val="細明體"/>
        <charset val="136"/>
      </rPr>
      <t>原產地</t>
    </r>
    <r>
      <rPr>
        <sz val="12"/>
        <rFont val="Times New Roman"/>
        <charset val="134"/>
      </rPr>
      <t>:</t>
    </r>
  </si>
  <si>
    <r>
      <rPr>
        <sz val="12"/>
        <rFont val="Times New Roman"/>
        <charset val="134"/>
      </rPr>
      <t>7.</t>
    </r>
    <r>
      <rPr>
        <sz val="12"/>
        <rFont val="細明體"/>
        <charset val="136"/>
      </rPr>
      <t>目的港</t>
    </r>
    <r>
      <rPr>
        <sz val="12"/>
        <rFont val="Times New Roman"/>
        <charset val="134"/>
      </rPr>
      <t>:</t>
    </r>
  </si>
  <si>
    <t>Country of origin and manufacturers:suzhou</t>
  </si>
  <si>
    <t>Port of destination:SerNet Factory</t>
  </si>
  <si>
    <r>
      <rPr>
        <sz val="12"/>
        <rFont val="Times New Roman"/>
        <charset val="134"/>
      </rPr>
      <t>3.</t>
    </r>
    <r>
      <rPr>
        <sz val="12"/>
        <rFont val="細明體"/>
        <charset val="136"/>
      </rPr>
      <t>包裝</t>
    </r>
    <r>
      <rPr>
        <sz val="12"/>
        <rFont val="Times New Roman"/>
        <charset val="134"/>
      </rPr>
      <t>:</t>
    </r>
  </si>
  <si>
    <r>
      <rPr>
        <sz val="12"/>
        <rFont val="Times New Roman"/>
        <charset val="134"/>
      </rPr>
      <t>8.</t>
    </r>
    <r>
      <rPr>
        <sz val="12"/>
        <rFont val="細明體"/>
        <charset val="136"/>
      </rPr>
      <t>保險</t>
    </r>
    <r>
      <rPr>
        <sz val="12"/>
        <rFont val="Times New Roman"/>
        <charset val="134"/>
      </rPr>
      <t>:</t>
    </r>
  </si>
  <si>
    <t>Packing: Standard export packing</t>
  </si>
  <si>
    <t xml:space="preserve">Insurance:  </t>
  </si>
  <si>
    <r>
      <rPr>
        <sz val="12"/>
        <rFont val="Times New Roman"/>
        <charset val="134"/>
      </rPr>
      <t>4.</t>
    </r>
    <r>
      <rPr>
        <sz val="12"/>
        <rFont val="細明體"/>
        <charset val="136"/>
      </rPr>
      <t>麥頭</t>
    </r>
    <r>
      <rPr>
        <sz val="12"/>
        <rFont val="Times New Roman"/>
        <charset val="134"/>
      </rPr>
      <t>:</t>
    </r>
  </si>
  <si>
    <t>of invoice value</t>
  </si>
  <si>
    <t xml:space="preserve">Shipping marks: </t>
  </si>
  <si>
    <r>
      <rPr>
        <sz val="12"/>
        <rFont val="Times New Roman"/>
        <charset val="134"/>
      </rPr>
      <t>9.</t>
    </r>
    <r>
      <rPr>
        <sz val="12"/>
        <rFont val="細明體"/>
        <charset val="136"/>
      </rPr>
      <t>付款方式</t>
    </r>
    <r>
      <rPr>
        <sz val="12"/>
        <rFont val="Times New Roman"/>
        <charset val="134"/>
      </rPr>
      <t>:</t>
    </r>
  </si>
  <si>
    <r>
      <rPr>
        <sz val="12"/>
        <rFont val="Times New Roman"/>
        <charset val="134"/>
      </rPr>
      <t>5.</t>
    </r>
    <r>
      <rPr>
        <sz val="12"/>
        <rFont val="新細明體"/>
        <charset val="136"/>
      </rPr>
      <t>貿易國：</t>
    </r>
  </si>
  <si>
    <t>Payment: T/T  120 days</t>
  </si>
  <si>
    <t>Name of trading country:CHINA</t>
  </si>
  <si>
    <r>
      <rPr>
        <sz val="12"/>
        <rFont val="宋体"/>
        <charset val="134"/>
      </rPr>
      <t>中磊电子（苏州）有限公司</t>
    </r>
  </si>
  <si>
    <r>
      <rPr>
        <sz val="12"/>
        <rFont val="宋体"/>
        <charset val="134"/>
      </rPr>
      <t>太仓年益科技电子有限公司</t>
    </r>
  </si>
</sst>
</file>

<file path=xl/styles.xml><?xml version="1.0" encoding="utf-8"?>
<styleSheet xmlns="http://schemas.openxmlformats.org/spreadsheetml/2006/main">
  <numFmts count="1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#,##0.00_ "/>
    <numFmt numFmtId="178" formatCode="_ * #,##0.00_ ;_ * \-#,##0.00_ ;_ * &quot;-&quot;??_ ;_ @_ "/>
    <numFmt numFmtId="179" formatCode="0.0000_);[Red]\(0.0000\)"/>
    <numFmt numFmtId="180" formatCode="_-* #,##0_-;\-* #,##0_-;_-* &quot;-&quot;??_-;_-@_-"/>
    <numFmt numFmtId="181" formatCode="0.000_);[Red]\(0.000\)"/>
    <numFmt numFmtId="182" formatCode="0.00_);[Red]\(0.00\)"/>
    <numFmt numFmtId="183" formatCode="0_);[Red]\(0\)"/>
    <numFmt numFmtId="184" formatCode="0.00_ "/>
    <numFmt numFmtId="185" formatCode="yyyy/m/d;@"/>
    <numFmt numFmtId="186" formatCode="0_ "/>
    <numFmt numFmtId="187" formatCode="0.000_ "/>
  </numFmts>
  <fonts count="60">
    <font>
      <sz val="11"/>
      <color theme="1"/>
      <name val="宋体"/>
      <charset val="134"/>
      <scheme val="minor"/>
    </font>
    <font>
      <sz val="8"/>
      <name val="新細明體"/>
      <charset val="136"/>
    </font>
    <font>
      <sz val="12"/>
      <name val="新細明體"/>
      <charset val="136"/>
    </font>
    <font>
      <sz val="20"/>
      <name val="宋体"/>
      <charset val="134"/>
    </font>
    <font>
      <sz val="20"/>
      <name val="宋体"/>
      <charset val="134"/>
      <scheme val="major"/>
    </font>
    <font>
      <sz val="20"/>
      <name val="標楷體"/>
      <charset val="134"/>
    </font>
    <font>
      <sz val="14"/>
      <name val="Times New Roman"/>
      <charset val="134"/>
    </font>
    <font>
      <sz val="12"/>
      <name val="宋体"/>
      <charset val="134"/>
      <scheme val="major"/>
    </font>
    <font>
      <sz val="12"/>
      <name val="細明體"/>
      <charset val="136"/>
    </font>
    <font>
      <sz val="12"/>
      <name val="Times New Roman"/>
      <charset val="134"/>
    </font>
    <font>
      <sz val="18"/>
      <name val="Times New Roman"/>
      <charset val="134"/>
    </font>
    <font>
      <sz val="12"/>
      <name val="細明體"/>
      <charset val="134"/>
    </font>
    <font>
      <sz val="12"/>
      <name val="宋体"/>
      <charset val="134"/>
    </font>
    <font>
      <sz val="12"/>
      <color theme="1"/>
      <name val="宋体"/>
      <charset val="134"/>
      <scheme val="maj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indexed="63"/>
      <name val="新細明體"/>
      <charset val="136"/>
    </font>
    <font>
      <sz val="11"/>
      <name val="Times New Roman"/>
      <charset val="134"/>
    </font>
    <font>
      <sz val="12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name val="標楷體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10"/>
      <name val="新細明體"/>
      <charset val="134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b/>
      <sz val="10"/>
      <color theme="1"/>
      <name val="Arial"/>
      <charset val="134"/>
    </font>
    <font>
      <sz val="12"/>
      <color rgb="FF000000"/>
      <name val="Aptos"/>
      <charset val="134"/>
    </font>
    <font>
      <sz val="12"/>
      <color rgb="FF000000"/>
      <name val="微软雅黑"/>
      <charset val="134"/>
    </font>
    <font>
      <sz val="10"/>
      <color indexed="12"/>
      <name val="新細明體"/>
      <charset val="134"/>
    </font>
    <font>
      <b/>
      <sz val="10"/>
      <name val="新細明體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Helv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宋体"/>
      <charset val="134"/>
    </font>
    <font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0" fontId="38" fillId="0" borderId="0"/>
    <xf numFmtId="42" fontId="0" fillId="0" borderId="0" applyFon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5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/>
    <xf numFmtId="176" fontId="0" fillId="0" borderId="0" applyFont="0" applyFill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51" fillId="13" borderId="19" applyNumberFormat="0" applyAlignment="0" applyProtection="0">
      <alignment vertical="center"/>
    </xf>
    <xf numFmtId="0" fontId="52" fillId="13" borderId="15" applyNumberFormat="0" applyAlignment="0" applyProtection="0">
      <alignment vertical="center"/>
    </xf>
    <xf numFmtId="0" fontId="53" fillId="14" borderId="20" applyNumberFormat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0" borderId="22" applyNumberFormat="0" applyFill="0" applyAlignment="0" applyProtection="0">
      <alignment vertical="center"/>
    </xf>
    <xf numFmtId="0" fontId="12" fillId="0" borderId="0"/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2" fillId="0" borderId="0"/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2" fillId="0" borderId="0"/>
    <xf numFmtId="0" fontId="12" fillId="0" borderId="0"/>
    <xf numFmtId="0" fontId="12" fillId="0" borderId="0"/>
  </cellStyleXfs>
  <cellXfs count="252">
    <xf numFmtId="0" fontId="0" fillId="0" borderId="0" xfId="0">
      <alignment vertical="center"/>
    </xf>
    <xf numFmtId="0" fontId="1" fillId="0" borderId="0" xfId="6" applyFont="1"/>
    <xf numFmtId="0" fontId="2" fillId="0" borderId="0" xfId="6"/>
    <xf numFmtId="179" fontId="2" fillId="0" borderId="0" xfId="6" applyNumberFormat="1"/>
    <xf numFmtId="0" fontId="2" fillId="0" borderId="0" xfId="6" applyAlignment="1">
      <alignment horizontal="center"/>
    </xf>
    <xf numFmtId="0" fontId="3" fillId="0" borderId="0" xfId="6" applyFont="1" applyAlignment="1">
      <alignment horizontal="centerContinuous" wrapText="1"/>
    </xf>
    <xf numFmtId="0" fontId="4" fillId="0" borderId="0" xfId="6" applyFont="1" applyAlignment="1">
      <alignment horizontal="centerContinuous"/>
    </xf>
    <xf numFmtId="0" fontId="5" fillId="0" borderId="0" xfId="6" applyFont="1" applyAlignment="1">
      <alignment horizontal="centerContinuous"/>
    </xf>
    <xf numFmtId="0" fontId="6" fillId="0" borderId="0" xfId="6" applyFont="1" applyAlignment="1">
      <alignment horizontal="centerContinuous"/>
    </xf>
    <xf numFmtId="0" fontId="7" fillId="0" borderId="0" xfId="6" applyFont="1"/>
    <xf numFmtId="0" fontId="8" fillId="0" borderId="0" xfId="6" applyFont="1"/>
    <xf numFmtId="0" fontId="9" fillId="0" borderId="0" xfId="6" applyFont="1"/>
    <xf numFmtId="0" fontId="9" fillId="0" borderId="1" xfId="6" applyFont="1" applyBorder="1"/>
    <xf numFmtId="0" fontId="2" fillId="0" borderId="1" xfId="6" applyBorder="1"/>
    <xf numFmtId="0" fontId="8" fillId="0" borderId="1" xfId="6" applyFont="1" applyBorder="1"/>
    <xf numFmtId="179" fontId="9" fillId="0" borderId="1" xfId="6" applyNumberFormat="1" applyFont="1" applyBorder="1"/>
    <xf numFmtId="0" fontId="10" fillId="0" borderId="2" xfId="6" applyFont="1" applyBorder="1" applyAlignment="1">
      <alignment horizontal="center"/>
    </xf>
    <xf numFmtId="0" fontId="10" fillId="0" borderId="0" xfId="6" applyFont="1" applyAlignment="1">
      <alignment horizontal="center"/>
    </xf>
    <xf numFmtId="0" fontId="9" fillId="0" borderId="0" xfId="6" applyFont="1" applyAlignment="1">
      <alignment horizontal="right"/>
    </xf>
    <xf numFmtId="0" fontId="9" fillId="0" borderId="0" xfId="53" applyFont="1" applyAlignment="1">
      <alignment horizontal="right"/>
    </xf>
    <xf numFmtId="58" fontId="9" fillId="0" borderId="0" xfId="48" applyNumberFormat="1" applyFont="1" applyAlignment="1">
      <alignment vertical="center"/>
    </xf>
    <xf numFmtId="0" fontId="7" fillId="0" borderId="0" xfId="6" applyFont="1" applyAlignment="1">
      <alignment horizontal="center" wrapText="1"/>
    </xf>
    <xf numFmtId="179" fontId="7" fillId="0" borderId="0" xfId="6" applyNumberFormat="1" applyFont="1" applyAlignment="1">
      <alignment horizontal="center"/>
    </xf>
    <xf numFmtId="179" fontId="11" fillId="0" borderId="0" xfId="6" applyNumberFormat="1" applyFont="1"/>
    <xf numFmtId="0" fontId="7" fillId="0" borderId="0" xfId="6" applyFont="1" applyAlignment="1">
      <alignment horizontal="center"/>
    </xf>
    <xf numFmtId="0" fontId="7" fillId="0" borderId="0" xfId="6" applyFont="1" applyAlignment="1">
      <alignment horizontal="left" vertical="top" wrapText="1"/>
    </xf>
    <xf numFmtId="0" fontId="7" fillId="0" borderId="0" xfId="6" applyFont="1" applyAlignment="1">
      <alignment horizontal="left" vertical="top"/>
    </xf>
    <xf numFmtId="0" fontId="7" fillId="0" borderId="0" xfId="6" applyFont="1" applyAlignment="1">
      <alignment horizontal="left" wrapText="1"/>
    </xf>
    <xf numFmtId="0" fontId="12" fillId="0" borderId="0" xfId="6" applyFont="1"/>
    <xf numFmtId="0" fontId="9" fillId="0" borderId="0" xfId="6" applyFont="1" applyAlignment="1">
      <alignment horizontal="left"/>
    </xf>
    <xf numFmtId="179" fontId="9" fillId="0" borderId="0" xfId="6" applyNumberFormat="1" applyFont="1" applyAlignment="1">
      <alignment horizontal="center"/>
    </xf>
    <xf numFmtId="179" fontId="8" fillId="0" borderId="0" xfId="6" applyNumberFormat="1" applyFont="1"/>
    <xf numFmtId="179" fontId="9" fillId="0" borderId="0" xfId="6" applyNumberFormat="1" applyFont="1"/>
    <xf numFmtId="0" fontId="7" fillId="0" borderId="3" xfId="6" applyFont="1" applyBorder="1" applyAlignment="1">
      <alignment horizontal="center"/>
    </xf>
    <xf numFmtId="0" fontId="7" fillId="0" borderId="4" xfId="6" applyFont="1" applyBorder="1" applyAlignment="1">
      <alignment horizontal="center"/>
    </xf>
    <xf numFmtId="179" fontId="7" fillId="0" borderId="3" xfId="6" applyNumberFormat="1" applyFont="1" applyBorder="1" applyAlignment="1">
      <alignment horizontal="center"/>
    </xf>
    <xf numFmtId="0" fontId="9" fillId="0" borderId="3" xfId="6" applyFont="1" applyBorder="1" applyAlignment="1">
      <alignment horizontal="center"/>
    </xf>
    <xf numFmtId="179" fontId="9" fillId="0" borderId="3" xfId="6" applyNumberFormat="1" applyFont="1" applyBorder="1" applyAlignment="1">
      <alignment horizontal="center"/>
    </xf>
    <xf numFmtId="180" fontId="7" fillId="0" borderId="3" xfId="1" applyNumberFormat="1" applyFont="1" applyBorder="1" applyAlignment="1">
      <alignment horizontal="center" vertical="center"/>
    </xf>
    <xf numFmtId="181" fontId="7" fillId="0" borderId="3" xfId="6" applyNumberFormat="1" applyFont="1" applyBorder="1" applyAlignment="1">
      <alignment horizontal="right"/>
    </xf>
    <xf numFmtId="40" fontId="7" fillId="0" borderId="3" xfId="6" applyNumberFormat="1" applyFont="1" applyBorder="1" applyAlignment="1">
      <alignment horizontal="right" vertical="center"/>
    </xf>
    <xf numFmtId="0" fontId="13" fillId="0" borderId="0" xfId="53" applyFont="1" applyAlignment="1">
      <alignment horizontal="center" vertical="center"/>
    </xf>
    <xf numFmtId="0" fontId="7" fillId="0" borderId="0" xfId="6" applyFont="1" applyAlignment="1">
      <alignment horizontal="center" vertical="center"/>
    </xf>
    <xf numFmtId="40" fontId="7" fillId="0" borderId="3" xfId="6" applyNumberFormat="1" applyFont="1" applyBorder="1" applyAlignment="1">
      <alignment horizontal="center" vertical="center"/>
    </xf>
    <xf numFmtId="0" fontId="14" fillId="0" borderId="3" xfId="1" applyFont="1" applyBorder="1" applyAlignment="1">
      <alignment horizontal="left" vertical="center"/>
    </xf>
    <xf numFmtId="182" fontId="7" fillId="0" borderId="3" xfId="6" applyNumberFormat="1" applyFont="1" applyBorder="1" applyAlignment="1">
      <alignment horizontal="center" vertical="center"/>
    </xf>
    <xf numFmtId="0" fontId="2" fillId="0" borderId="3" xfId="6" applyBorder="1" applyAlignment="1">
      <alignment horizontal="center"/>
    </xf>
    <xf numFmtId="180" fontId="2" fillId="0" borderId="3" xfId="1" applyNumberFormat="1" applyFont="1" applyBorder="1" applyAlignment="1">
      <alignment horizontal="center" vertical="center"/>
    </xf>
    <xf numFmtId="179" fontId="2" fillId="0" borderId="3" xfId="6" applyNumberFormat="1" applyBorder="1" applyAlignment="1">
      <alignment horizontal="center"/>
    </xf>
    <xf numFmtId="182" fontId="2" fillId="0" borderId="3" xfId="6" applyNumberFormat="1" applyBorder="1" applyAlignment="1">
      <alignment horizontal="center" vertical="center"/>
    </xf>
    <xf numFmtId="0" fontId="15" fillId="0" borderId="3" xfId="1" applyFont="1" applyBorder="1" applyAlignment="1">
      <alignment horizontal="left" vertical="center"/>
    </xf>
    <xf numFmtId="0" fontId="16" fillId="0" borderId="3" xfId="6" applyFont="1" applyBorder="1" applyAlignment="1">
      <alignment horizontal="center" vertical="center"/>
    </xf>
    <xf numFmtId="0" fontId="2" fillId="2" borderId="3" xfId="1" applyFont="1" applyFill="1" applyBorder="1" applyAlignment="1">
      <alignment horizontal="right" vertical="center"/>
    </xf>
    <xf numFmtId="181" fontId="2" fillId="0" borderId="3" xfId="6" applyNumberFormat="1" applyBorder="1" applyAlignment="1">
      <alignment horizontal="center"/>
    </xf>
    <xf numFmtId="182" fontId="8" fillId="0" borderId="3" xfId="6" applyNumberFormat="1" applyFont="1" applyBorder="1" applyAlignment="1">
      <alignment horizontal="center"/>
    </xf>
    <xf numFmtId="0" fontId="9" fillId="0" borderId="3" xfId="6" applyFont="1" applyBorder="1"/>
    <xf numFmtId="0" fontId="9" fillId="0" borderId="5" xfId="6" applyFont="1" applyBorder="1"/>
    <xf numFmtId="180" fontId="9" fillId="0" borderId="3" xfId="6" applyNumberFormat="1" applyFont="1" applyBorder="1" applyAlignment="1">
      <alignment horizontal="center" vertical="center"/>
    </xf>
    <xf numFmtId="183" fontId="9" fillId="0" borderId="3" xfId="6" applyNumberFormat="1" applyFont="1" applyBorder="1"/>
    <xf numFmtId="40" fontId="9" fillId="0" borderId="3" xfId="6" applyNumberFormat="1" applyFont="1" applyBorder="1" applyAlignment="1">
      <alignment horizontal="center" vertical="center"/>
    </xf>
    <xf numFmtId="0" fontId="1" fillId="0" borderId="0" xfId="6" applyFont="1" applyAlignment="1">
      <alignment horizontal="center"/>
    </xf>
    <xf numFmtId="182" fontId="9" fillId="0" borderId="0" xfId="6" applyNumberFormat="1" applyFont="1"/>
    <xf numFmtId="179" fontId="17" fillId="0" borderId="0" xfId="6" applyNumberFormat="1" applyFont="1"/>
    <xf numFmtId="0" fontId="18" fillId="0" borderId="0" xfId="0" applyFont="1">
      <alignment vertical="center"/>
    </xf>
    <xf numFmtId="0" fontId="19" fillId="0" borderId="0" xfId="6" applyFont="1"/>
    <xf numFmtId="0" fontId="20" fillId="0" borderId="0" xfId="6" applyFont="1"/>
    <xf numFmtId="0" fontId="21" fillId="0" borderId="0" xfId="6" applyFont="1"/>
    <xf numFmtId="179" fontId="21" fillId="0" borderId="0" xfId="6" applyNumberFormat="1" applyFont="1"/>
    <xf numFmtId="0" fontId="22" fillId="0" borderId="6" xfId="33" applyFont="1" applyBorder="1" applyAlignment="1">
      <alignment horizontal="center" vertical="center"/>
    </xf>
    <xf numFmtId="0" fontId="22" fillId="0" borderId="7" xfId="33" applyFont="1" applyBorder="1" applyAlignment="1">
      <alignment horizontal="center" vertical="center"/>
    </xf>
    <xf numFmtId="0" fontId="22" fillId="0" borderId="8" xfId="33" applyFont="1" applyBorder="1" applyAlignment="1">
      <alignment horizontal="center" vertical="center"/>
    </xf>
    <xf numFmtId="0" fontId="22" fillId="0" borderId="9" xfId="33" applyFont="1" applyBorder="1" applyAlignment="1">
      <alignment horizontal="center" vertical="center"/>
    </xf>
    <xf numFmtId="0" fontId="22" fillId="0" borderId="10" xfId="33" applyFont="1" applyBorder="1"/>
    <xf numFmtId="0" fontId="22" fillId="0" borderId="0" xfId="33" applyFont="1"/>
    <xf numFmtId="0" fontId="23" fillId="0" borderId="0" xfId="33" applyFont="1"/>
    <xf numFmtId="0" fontId="24" fillId="0" borderId="11" xfId="33" applyFont="1" applyBorder="1"/>
    <xf numFmtId="0" fontId="23" fillId="0" borderId="10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58" fontId="23" fillId="0" borderId="10" xfId="0" applyNumberFormat="1" applyFont="1" applyBorder="1" applyAlignment="1">
      <alignment horizontal="left" vertical="center"/>
    </xf>
    <xf numFmtId="0" fontId="23" fillId="0" borderId="10" xfId="55" applyFont="1" applyBorder="1" applyAlignment="1">
      <alignment horizontal="left" vertical="center" wrapText="1"/>
    </xf>
    <xf numFmtId="0" fontId="23" fillId="0" borderId="0" xfId="55" applyFont="1" applyAlignment="1">
      <alignment horizontal="left" vertical="center" wrapText="1"/>
    </xf>
    <xf numFmtId="0" fontId="23" fillId="0" borderId="11" xfId="55" applyFont="1" applyBorder="1" applyAlignment="1">
      <alignment horizontal="left" vertical="center" wrapText="1"/>
    </xf>
    <xf numFmtId="0" fontId="23" fillId="0" borderId="10" xfId="33" applyFont="1" applyBorder="1"/>
    <xf numFmtId="0" fontId="23" fillId="0" borderId="8" xfId="55" applyFont="1" applyBorder="1" applyAlignment="1">
      <alignment horizontal="left" vertical="center"/>
    </xf>
    <xf numFmtId="0" fontId="23" fillId="0" borderId="9" xfId="55" applyFont="1" applyBorder="1" applyAlignment="1">
      <alignment horizontal="left" vertical="center"/>
    </xf>
    <xf numFmtId="0" fontId="23" fillId="0" borderId="12" xfId="55" applyFont="1" applyBorder="1" applyAlignment="1">
      <alignment horizontal="left" vertical="center"/>
    </xf>
    <xf numFmtId="0" fontId="23" fillId="0" borderId="8" xfId="33" applyFont="1" applyBorder="1"/>
    <xf numFmtId="0" fontId="23" fillId="0" borderId="9" xfId="33" applyFont="1" applyBorder="1"/>
    <xf numFmtId="0" fontId="22" fillId="0" borderId="6" xfId="55" applyFont="1" applyBorder="1"/>
    <xf numFmtId="0" fontId="22" fillId="0" borderId="7" xfId="33" applyFont="1" applyBorder="1"/>
    <xf numFmtId="0" fontId="23" fillId="0" borderId="7" xfId="33" applyFont="1" applyBorder="1"/>
    <xf numFmtId="0" fontId="23" fillId="0" borderId="13" xfId="33" applyFont="1" applyBorder="1"/>
    <xf numFmtId="0" fontId="23" fillId="0" borderId="10" xfId="33" applyFont="1" applyBorder="1" applyAlignment="1">
      <alignment horizontal="left" vertical="center"/>
    </xf>
    <xf numFmtId="0" fontId="23" fillId="0" borderId="0" xfId="33" applyFont="1" applyAlignment="1">
      <alignment horizontal="left" vertical="center"/>
    </xf>
    <xf numFmtId="0" fontId="23" fillId="0" borderId="11" xfId="33" applyFont="1" applyBorder="1" applyAlignment="1">
      <alignment horizontal="left" vertical="center"/>
    </xf>
    <xf numFmtId="0" fontId="23" fillId="0" borderId="0" xfId="55" applyFont="1"/>
    <xf numFmtId="0" fontId="23" fillId="0" borderId="10" xfId="33" applyFont="1" applyBorder="1" applyAlignment="1">
      <alignment vertical="top" wrapText="1"/>
    </xf>
    <xf numFmtId="0" fontId="23" fillId="0" borderId="0" xfId="33" applyFont="1" applyAlignment="1">
      <alignment vertical="top" wrapText="1"/>
    </xf>
    <xf numFmtId="0" fontId="23" fillId="0" borderId="11" xfId="33" applyFont="1" applyBorder="1" applyAlignment="1">
      <alignment vertical="top" wrapText="1"/>
    </xf>
    <xf numFmtId="0" fontId="23" fillId="0" borderId="8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0" fillId="0" borderId="0" xfId="33" applyFont="1"/>
    <xf numFmtId="0" fontId="23" fillId="0" borderId="11" xfId="33" applyFont="1" applyBorder="1"/>
    <xf numFmtId="0" fontId="25" fillId="0" borderId="0" xfId="33" applyFont="1"/>
    <xf numFmtId="0" fontId="23" fillId="0" borderId="0" xfId="0" applyFont="1" applyAlignment="1"/>
    <xf numFmtId="0" fontId="23" fillId="0" borderId="10" xfId="33" applyFont="1" applyBorder="1" applyAlignment="1">
      <alignment horizontal="left" vertical="center" wrapText="1"/>
    </xf>
    <xf numFmtId="0" fontId="23" fillId="0" borderId="0" xfId="33" applyFont="1" applyAlignment="1">
      <alignment horizontal="left" vertical="center" wrapText="1"/>
    </xf>
    <xf numFmtId="0" fontId="23" fillId="0" borderId="11" xfId="33" applyFont="1" applyBorder="1" applyAlignment="1">
      <alignment horizontal="left" vertical="center" wrapText="1"/>
    </xf>
    <xf numFmtId="0" fontId="23" fillId="0" borderId="8" xfId="33" applyFont="1" applyBorder="1" applyAlignment="1">
      <alignment horizontal="left" vertical="center" wrapText="1"/>
    </xf>
    <xf numFmtId="0" fontId="23" fillId="0" borderId="9" xfId="33" applyFont="1" applyBorder="1" applyAlignment="1">
      <alignment horizontal="left" vertical="center" wrapText="1"/>
    </xf>
    <xf numFmtId="0" fontId="23" fillId="0" borderId="12" xfId="33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2" fillId="0" borderId="6" xfId="33" applyFont="1" applyBorder="1"/>
    <xf numFmtId="0" fontId="24" fillId="0" borderId="13" xfId="33" applyFont="1" applyBorder="1"/>
    <xf numFmtId="0" fontId="24" fillId="0" borderId="13" xfId="55" applyFont="1" applyBorder="1"/>
    <xf numFmtId="184" fontId="23" fillId="0" borderId="0" xfId="0" applyNumberFormat="1" applyFont="1" applyAlignment="1">
      <alignment horizontal="center" vertical="center"/>
    </xf>
    <xf numFmtId="0" fontId="26" fillId="0" borderId="11" xfId="33" applyFont="1" applyBorder="1" applyAlignment="1">
      <alignment horizontal="right"/>
    </xf>
    <xf numFmtId="185" fontId="23" fillId="0" borderId="8" xfId="0" applyNumberFormat="1" applyFont="1" applyBorder="1" applyAlignment="1">
      <alignment horizontal="left" vertical="center"/>
    </xf>
    <xf numFmtId="185" fontId="23" fillId="0" borderId="12" xfId="0" applyNumberFormat="1" applyFont="1" applyBorder="1" applyAlignment="1">
      <alignment horizontal="left" vertical="center"/>
    </xf>
    <xf numFmtId="0" fontId="22" fillId="0" borderId="3" xfId="55" applyFont="1" applyBorder="1" applyAlignment="1">
      <alignment horizontal="center" vertical="center"/>
    </xf>
    <xf numFmtId="0" fontId="22" fillId="0" borderId="3" xfId="33" applyFont="1" applyBorder="1" applyAlignment="1">
      <alignment horizontal="center" vertical="center"/>
    </xf>
    <xf numFmtId="0" fontId="22" fillId="0" borderId="3" xfId="33" applyFont="1" applyBorder="1" applyAlignment="1">
      <alignment horizontal="center"/>
    </xf>
    <xf numFmtId="0" fontId="23" fillId="0" borderId="3" xfId="0" applyFont="1" applyBorder="1" applyAlignment="1">
      <alignment horizontal="center" vertical="center" wrapText="1" shrinkToFit="1"/>
    </xf>
    <xf numFmtId="0" fontId="23" fillId="0" borderId="14" xfId="0" applyFont="1" applyBorder="1" applyAlignment="1">
      <alignment vertical="center" wrapText="1" shrinkToFit="1"/>
    </xf>
    <xf numFmtId="0" fontId="23" fillId="0" borderId="5" xfId="0" applyFont="1" applyBorder="1" applyAlignment="1">
      <alignment vertical="center" wrapText="1" shrinkToFit="1"/>
    </xf>
    <xf numFmtId="186" fontId="23" fillId="0" borderId="3" xfId="0" applyNumberFormat="1" applyFont="1" applyBorder="1" applyAlignment="1">
      <alignment horizontal="center" vertical="center" shrinkToFit="1"/>
    </xf>
    <xf numFmtId="187" fontId="23" fillId="0" borderId="3" xfId="0" applyNumberFormat="1" applyFont="1" applyBorder="1" applyAlignment="1">
      <alignment horizontal="center" vertical="center" wrapText="1" shrinkToFit="1"/>
    </xf>
    <xf numFmtId="182" fontId="23" fillId="0" borderId="3" xfId="0" applyNumberFormat="1" applyFont="1" applyBorder="1" applyAlignment="1">
      <alignment horizontal="center" vertical="center" wrapText="1" shrinkToFit="1"/>
    </xf>
    <xf numFmtId="0" fontId="23" fillId="0" borderId="14" xfId="0" applyFont="1" applyBorder="1" applyAlignment="1">
      <alignment horizontal="center" vertical="center" wrapText="1" shrinkToFit="1"/>
    </xf>
    <xf numFmtId="0" fontId="23" fillId="0" borderId="5" xfId="0" applyFont="1" applyBorder="1" applyAlignment="1">
      <alignment horizontal="center" vertical="center" shrinkToFit="1"/>
    </xf>
    <xf numFmtId="0" fontId="23" fillId="0" borderId="5" xfId="0" applyFont="1" applyBorder="1" applyAlignment="1">
      <alignment horizontal="center" vertical="center" wrapText="1" shrinkToFit="1"/>
    </xf>
    <xf numFmtId="0" fontId="23" fillId="0" borderId="3" xfId="54" applyFont="1" applyBorder="1" applyAlignment="1">
      <alignment horizontal="center" vertical="center" wrapText="1" shrinkToFit="1"/>
    </xf>
    <xf numFmtId="0" fontId="23" fillId="0" borderId="3" xfId="33" applyFont="1" applyBorder="1" applyAlignment="1">
      <alignment horizontal="center" vertical="center" wrapText="1" shrinkToFit="1"/>
    </xf>
    <xf numFmtId="0" fontId="23" fillId="0" borderId="14" xfId="33" applyFont="1" applyBorder="1" applyAlignment="1">
      <alignment vertical="center" wrapText="1" shrinkToFit="1"/>
    </xf>
    <xf numFmtId="0" fontId="23" fillId="0" borderId="5" xfId="33" applyFont="1" applyBorder="1" applyAlignment="1">
      <alignment vertical="center" wrapText="1" shrinkToFit="1"/>
    </xf>
    <xf numFmtId="182" fontId="23" fillId="0" borderId="3" xfId="33" applyNumberFormat="1" applyFont="1" applyBorder="1" applyAlignment="1">
      <alignment horizontal="center" vertical="center" wrapText="1" shrinkToFit="1"/>
    </xf>
    <xf numFmtId="182" fontId="22" fillId="0" borderId="0" xfId="33" applyNumberFormat="1" applyFont="1" applyAlignment="1">
      <alignment horizontal="center"/>
    </xf>
    <xf numFmtId="0" fontId="22" fillId="0" borderId="0" xfId="33" applyFont="1" applyAlignment="1">
      <alignment horizontal="left"/>
    </xf>
    <xf numFmtId="0" fontId="22" fillId="0" borderId="0" xfId="33" applyFont="1" applyAlignment="1">
      <alignment horizontal="center"/>
    </xf>
    <xf numFmtId="0" fontId="27" fillId="0" borderId="10" xfId="0" applyFont="1" applyBorder="1">
      <alignment vertical="center"/>
    </xf>
    <xf numFmtId="0" fontId="27" fillId="0" borderId="0" xfId="0" applyFont="1">
      <alignment vertical="center"/>
    </xf>
    <xf numFmtId="0" fontId="23" fillId="0" borderId="0" xfId="33" applyFont="1" applyAlignment="1">
      <alignment horizontal="center" vertical="center"/>
    </xf>
    <xf numFmtId="186" fontId="23" fillId="0" borderId="0" xfId="33" applyNumberFormat="1" applyFont="1" applyAlignment="1">
      <alignment horizontal="left" vertical="center"/>
    </xf>
    <xf numFmtId="0" fontId="0" fillId="0" borderId="10" xfId="0" applyBorder="1">
      <alignment vertical="center"/>
    </xf>
    <xf numFmtId="0" fontId="19" fillId="0" borderId="0" xfId="33" applyFont="1" applyAlignment="1">
      <alignment horizontal="center" vertical="center"/>
    </xf>
    <xf numFmtId="0" fontId="19" fillId="0" borderId="0" xfId="33" applyFont="1"/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2" fillId="0" borderId="13" xfId="33" applyFont="1" applyBorder="1" applyAlignment="1">
      <alignment horizontal="center" vertical="center"/>
    </xf>
    <xf numFmtId="0" fontId="22" fillId="0" borderId="12" xfId="33" applyFont="1" applyBorder="1" applyAlignment="1">
      <alignment horizontal="center" vertical="center"/>
    </xf>
    <xf numFmtId="0" fontId="28" fillId="0" borderId="11" xfId="0" applyFont="1" applyBorder="1" applyAlignment="1"/>
    <xf numFmtId="0" fontId="23" fillId="0" borderId="12" xfId="33" applyFont="1" applyBorder="1"/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82" fontId="22" fillId="0" borderId="11" xfId="33" applyNumberFormat="1" applyFont="1" applyBorder="1" applyAlignment="1">
      <alignment horizontal="center"/>
    </xf>
    <xf numFmtId="0" fontId="27" fillId="0" borderId="11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9" fillId="0" borderId="0" xfId="0" applyFont="1">
      <alignment vertical="center"/>
    </xf>
    <xf numFmtId="0" fontId="30" fillId="0" borderId="14" xfId="55" applyFont="1" applyBorder="1" applyAlignment="1">
      <alignment horizontal="center"/>
    </xf>
    <xf numFmtId="0" fontId="30" fillId="0" borderId="4" xfId="55" applyFont="1" applyBorder="1" applyAlignment="1">
      <alignment horizontal="center"/>
    </xf>
    <xf numFmtId="0" fontId="22" fillId="0" borderId="10" xfId="55" applyFont="1" applyBorder="1"/>
    <xf numFmtId="0" fontId="22" fillId="0" borderId="0" xfId="55" applyFont="1"/>
    <xf numFmtId="0" fontId="27" fillId="0" borderId="10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11" xfId="0" applyFont="1" applyBorder="1" applyAlignment="1">
      <alignment horizontal="left" vertical="center"/>
    </xf>
    <xf numFmtId="49" fontId="23" fillId="0" borderId="0" xfId="55" applyNumberFormat="1" applyFont="1" applyAlignment="1">
      <alignment horizontal="center"/>
    </xf>
    <xf numFmtId="0" fontId="27" fillId="0" borderId="10" xfId="0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185" fontId="23" fillId="0" borderId="0" xfId="0" applyNumberFormat="1" applyFont="1" applyAlignment="1"/>
    <xf numFmtId="185" fontId="23" fillId="0" borderId="0" xfId="0" applyNumberFormat="1" applyFont="1" applyAlignment="1">
      <alignment horizontal="left"/>
    </xf>
    <xf numFmtId="0" fontId="23" fillId="0" borderId="10" xfId="55" applyFont="1" applyBorder="1"/>
    <xf numFmtId="0" fontId="27" fillId="0" borderId="8" xfId="55" applyFont="1" applyBorder="1" applyAlignment="1">
      <alignment horizontal="left" vertical="center"/>
    </xf>
    <xf numFmtId="0" fontId="27" fillId="0" borderId="9" xfId="55" applyFont="1" applyBorder="1" applyAlignment="1">
      <alignment horizontal="left" vertical="center"/>
    </xf>
    <xf numFmtId="0" fontId="27" fillId="0" borderId="12" xfId="55" applyFont="1" applyBorder="1" applyAlignment="1">
      <alignment horizontal="left" vertical="center"/>
    </xf>
    <xf numFmtId="0" fontId="23" fillId="0" borderId="8" xfId="55" applyFont="1" applyBorder="1"/>
    <xf numFmtId="0" fontId="23" fillId="0" borderId="9" xfId="55" applyFont="1" applyBorder="1"/>
    <xf numFmtId="0" fontId="31" fillId="0" borderId="6" xfId="55" applyFont="1" applyBorder="1"/>
    <xf numFmtId="0" fontId="31" fillId="0" borderId="7" xfId="55" applyFont="1" applyBorder="1"/>
    <xf numFmtId="0" fontId="27" fillId="0" borderId="7" xfId="55" applyFont="1" applyBorder="1"/>
    <xf numFmtId="0" fontId="27" fillId="0" borderId="13" xfId="55" applyFont="1" applyBorder="1"/>
    <xf numFmtId="0" fontId="23" fillId="0" borderId="7" xfId="55" applyFont="1" applyBorder="1"/>
    <xf numFmtId="0" fontId="27" fillId="0" borderId="10" xfId="33" applyFont="1" applyBorder="1" applyAlignment="1">
      <alignment horizontal="left" vertical="center"/>
    </xf>
    <xf numFmtId="0" fontId="27" fillId="0" borderId="0" xfId="33" applyFont="1" applyAlignment="1">
      <alignment horizontal="left" vertical="center"/>
    </xf>
    <xf numFmtId="0" fontId="27" fillId="0" borderId="11" xfId="33" applyFont="1" applyBorder="1" applyAlignment="1">
      <alignment horizontal="left" vertical="center"/>
    </xf>
    <xf numFmtId="0" fontId="27" fillId="0" borderId="10" xfId="55" applyFont="1" applyBorder="1"/>
    <xf numFmtId="0" fontId="27" fillId="0" borderId="0" xfId="55" applyFont="1"/>
    <xf numFmtId="0" fontId="27" fillId="0" borderId="10" xfId="0" applyFont="1" applyBorder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0" xfId="55" applyFont="1" applyBorder="1" applyAlignment="1">
      <alignment horizontal="center"/>
    </xf>
    <xf numFmtId="0" fontId="27" fillId="0" borderId="0" xfId="55" applyFont="1" applyAlignment="1">
      <alignment horizontal="center"/>
    </xf>
    <xf numFmtId="0" fontId="27" fillId="0" borderId="8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0" xfId="0" applyFont="1" applyBorder="1" applyAlignment="1"/>
    <xf numFmtId="0" fontId="27" fillId="0" borderId="0" xfId="0" applyFont="1" applyAlignment="1"/>
    <xf numFmtId="0" fontId="27" fillId="0" borderId="8" xfId="33" applyFont="1" applyBorder="1" applyAlignment="1">
      <alignment horizontal="left" vertical="center" wrapText="1"/>
    </xf>
    <xf numFmtId="0" fontId="27" fillId="0" borderId="9" xfId="33" applyFont="1" applyBorder="1" applyAlignment="1">
      <alignment horizontal="left" vertical="center" wrapText="1"/>
    </xf>
    <xf numFmtId="0" fontId="27" fillId="0" borderId="12" xfId="33" applyFont="1" applyBorder="1" applyAlignment="1">
      <alignment horizontal="left" vertical="center" wrapText="1"/>
    </xf>
    <xf numFmtId="0" fontId="19" fillId="0" borderId="0" xfId="55" applyFont="1"/>
    <xf numFmtId="0" fontId="27" fillId="0" borderId="8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31" fillId="0" borderId="10" xfId="55" applyFont="1" applyBorder="1"/>
    <xf numFmtId="0" fontId="27" fillId="0" borderId="11" xfId="33" applyFont="1" applyBorder="1" applyAlignment="1">
      <alignment horizontal="right"/>
    </xf>
    <xf numFmtId="185" fontId="27" fillId="0" borderId="8" xfId="0" applyNumberFormat="1" applyFont="1" applyBorder="1" applyAlignment="1">
      <alignment horizontal="left" vertical="center"/>
    </xf>
    <xf numFmtId="185" fontId="27" fillId="0" borderId="12" xfId="0" applyNumberFormat="1" applyFont="1" applyBorder="1" applyAlignment="1">
      <alignment horizontal="left" vertical="center"/>
    </xf>
    <xf numFmtId="0" fontId="27" fillId="0" borderId="8" xfId="55" applyFont="1" applyBorder="1"/>
    <xf numFmtId="0" fontId="27" fillId="0" borderId="9" xfId="55" applyFont="1" applyBorder="1"/>
    <xf numFmtId="0" fontId="22" fillId="0" borderId="3" xfId="55" applyFont="1" applyBorder="1" applyAlignment="1">
      <alignment horizontal="center" vertical="center" wrapText="1"/>
    </xf>
    <xf numFmtId="0" fontId="23" fillId="0" borderId="3" xfId="55" applyFont="1" applyBorder="1" applyAlignment="1">
      <alignment horizontal="center" vertical="center"/>
    </xf>
    <xf numFmtId="0" fontId="23" fillId="0" borderId="3" xfId="55" applyFont="1" applyBorder="1" applyAlignment="1">
      <alignment horizontal="center" vertical="center" wrapText="1"/>
    </xf>
    <xf numFmtId="177" fontId="23" fillId="0" borderId="3" xfId="0" applyNumberFormat="1" applyFont="1" applyBorder="1" applyAlignment="1">
      <alignment horizontal="center" vertical="center" wrapText="1" shrinkToFit="1"/>
    </xf>
    <xf numFmtId="181" fontId="23" fillId="0" borderId="3" xfId="55" applyNumberFormat="1" applyFont="1" applyBorder="1" applyAlignment="1">
      <alignment horizontal="center" vertical="center"/>
    </xf>
    <xf numFmtId="181" fontId="23" fillId="0" borderId="3" xfId="0" applyNumberFormat="1" applyFont="1" applyBorder="1" applyAlignment="1">
      <alignment horizontal="center" vertical="center" wrapText="1" shrinkToFit="1"/>
    </xf>
    <xf numFmtId="0" fontId="27" fillId="0" borderId="3" xfId="0" applyFont="1" applyBorder="1" applyAlignment="1">
      <alignment horizontal="center" vertical="center"/>
    </xf>
    <xf numFmtId="0" fontId="23" fillId="0" borderId="14" xfId="55" applyFont="1" applyBorder="1" applyAlignment="1">
      <alignment horizontal="center" vertical="center"/>
    </xf>
    <xf numFmtId="0" fontId="23" fillId="0" borderId="4" xfId="55" applyFont="1" applyBorder="1" applyAlignment="1">
      <alignment horizontal="center" vertical="center"/>
    </xf>
    <xf numFmtId="187" fontId="22" fillId="0" borderId="4" xfId="55" applyNumberFormat="1" applyFont="1" applyBorder="1" applyAlignment="1">
      <alignment horizontal="center" vertical="center"/>
    </xf>
    <xf numFmtId="0" fontId="22" fillId="0" borderId="4" xfId="55" applyFont="1" applyBorder="1" applyAlignment="1">
      <alignment horizontal="center" vertical="center"/>
    </xf>
    <xf numFmtId="179" fontId="22" fillId="0" borderId="4" xfId="55" applyNumberFormat="1" applyFont="1" applyBorder="1" applyAlignment="1">
      <alignment horizontal="center" vertical="center"/>
    </xf>
    <xf numFmtId="0" fontId="32" fillId="3" borderId="0" xfId="0" applyFont="1" applyFill="1">
      <alignment vertical="center"/>
    </xf>
    <xf numFmtId="0" fontId="33" fillId="3" borderId="0" xfId="0" applyFont="1" applyFill="1">
      <alignment vertical="center"/>
    </xf>
    <xf numFmtId="0" fontId="32" fillId="3" borderId="0" xfId="0" applyFont="1" applyFill="1" applyAlignment="1">
      <alignment horizontal="right" vertical="center"/>
    </xf>
    <xf numFmtId="0" fontId="30" fillId="0" borderId="5" xfId="55" applyFont="1" applyBorder="1" applyAlignment="1">
      <alignment horizontal="center"/>
    </xf>
    <xf numFmtId="0" fontId="28" fillId="0" borderId="0" xfId="0" applyFont="1" applyAlignment="1"/>
    <xf numFmtId="0" fontId="28" fillId="0" borderId="9" xfId="0" applyFont="1" applyBorder="1">
      <alignment vertical="center"/>
    </xf>
    <xf numFmtId="0" fontId="34" fillId="0" borderId="12" xfId="0" applyFont="1" applyBorder="1">
      <alignment vertical="center"/>
    </xf>
    <xf numFmtId="0" fontId="28" fillId="0" borderId="7" xfId="0" applyFont="1" applyBorder="1">
      <alignment vertical="center"/>
    </xf>
    <xf numFmtId="0" fontId="28" fillId="0" borderId="0" xfId="0" applyFont="1">
      <alignment vertical="center"/>
    </xf>
    <xf numFmtId="0" fontId="28" fillId="0" borderId="11" xfId="0" applyFont="1" applyBorder="1">
      <alignment vertical="center"/>
    </xf>
    <xf numFmtId="0" fontId="34" fillId="0" borderId="0" xfId="0" applyFont="1">
      <alignment vertical="center"/>
    </xf>
    <xf numFmtId="0" fontId="34" fillId="0" borderId="11" xfId="0" applyFont="1" applyBorder="1">
      <alignment vertical="center"/>
    </xf>
    <xf numFmtId="0" fontId="23" fillId="0" borderId="13" xfId="55" applyFont="1" applyBorder="1"/>
    <xf numFmtId="0" fontId="24" fillId="0" borderId="9" xfId="33" applyFont="1" applyBorder="1"/>
    <xf numFmtId="0" fontId="28" fillId="0" borderId="7" xfId="0" applyFont="1" applyBorder="1" applyAlignment="1"/>
    <xf numFmtId="0" fontId="28" fillId="0" borderId="9" xfId="0" applyFont="1" applyBorder="1" applyAlignment="1"/>
    <xf numFmtId="0" fontId="35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 shrinkToFit="1"/>
    </xf>
    <xf numFmtId="184" fontId="23" fillId="0" borderId="3" xfId="0" applyNumberFormat="1" applyFont="1" applyBorder="1" applyAlignment="1">
      <alignment horizontal="center" vertical="center" wrapText="1"/>
    </xf>
    <xf numFmtId="184" fontId="23" fillId="0" borderId="3" xfId="0" applyNumberFormat="1" applyFont="1" applyBorder="1" applyAlignment="1">
      <alignment horizontal="center" vertical="center" wrapText="1" shrinkToFit="1"/>
    </xf>
    <xf numFmtId="182" fontId="22" fillId="0" borderId="4" xfId="55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82" fontId="22" fillId="0" borderId="5" xfId="55" applyNumberFormat="1" applyFont="1" applyBorder="1" applyAlignment="1">
      <alignment horizontal="center" vertical="center"/>
    </xf>
  </cellXfs>
  <cellStyles count="56">
    <cellStyle name="常规" xfId="0" builtinId="0"/>
    <cellStyle name="一般_影像退港明細" xfId="1"/>
    <cellStyle name="货币[0]" xfId="2" builtinId="7"/>
    <cellStyle name="20% - 强调文字颜色 3" xfId="3" builtinId="38"/>
    <cellStyle name="输入" xfId="4" builtinId="20"/>
    <cellStyle name="货币" xfId="5" builtinId="4"/>
    <cellStyle name="一般_退港出口報關資料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一般_OMRON海運出口" xfId="33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常规_31108521invoice packing" xfId="48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_Sheet1_1" xfId="54"/>
    <cellStyle name="一般_OMRON" xfId="55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37</xdr:row>
      <xdr:rowOff>0</xdr:rowOff>
    </xdr:from>
    <xdr:to>
      <xdr:col>5</xdr:col>
      <xdr:colOff>304800</xdr:colOff>
      <xdr:row>38</xdr:row>
      <xdr:rowOff>133350</xdr:rowOff>
    </xdr:to>
    <xdr:sp>
      <xdr:nvSpPr>
        <xdr:cNvPr id="2" name="AutoShape 1" descr="C:\Documents and Settings\user\Application Data\Tencent\Users\734046582\QQ\WinTemp\RichOle\IWX[}J6G98_47Y974L6L9.png"/>
        <xdr:cNvSpPr>
          <a:spLocks noChangeAspect="1" noChangeArrowheads="1"/>
        </xdr:cNvSpPr>
      </xdr:nvSpPr>
      <xdr:spPr>
        <a:xfrm>
          <a:off x="6323965" y="7419975"/>
          <a:ext cx="304800" cy="33337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O33"/>
  <sheetViews>
    <sheetView tabSelected="1" workbookViewId="0">
      <selection activeCell="A1" sqref="A1:O1"/>
    </sheetView>
  </sheetViews>
  <sheetFormatPr defaultColWidth="9" defaultRowHeight="22.5"/>
  <cols>
    <col min="1" max="1" width="9" style="162"/>
    <col min="2" max="2" width="15.2166666666667" style="162" customWidth="1"/>
    <col min="3" max="3" width="11.6666666666667" style="162" customWidth="1"/>
    <col min="4" max="4" width="17.4416666666667" style="162" customWidth="1"/>
    <col min="5" max="5" width="10.5583333333333" style="162" customWidth="1"/>
    <col min="6" max="16384" width="9" style="162"/>
  </cols>
  <sheetData>
    <row r="1" ht="23.25" spans="1:15">
      <c r="A1" s="163" t="s">
        <v>0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229"/>
    </row>
    <row r="2" ht="13.5" spans="1:15">
      <c r="A2" s="165" t="s">
        <v>1</v>
      </c>
      <c r="B2" s="166"/>
      <c r="C2" s="96"/>
      <c r="D2" s="75"/>
      <c r="E2" s="165" t="s">
        <v>2</v>
      </c>
      <c r="F2" s="96"/>
      <c r="G2" s="96"/>
      <c r="H2" s="96"/>
      <c r="I2" s="96"/>
      <c r="J2" s="230"/>
      <c r="K2" s="230"/>
      <c r="L2" s="230"/>
      <c r="M2" s="230"/>
      <c r="N2" s="230"/>
      <c r="O2" s="153"/>
    </row>
    <row r="3" ht="19.8" customHeight="1" spans="1:15">
      <c r="A3" s="167" t="s">
        <v>3</v>
      </c>
      <c r="B3" s="168"/>
      <c r="C3" s="168"/>
      <c r="D3" s="169"/>
      <c r="E3" s="79">
        <v>46002</v>
      </c>
      <c r="F3" s="77"/>
      <c r="G3" s="170"/>
      <c r="H3" s="170"/>
      <c r="I3" s="96"/>
      <c r="J3" s="230"/>
      <c r="K3" s="230"/>
      <c r="L3" s="230"/>
      <c r="M3" s="230"/>
      <c r="N3" s="230"/>
      <c r="O3" s="153"/>
    </row>
    <row r="4" ht="13.5" spans="1:15">
      <c r="A4" s="171" t="s">
        <v>4</v>
      </c>
      <c r="B4" s="172"/>
      <c r="C4" s="172"/>
      <c r="D4" s="173"/>
      <c r="E4" s="76">
        <v>32512816</v>
      </c>
      <c r="F4" s="77"/>
      <c r="G4" s="174"/>
      <c r="H4" s="175"/>
      <c r="I4" s="96"/>
      <c r="J4" s="230"/>
      <c r="K4" s="230"/>
      <c r="L4" s="230"/>
      <c r="M4" s="230"/>
      <c r="N4" s="230"/>
      <c r="O4" s="153"/>
    </row>
    <row r="5" ht="13.5" spans="1:15">
      <c r="A5" s="171"/>
      <c r="B5" s="172"/>
      <c r="C5" s="172"/>
      <c r="D5" s="173"/>
      <c r="E5" s="176"/>
      <c r="F5" s="96"/>
      <c r="G5" s="96"/>
      <c r="H5" s="96"/>
      <c r="I5" s="96"/>
      <c r="J5" s="230"/>
      <c r="K5" s="230"/>
      <c r="L5" s="230"/>
      <c r="M5" s="230"/>
      <c r="N5" s="230"/>
      <c r="O5" s="153"/>
    </row>
    <row r="6" ht="16.8" customHeight="1" spans="1:15">
      <c r="A6" s="177" t="s">
        <v>5</v>
      </c>
      <c r="B6" s="178"/>
      <c r="C6" s="178"/>
      <c r="D6" s="179"/>
      <c r="E6" s="180"/>
      <c r="F6" s="181"/>
      <c r="G6" s="181"/>
      <c r="H6" s="181"/>
      <c r="I6" s="181"/>
      <c r="J6" s="231"/>
      <c r="K6" s="231"/>
      <c r="L6" s="231"/>
      <c r="M6" s="231"/>
      <c r="N6" s="231"/>
      <c r="O6" s="232"/>
    </row>
    <row r="7" ht="13.5" spans="1:15">
      <c r="A7" s="182" t="s">
        <v>6</v>
      </c>
      <c r="B7" s="183"/>
      <c r="C7" s="184"/>
      <c r="D7" s="185"/>
      <c r="E7" s="89" t="s">
        <v>7</v>
      </c>
      <c r="F7" s="186"/>
      <c r="G7" s="186"/>
      <c r="H7" s="186"/>
      <c r="I7" s="186"/>
      <c r="J7" s="233"/>
      <c r="K7" s="234"/>
      <c r="L7" s="234"/>
      <c r="M7" s="234"/>
      <c r="N7" s="234"/>
      <c r="O7" s="235"/>
    </row>
    <row r="8" ht="13.5" spans="1:15">
      <c r="A8" s="187" t="s">
        <v>8</v>
      </c>
      <c r="B8" s="188"/>
      <c r="C8" s="188"/>
      <c r="D8" s="189"/>
      <c r="E8" s="190" t="s">
        <v>9</v>
      </c>
      <c r="F8" s="191"/>
      <c r="G8" s="191"/>
      <c r="H8" s="191"/>
      <c r="I8" s="191"/>
      <c r="J8" s="234"/>
      <c r="K8" s="234"/>
      <c r="L8" s="234"/>
      <c r="M8" s="234"/>
      <c r="N8" s="234"/>
      <c r="O8" s="235"/>
    </row>
    <row r="9" ht="30.6" customHeight="1" spans="1:15">
      <c r="A9" s="192" t="s">
        <v>10</v>
      </c>
      <c r="B9" s="193"/>
      <c r="C9" s="193"/>
      <c r="D9" s="194"/>
      <c r="E9" s="195"/>
      <c r="F9" s="196"/>
      <c r="G9" s="196"/>
      <c r="H9" s="196"/>
      <c r="I9" s="196"/>
      <c r="J9" s="236"/>
      <c r="K9" s="236"/>
      <c r="L9" s="236"/>
      <c r="M9" s="236"/>
      <c r="N9" s="236"/>
      <c r="O9" s="237"/>
    </row>
    <row r="10" ht="18.6" customHeight="1" spans="1:15">
      <c r="A10" s="197" t="s">
        <v>11</v>
      </c>
      <c r="B10" s="198"/>
      <c r="C10" s="198"/>
      <c r="D10" s="199"/>
      <c r="E10" s="190"/>
      <c r="F10" s="191"/>
      <c r="G10" s="191"/>
      <c r="H10" s="191"/>
      <c r="I10" s="191"/>
      <c r="J10" s="236"/>
      <c r="K10" s="236"/>
      <c r="L10" s="236"/>
      <c r="M10" s="236"/>
      <c r="N10" s="236"/>
      <c r="O10" s="237"/>
    </row>
    <row r="11" ht="13.5" spans="1:15">
      <c r="A11" s="182" t="s">
        <v>12</v>
      </c>
      <c r="B11" s="184"/>
      <c r="C11" s="184"/>
      <c r="D11" s="185"/>
      <c r="E11" s="182" t="s">
        <v>13</v>
      </c>
      <c r="F11" s="184"/>
      <c r="G11" s="184"/>
      <c r="H11" s="184"/>
      <c r="I11" s="184"/>
      <c r="J11" s="186"/>
      <c r="K11" s="186"/>
      <c r="L11" s="186"/>
      <c r="M11" s="186"/>
      <c r="N11" s="186"/>
      <c r="O11" s="238"/>
    </row>
    <row r="12" ht="19.8" customHeight="1" spans="1:15">
      <c r="A12" s="187" t="s">
        <v>8</v>
      </c>
      <c r="B12" s="188"/>
      <c r="C12" s="188"/>
      <c r="D12" s="189"/>
      <c r="E12" s="200" t="s">
        <v>14</v>
      </c>
      <c r="F12" s="201"/>
      <c r="G12" s="201"/>
      <c r="H12" s="201"/>
      <c r="I12" s="201"/>
      <c r="J12" s="230"/>
      <c r="K12" s="230"/>
      <c r="L12" s="230"/>
      <c r="M12" s="230"/>
      <c r="N12" s="230"/>
      <c r="O12" s="153"/>
    </row>
    <row r="13" ht="28.8" customHeight="1" spans="1:15">
      <c r="A13" s="202" t="s">
        <v>10</v>
      </c>
      <c r="B13" s="203"/>
      <c r="C13" s="203"/>
      <c r="D13" s="204"/>
      <c r="E13" s="180"/>
      <c r="F13" s="181"/>
      <c r="G13" s="181"/>
      <c r="H13" s="181"/>
      <c r="I13" s="239"/>
      <c r="J13" s="230"/>
      <c r="K13" s="230"/>
      <c r="L13" s="230"/>
      <c r="M13" s="230"/>
      <c r="N13" s="230"/>
      <c r="O13" s="232"/>
    </row>
    <row r="14" ht="13.5" spans="1:15">
      <c r="A14" s="182" t="s">
        <v>15</v>
      </c>
      <c r="B14" s="184"/>
      <c r="C14" s="182" t="s">
        <v>16</v>
      </c>
      <c r="D14" s="185"/>
      <c r="E14" s="166" t="s">
        <v>17</v>
      </c>
      <c r="F14" s="74"/>
      <c r="G14" s="74"/>
      <c r="H14" s="74"/>
      <c r="I14" s="96"/>
      <c r="J14" s="240"/>
      <c r="K14" s="240"/>
      <c r="L14" s="240"/>
      <c r="M14" s="240"/>
      <c r="N14" s="240"/>
      <c r="O14" s="153"/>
    </row>
    <row r="15" ht="14.4" customHeight="1" spans="1:15">
      <c r="A15" s="167" t="s">
        <v>18</v>
      </c>
      <c r="B15" s="169"/>
      <c r="C15" s="167" t="s">
        <v>18</v>
      </c>
      <c r="D15" s="169"/>
      <c r="E15" s="205"/>
      <c r="F15" s="96"/>
      <c r="G15" s="96"/>
      <c r="H15" s="96"/>
      <c r="I15" s="96"/>
      <c r="J15" s="230"/>
      <c r="K15" s="230"/>
      <c r="L15" s="230"/>
      <c r="M15" s="230"/>
      <c r="N15" s="230"/>
      <c r="O15" s="153"/>
    </row>
    <row r="16" ht="14.4" customHeight="1" spans="1:15">
      <c r="A16" s="206"/>
      <c r="B16" s="207"/>
      <c r="C16" s="206"/>
      <c r="D16" s="207"/>
      <c r="E16" s="205"/>
      <c r="F16" s="106"/>
      <c r="G16" s="96"/>
      <c r="H16" s="96"/>
      <c r="I16" s="96"/>
      <c r="J16" s="230"/>
      <c r="K16" s="230"/>
      <c r="L16" s="230"/>
      <c r="M16" s="230"/>
      <c r="N16" s="230"/>
      <c r="O16" s="153"/>
    </row>
    <row r="17" ht="13.5" spans="1:15">
      <c r="A17" s="182" t="s">
        <v>19</v>
      </c>
      <c r="B17" s="185"/>
      <c r="C17" s="208" t="s">
        <v>20</v>
      </c>
      <c r="D17" s="209"/>
      <c r="E17" s="205"/>
      <c r="F17" s="106"/>
      <c r="G17" s="96"/>
      <c r="H17" s="96"/>
      <c r="I17" s="96"/>
      <c r="J17" s="230"/>
      <c r="K17" s="230"/>
      <c r="L17" s="230"/>
      <c r="M17" s="230"/>
      <c r="N17" s="230"/>
      <c r="O17" s="153"/>
    </row>
    <row r="18" ht="13.5" spans="1:15">
      <c r="A18" s="206" t="s">
        <v>21</v>
      </c>
      <c r="B18" s="207"/>
      <c r="C18" s="210" t="s">
        <v>22</v>
      </c>
      <c r="D18" s="211"/>
      <c r="E18" s="212" t="s">
        <v>23</v>
      </c>
      <c r="F18" s="213" t="s">
        <v>24</v>
      </c>
      <c r="G18" s="181"/>
      <c r="H18" s="181"/>
      <c r="I18" s="181"/>
      <c r="J18" s="241"/>
      <c r="K18" s="230"/>
      <c r="L18" s="230"/>
      <c r="M18" s="230"/>
      <c r="N18" s="230"/>
      <c r="O18" s="153"/>
    </row>
    <row r="19" ht="24" spans="1:15">
      <c r="A19" s="122" t="s">
        <v>25</v>
      </c>
      <c r="B19" s="122" t="s">
        <v>26</v>
      </c>
      <c r="C19" s="122" t="s">
        <v>27</v>
      </c>
      <c r="D19" s="214" t="s">
        <v>28</v>
      </c>
      <c r="E19" s="122" t="s">
        <v>29</v>
      </c>
      <c r="F19" s="122" t="s">
        <v>30</v>
      </c>
      <c r="G19" s="122" t="s">
        <v>31</v>
      </c>
      <c r="H19" s="122" t="s">
        <v>32</v>
      </c>
      <c r="I19" s="122" t="s">
        <v>33</v>
      </c>
      <c r="J19" s="242" t="s">
        <v>34</v>
      </c>
      <c r="K19" s="242" t="s">
        <v>35</v>
      </c>
      <c r="L19" s="243" t="s">
        <v>36</v>
      </c>
      <c r="M19" s="243" t="s">
        <v>37</v>
      </c>
      <c r="N19" s="243" t="s">
        <v>38</v>
      </c>
      <c r="O19" s="244" t="s">
        <v>39</v>
      </c>
    </row>
    <row r="20" ht="59.4" customHeight="1" spans="1:15">
      <c r="A20" s="215">
        <v>1</v>
      </c>
      <c r="B20" s="215" t="s">
        <v>40</v>
      </c>
      <c r="C20" s="215">
        <v>2251001312</v>
      </c>
      <c r="D20" s="216" t="s">
        <v>41</v>
      </c>
      <c r="E20" s="215">
        <v>3420</v>
      </c>
      <c r="F20" s="217" t="s">
        <v>42</v>
      </c>
      <c r="G20" s="218">
        <v>1.33</v>
      </c>
      <c r="H20" s="125" t="s">
        <v>43</v>
      </c>
      <c r="I20" s="130">
        <f>E20*G20</f>
        <v>4548.6</v>
      </c>
      <c r="J20" s="125" t="s">
        <v>44</v>
      </c>
      <c r="K20" s="245"/>
      <c r="L20" s="246" t="s">
        <v>45</v>
      </c>
      <c r="M20" s="246" t="s">
        <v>45</v>
      </c>
      <c r="N20" s="246" t="s">
        <v>46</v>
      </c>
      <c r="O20" s="247">
        <v>282.72</v>
      </c>
    </row>
    <row r="21" ht="38.25" spans="1:15">
      <c r="A21" s="125">
        <v>2</v>
      </c>
      <c r="B21" s="125" t="s">
        <v>47</v>
      </c>
      <c r="C21" s="125">
        <v>2251000686</v>
      </c>
      <c r="D21" s="125" t="s">
        <v>48</v>
      </c>
      <c r="E21" s="125">
        <v>5100</v>
      </c>
      <c r="F21" s="217" t="s">
        <v>42</v>
      </c>
      <c r="G21" s="219">
        <v>0.292</v>
      </c>
      <c r="H21" s="125" t="s">
        <v>43</v>
      </c>
      <c r="I21" s="130">
        <f t="shared" ref="I21:I27" si="0">E21*G21</f>
        <v>1489.2</v>
      </c>
      <c r="J21" s="125" t="s">
        <v>44</v>
      </c>
      <c r="K21" s="125"/>
      <c r="L21" s="246" t="s">
        <v>45</v>
      </c>
      <c r="M21" s="246" t="s">
        <v>45</v>
      </c>
      <c r="N21" s="246" t="s">
        <v>46</v>
      </c>
      <c r="O21" s="248">
        <v>5.1</v>
      </c>
    </row>
    <row r="22" ht="51" spans="1:15">
      <c r="A22" s="125">
        <v>3</v>
      </c>
      <c r="B22" s="125" t="s">
        <v>49</v>
      </c>
      <c r="C22" s="125">
        <v>2250702536</v>
      </c>
      <c r="D22" s="125" t="s">
        <v>50</v>
      </c>
      <c r="E22" s="125">
        <v>4100</v>
      </c>
      <c r="F22" s="217" t="s">
        <v>42</v>
      </c>
      <c r="G22" s="219">
        <v>0.451</v>
      </c>
      <c r="H22" s="125" t="s">
        <v>43</v>
      </c>
      <c r="I22" s="130">
        <f t="shared" si="0"/>
        <v>1849.1</v>
      </c>
      <c r="J22" s="125" t="s">
        <v>44</v>
      </c>
      <c r="K22" s="125"/>
      <c r="L22" s="246" t="s">
        <v>45</v>
      </c>
      <c r="M22" s="246" t="s">
        <v>45</v>
      </c>
      <c r="N22" s="246" t="s">
        <v>46</v>
      </c>
      <c r="O22" s="248">
        <v>131.2</v>
      </c>
    </row>
    <row r="23" ht="51" spans="1:15">
      <c r="A23" s="215">
        <v>4</v>
      </c>
      <c r="B23" s="125" t="s">
        <v>49</v>
      </c>
      <c r="C23" s="125">
        <v>2250801686</v>
      </c>
      <c r="D23" s="125" t="s">
        <v>50</v>
      </c>
      <c r="E23" s="125">
        <v>7400</v>
      </c>
      <c r="F23" s="217" t="s">
        <v>42</v>
      </c>
      <c r="G23" s="219">
        <v>0.451</v>
      </c>
      <c r="H23" s="125" t="s">
        <v>43</v>
      </c>
      <c r="I23" s="130">
        <f t="shared" si="0"/>
        <v>3337.4</v>
      </c>
      <c r="J23" s="125" t="s">
        <v>44</v>
      </c>
      <c r="K23" s="125"/>
      <c r="L23" s="246" t="s">
        <v>45</v>
      </c>
      <c r="M23" s="246" t="s">
        <v>45</v>
      </c>
      <c r="N23" s="246" t="s">
        <v>46</v>
      </c>
      <c r="O23" s="248">
        <v>236.8</v>
      </c>
    </row>
    <row r="24" ht="51" spans="1:15">
      <c r="A24" s="125">
        <v>5</v>
      </c>
      <c r="B24" s="220" t="s">
        <v>51</v>
      </c>
      <c r="C24" s="220">
        <v>2250903596</v>
      </c>
      <c r="D24" s="125" t="s">
        <v>52</v>
      </c>
      <c r="E24" s="220">
        <v>6120</v>
      </c>
      <c r="F24" s="217" t="s">
        <v>42</v>
      </c>
      <c r="G24" s="219">
        <v>0.55</v>
      </c>
      <c r="H24" s="125" t="s">
        <v>43</v>
      </c>
      <c r="I24" s="130">
        <f t="shared" si="0"/>
        <v>3366</v>
      </c>
      <c r="J24" s="125" t="s">
        <v>44</v>
      </c>
      <c r="K24" s="220"/>
      <c r="L24" s="246" t="s">
        <v>45</v>
      </c>
      <c r="M24" s="246" t="s">
        <v>45</v>
      </c>
      <c r="N24" s="246" t="s">
        <v>46</v>
      </c>
      <c r="O24" s="220">
        <v>350.2</v>
      </c>
    </row>
    <row r="25" ht="51" spans="1:15">
      <c r="A25" s="125">
        <v>6</v>
      </c>
      <c r="B25" s="220" t="s">
        <v>53</v>
      </c>
      <c r="C25" s="220">
        <v>2250903596</v>
      </c>
      <c r="D25" s="125" t="s">
        <v>54</v>
      </c>
      <c r="E25" s="220">
        <v>6120</v>
      </c>
      <c r="F25" s="217" t="s">
        <v>42</v>
      </c>
      <c r="G25" s="219">
        <v>0.63</v>
      </c>
      <c r="H25" s="125" t="s">
        <v>43</v>
      </c>
      <c r="I25" s="130">
        <f t="shared" si="0"/>
        <v>3855.6</v>
      </c>
      <c r="J25" s="125" t="s">
        <v>44</v>
      </c>
      <c r="K25" s="220"/>
      <c r="L25" s="246" t="s">
        <v>45</v>
      </c>
      <c r="M25" s="246" t="s">
        <v>45</v>
      </c>
      <c r="N25" s="246" t="s">
        <v>46</v>
      </c>
      <c r="O25" s="220">
        <v>506.6</v>
      </c>
    </row>
    <row r="26" ht="51" spans="1:15">
      <c r="A26" s="215">
        <v>7</v>
      </c>
      <c r="B26" s="220" t="s">
        <v>55</v>
      </c>
      <c r="C26" s="220">
        <v>2250903596</v>
      </c>
      <c r="D26" s="125" t="s">
        <v>56</v>
      </c>
      <c r="E26" s="220">
        <v>6000</v>
      </c>
      <c r="F26" s="217" t="s">
        <v>42</v>
      </c>
      <c r="G26" s="219">
        <v>0.366</v>
      </c>
      <c r="H26" s="125" t="s">
        <v>43</v>
      </c>
      <c r="I26" s="130">
        <f t="shared" si="0"/>
        <v>2196</v>
      </c>
      <c r="J26" s="125" t="s">
        <v>44</v>
      </c>
      <c r="K26" s="220"/>
      <c r="L26" s="246" t="s">
        <v>45</v>
      </c>
      <c r="M26" s="246" t="s">
        <v>45</v>
      </c>
      <c r="N26" s="246" t="s">
        <v>46</v>
      </c>
      <c r="O26" s="220">
        <v>280.8</v>
      </c>
    </row>
    <row r="27" ht="51" spans="1:15">
      <c r="A27" s="125">
        <v>8</v>
      </c>
      <c r="B27" s="220" t="s">
        <v>57</v>
      </c>
      <c r="C27" s="220">
        <v>2250903596</v>
      </c>
      <c r="D27" s="125" t="s">
        <v>58</v>
      </c>
      <c r="E27" s="220">
        <v>6000</v>
      </c>
      <c r="F27" s="217" t="s">
        <v>42</v>
      </c>
      <c r="G27" s="219">
        <v>0.366</v>
      </c>
      <c r="H27" s="125" t="s">
        <v>43</v>
      </c>
      <c r="I27" s="130">
        <f t="shared" si="0"/>
        <v>2196</v>
      </c>
      <c r="J27" s="125" t="s">
        <v>44</v>
      </c>
      <c r="K27" s="220"/>
      <c r="L27" s="246" t="s">
        <v>45</v>
      </c>
      <c r="M27" s="246" t="s">
        <v>45</v>
      </c>
      <c r="N27" s="246" t="s">
        <v>46</v>
      </c>
      <c r="O27" s="220">
        <v>280.8</v>
      </c>
    </row>
    <row r="28" ht="13.5" spans="1:15">
      <c r="A28" s="221"/>
      <c r="B28" s="222"/>
      <c r="C28" s="222" t="s">
        <v>59</v>
      </c>
      <c r="D28" s="222"/>
      <c r="E28" s="223">
        <f>SUM(E20:E27)</f>
        <v>44260</v>
      </c>
      <c r="F28" s="224"/>
      <c r="G28" s="225"/>
      <c r="H28" s="225"/>
      <c r="I28" s="249">
        <f>SUM(I20:I27)</f>
        <v>22837.9</v>
      </c>
      <c r="J28" s="250"/>
      <c r="K28" s="250"/>
      <c r="L28" s="250"/>
      <c r="M28" s="250"/>
      <c r="N28" s="250"/>
      <c r="O28" s="251">
        <f>SUM(O20:O27)</f>
        <v>2074.22</v>
      </c>
    </row>
    <row r="30" ht="14.25" spans="1:2">
      <c r="A30" s="226" t="s">
        <v>60</v>
      </c>
      <c r="B30" s="226" t="s">
        <v>61</v>
      </c>
    </row>
    <row r="31" ht="17.25" spans="1:2">
      <c r="A31" s="227" t="s">
        <v>62</v>
      </c>
      <c r="B31" s="228"/>
    </row>
    <row r="32" ht="17.25" spans="1:3">
      <c r="A32" s="226" t="s">
        <v>63</v>
      </c>
      <c r="C32" s="226"/>
    </row>
    <row r="33" ht="17.25" spans="1:2">
      <c r="A33" s="227" t="s">
        <v>64</v>
      </c>
      <c r="B33" s="226"/>
    </row>
  </sheetData>
  <mergeCells count="17">
    <mergeCell ref="A1:O1"/>
    <mergeCell ref="A3:D3"/>
    <mergeCell ref="E3:F3"/>
    <mergeCell ref="E4:F4"/>
    <mergeCell ref="A6:D6"/>
    <mergeCell ref="A8:D8"/>
    <mergeCell ref="A9:D9"/>
    <mergeCell ref="E9:I9"/>
    <mergeCell ref="A10:D10"/>
    <mergeCell ref="A12:D12"/>
    <mergeCell ref="A13:D13"/>
    <mergeCell ref="A18:B18"/>
    <mergeCell ref="C18:D18"/>
    <mergeCell ref="C28:D28"/>
    <mergeCell ref="A15:B16"/>
    <mergeCell ref="C15:D16"/>
    <mergeCell ref="A4:D5"/>
  </mergeCells>
  <pageMargins left="0.236220472440945" right="0.236220472440945" top="0.748031496062992" bottom="0.551181102362205" header="0.31496062992126" footer="0.31496062992126"/>
  <pageSetup paperSize="9" scale="6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K35"/>
  <sheetViews>
    <sheetView topLeftCell="A19" workbookViewId="0">
      <selection activeCell="E39" sqref="E39"/>
    </sheetView>
  </sheetViews>
  <sheetFormatPr defaultColWidth="9" defaultRowHeight="13.5"/>
  <cols>
    <col min="2" max="2" width="12.1083333333333" customWidth="1"/>
    <col min="3" max="3" width="13.775" customWidth="1"/>
    <col min="5" max="5" width="16.1083333333333" customWidth="1"/>
    <col min="6" max="7" width="10.1083333333333" customWidth="1"/>
    <col min="8" max="8" width="12" customWidth="1"/>
    <col min="9" max="9" width="11.6666666666667" customWidth="1"/>
    <col min="10" max="10" width="13.6666666666667" customWidth="1"/>
  </cols>
  <sheetData>
    <row r="1" spans="1:10">
      <c r="A1" s="68" t="s">
        <v>65</v>
      </c>
      <c r="B1" s="69"/>
      <c r="C1" s="69"/>
      <c r="D1" s="69"/>
      <c r="E1" s="69"/>
      <c r="F1" s="69"/>
      <c r="G1" s="69"/>
      <c r="H1" s="69"/>
      <c r="I1" s="69"/>
      <c r="J1" s="151"/>
    </row>
    <row r="2" spans="1:10">
      <c r="A2" s="70"/>
      <c r="B2" s="71"/>
      <c r="C2" s="71"/>
      <c r="D2" s="71"/>
      <c r="E2" s="71"/>
      <c r="F2" s="71"/>
      <c r="G2" s="71"/>
      <c r="H2" s="71"/>
      <c r="I2" s="71"/>
      <c r="J2" s="152"/>
    </row>
    <row r="3" spans="1:10">
      <c r="A3" s="72" t="s">
        <v>1</v>
      </c>
      <c r="B3" s="73"/>
      <c r="C3" s="74"/>
      <c r="D3" s="74"/>
      <c r="E3" s="75"/>
      <c r="F3" s="73" t="s">
        <v>66</v>
      </c>
      <c r="G3" s="74"/>
      <c r="H3" s="74"/>
      <c r="I3" s="74"/>
      <c r="J3" s="153"/>
    </row>
    <row r="4" spans="1:10">
      <c r="A4" s="76" t="s">
        <v>3</v>
      </c>
      <c r="B4" s="77"/>
      <c r="C4" s="77"/>
      <c r="D4" s="77"/>
      <c r="E4" s="78"/>
      <c r="F4" s="79">
        <v>46002</v>
      </c>
      <c r="G4" s="77"/>
      <c r="H4" s="74"/>
      <c r="I4" s="74"/>
      <c r="J4" s="153"/>
    </row>
    <row r="5" spans="1:10">
      <c r="A5" s="80" t="s">
        <v>4</v>
      </c>
      <c r="B5" s="81"/>
      <c r="C5" s="81"/>
      <c r="D5" s="81"/>
      <c r="E5" s="82"/>
      <c r="F5" s="76">
        <v>32512816</v>
      </c>
      <c r="G5" s="77"/>
      <c r="H5" s="74"/>
      <c r="I5" s="74"/>
      <c r="J5" s="153"/>
    </row>
    <row r="6" spans="1:10">
      <c r="A6" s="80"/>
      <c r="B6" s="81"/>
      <c r="C6" s="81"/>
      <c r="D6" s="81"/>
      <c r="E6" s="82"/>
      <c r="F6" s="83"/>
      <c r="G6" s="74"/>
      <c r="H6" s="74"/>
      <c r="I6" s="74"/>
      <c r="J6" s="153"/>
    </row>
    <row r="7" spans="1:10">
      <c r="A7" s="84" t="s">
        <v>5</v>
      </c>
      <c r="B7" s="85"/>
      <c r="C7" s="85"/>
      <c r="D7" s="85"/>
      <c r="E7" s="86"/>
      <c r="F7" s="87"/>
      <c r="G7" s="88"/>
      <c r="H7" s="88"/>
      <c r="I7" s="88"/>
      <c r="J7" s="154"/>
    </row>
    <row r="8" spans="1:10">
      <c r="A8" s="89" t="s">
        <v>6</v>
      </c>
      <c r="B8" s="90"/>
      <c r="C8" s="91"/>
      <c r="D8" s="91"/>
      <c r="E8" s="92"/>
      <c r="F8" s="90" t="s">
        <v>67</v>
      </c>
      <c r="G8" s="74"/>
      <c r="H8" s="74"/>
      <c r="I8" s="74"/>
      <c r="J8" s="153"/>
    </row>
    <row r="9" spans="1:10">
      <c r="A9" s="93" t="s">
        <v>8</v>
      </c>
      <c r="B9" s="94"/>
      <c r="C9" s="94"/>
      <c r="D9" s="94"/>
      <c r="E9" s="95"/>
      <c r="F9" s="73"/>
      <c r="G9" s="96"/>
      <c r="H9" s="96"/>
      <c r="I9" s="96"/>
      <c r="J9" s="153"/>
    </row>
    <row r="10" spans="1:10">
      <c r="A10" s="97" t="s">
        <v>10</v>
      </c>
      <c r="B10" s="98"/>
      <c r="C10" s="98"/>
      <c r="D10" s="98"/>
      <c r="E10" s="99"/>
      <c r="F10" s="73"/>
      <c r="G10" s="74"/>
      <c r="H10" s="74"/>
      <c r="I10" s="96"/>
      <c r="J10" s="153"/>
    </row>
    <row r="11" spans="1:10">
      <c r="A11" s="97"/>
      <c r="B11" s="98"/>
      <c r="C11" s="98"/>
      <c r="D11" s="98"/>
      <c r="E11" s="99"/>
      <c r="F11" s="73"/>
      <c r="G11" s="74"/>
      <c r="H11" s="74"/>
      <c r="I11" s="96"/>
      <c r="J11" s="153"/>
    </row>
    <row r="12" spans="1:10">
      <c r="A12" s="100" t="s">
        <v>68</v>
      </c>
      <c r="B12" s="101"/>
      <c r="C12" s="101"/>
      <c r="D12" s="101"/>
      <c r="E12" s="102"/>
      <c r="F12" s="74"/>
      <c r="G12" s="103"/>
      <c r="H12" s="103"/>
      <c r="I12" s="74"/>
      <c r="J12" s="153"/>
    </row>
    <row r="13" ht="16.5" spans="1:10">
      <c r="A13" s="89" t="s">
        <v>12</v>
      </c>
      <c r="B13" s="73"/>
      <c r="C13" s="74"/>
      <c r="D13" s="74"/>
      <c r="E13" s="104"/>
      <c r="F13" s="105"/>
      <c r="G13" s="106"/>
      <c r="H13" s="74"/>
      <c r="I13" s="74"/>
      <c r="J13" s="153"/>
    </row>
    <row r="14" ht="16.5" spans="1:10">
      <c r="A14" s="93" t="s">
        <v>8</v>
      </c>
      <c r="B14" s="94"/>
      <c r="C14" s="94"/>
      <c r="D14" s="94"/>
      <c r="E14" s="95"/>
      <c r="F14" s="105"/>
      <c r="G14" s="106"/>
      <c r="H14" s="74"/>
      <c r="I14" s="74"/>
      <c r="J14" s="153"/>
    </row>
    <row r="15" spans="1:10">
      <c r="A15" s="107" t="s">
        <v>10</v>
      </c>
      <c r="B15" s="108"/>
      <c r="C15" s="108"/>
      <c r="D15" s="108"/>
      <c r="E15" s="109"/>
      <c r="F15" s="74"/>
      <c r="G15" s="74"/>
      <c r="H15" s="74"/>
      <c r="I15" s="74"/>
      <c r="J15" s="153"/>
    </row>
    <row r="16" spans="1:10">
      <c r="A16" s="110"/>
      <c r="B16" s="111"/>
      <c r="C16" s="111"/>
      <c r="D16" s="111"/>
      <c r="E16" s="112"/>
      <c r="F16" s="113"/>
      <c r="G16" s="113"/>
      <c r="H16" s="114"/>
      <c r="I16" s="144"/>
      <c r="J16" s="153"/>
    </row>
    <row r="17" spans="1:10">
      <c r="A17" s="115" t="s">
        <v>69</v>
      </c>
      <c r="B17" s="90"/>
      <c r="C17" s="116"/>
      <c r="D17" s="90" t="s">
        <v>70</v>
      </c>
      <c r="E17" s="117"/>
      <c r="F17" s="113"/>
      <c r="G17" s="113"/>
      <c r="H17" s="118"/>
      <c r="I17" s="74"/>
      <c r="J17" s="153"/>
    </row>
    <row r="18" ht="19.8" customHeight="1" spans="1:10">
      <c r="A18" s="100" t="s">
        <v>18</v>
      </c>
      <c r="B18" s="101"/>
      <c r="C18" s="102"/>
      <c r="D18" s="100" t="s">
        <v>18</v>
      </c>
      <c r="E18" s="102"/>
      <c r="F18" s="113"/>
      <c r="G18" s="113"/>
      <c r="H18" s="118"/>
      <c r="I18" s="74"/>
      <c r="J18" s="153"/>
    </row>
    <row r="19" spans="1:10">
      <c r="A19" s="115" t="s">
        <v>19</v>
      </c>
      <c r="B19" s="73"/>
      <c r="C19" s="75"/>
      <c r="D19" s="90" t="s">
        <v>20</v>
      </c>
      <c r="E19" s="119"/>
      <c r="F19" s="74"/>
      <c r="G19" s="74"/>
      <c r="H19" s="74"/>
      <c r="I19" s="74"/>
      <c r="J19" s="153"/>
    </row>
    <row r="20" ht="20.4" customHeight="1" spans="1:10">
      <c r="A20" s="100" t="s">
        <v>21</v>
      </c>
      <c r="B20" s="101"/>
      <c r="C20" s="102"/>
      <c r="D20" s="120" t="s">
        <v>22</v>
      </c>
      <c r="E20" s="121"/>
      <c r="F20" s="88"/>
      <c r="G20" s="88"/>
      <c r="H20" s="88"/>
      <c r="I20" s="88"/>
      <c r="J20" s="153"/>
    </row>
    <row r="21" ht="22.8" customHeight="1" spans="1:11">
      <c r="A21" s="122" t="s">
        <v>71</v>
      </c>
      <c r="B21" s="122" t="s">
        <v>27</v>
      </c>
      <c r="C21" s="122" t="s">
        <v>26</v>
      </c>
      <c r="D21" s="122" t="s">
        <v>28</v>
      </c>
      <c r="E21" s="122"/>
      <c r="F21" s="123" t="s">
        <v>29</v>
      </c>
      <c r="G21" s="123" t="s">
        <v>30</v>
      </c>
      <c r="H21" s="124" t="s">
        <v>72</v>
      </c>
      <c r="I21" s="124" t="s">
        <v>73</v>
      </c>
      <c r="J21" s="155" t="s">
        <v>74</v>
      </c>
      <c r="K21" s="143"/>
    </row>
    <row r="22" ht="24.6" customHeight="1" spans="1:11">
      <c r="A22" s="122"/>
      <c r="B22" s="122"/>
      <c r="C22" s="122"/>
      <c r="D22" s="122"/>
      <c r="E22" s="122"/>
      <c r="F22" s="123"/>
      <c r="G22" s="123"/>
      <c r="H22" s="124" t="s">
        <v>75</v>
      </c>
      <c r="I22" s="124" t="s">
        <v>75</v>
      </c>
      <c r="J22" s="155"/>
      <c r="K22" s="143" t="s">
        <v>76</v>
      </c>
    </row>
    <row r="23" ht="37.8" customHeight="1" spans="1:11">
      <c r="A23" s="125">
        <v>57</v>
      </c>
      <c r="B23" s="125">
        <v>2251001312</v>
      </c>
      <c r="C23" s="125" t="s">
        <v>40</v>
      </c>
      <c r="D23" s="126" t="s">
        <v>41</v>
      </c>
      <c r="E23" s="127"/>
      <c r="F23" s="128">
        <v>3420</v>
      </c>
      <c r="G23" s="129" t="s">
        <v>42</v>
      </c>
      <c r="H23" s="130">
        <v>282.72</v>
      </c>
      <c r="I23" s="130">
        <f>H23+A23</f>
        <v>339.72</v>
      </c>
      <c r="J23" s="156" t="s">
        <v>77</v>
      </c>
      <c r="K23" s="157">
        <f>1.5*F23</f>
        <v>5130</v>
      </c>
    </row>
    <row r="24" ht="37.8" customHeight="1" spans="1:11">
      <c r="A24" s="125">
        <v>5</v>
      </c>
      <c r="B24" s="125">
        <v>2251000686</v>
      </c>
      <c r="C24" s="125" t="s">
        <v>47</v>
      </c>
      <c r="D24" s="126" t="s">
        <v>48</v>
      </c>
      <c r="E24" s="127"/>
      <c r="F24" s="128">
        <v>5100</v>
      </c>
      <c r="G24" s="129" t="s">
        <v>42</v>
      </c>
      <c r="H24" s="130">
        <v>5.1</v>
      </c>
      <c r="I24" s="130">
        <f t="shared" ref="I24:I30" si="0">H24+A24</f>
        <v>10.1</v>
      </c>
      <c r="J24" s="156" t="s">
        <v>78</v>
      </c>
      <c r="K24" s="157">
        <f>0.09*F24</f>
        <v>459</v>
      </c>
    </row>
    <row r="25" ht="37.8" customHeight="1" spans="1:11">
      <c r="A25" s="125">
        <v>8</v>
      </c>
      <c r="B25" s="125">
        <v>2250702536</v>
      </c>
      <c r="C25" s="125" t="s">
        <v>49</v>
      </c>
      <c r="D25" s="131" t="s">
        <v>50</v>
      </c>
      <c r="E25" s="132"/>
      <c r="F25" s="128">
        <v>4100</v>
      </c>
      <c r="G25" s="129" t="s">
        <v>42</v>
      </c>
      <c r="H25" s="130">
        <v>131.2</v>
      </c>
      <c r="I25" s="130">
        <f t="shared" si="0"/>
        <v>139.2</v>
      </c>
      <c r="J25" s="156" t="s">
        <v>78</v>
      </c>
      <c r="K25" s="157">
        <f>1.5*F25</f>
        <v>6150</v>
      </c>
    </row>
    <row r="26" ht="37.8" customHeight="1" spans="1:11">
      <c r="A26" s="125">
        <v>15</v>
      </c>
      <c r="B26" s="125">
        <v>2250801686</v>
      </c>
      <c r="C26" s="125" t="s">
        <v>49</v>
      </c>
      <c r="D26" s="131" t="s">
        <v>50</v>
      </c>
      <c r="E26" s="133"/>
      <c r="F26" s="128">
        <v>7400</v>
      </c>
      <c r="G26" s="129" t="s">
        <v>42</v>
      </c>
      <c r="H26" s="130">
        <v>236.8</v>
      </c>
      <c r="I26" s="130">
        <f t="shared" si="0"/>
        <v>251.8</v>
      </c>
      <c r="J26" s="156" t="s">
        <v>78</v>
      </c>
      <c r="K26" s="157">
        <f>1.5*F26</f>
        <v>11100</v>
      </c>
    </row>
    <row r="27" ht="42.6" customHeight="1" spans="1:11">
      <c r="A27" s="125">
        <v>34</v>
      </c>
      <c r="B27" s="134">
        <v>2250903596</v>
      </c>
      <c r="C27" s="135" t="s">
        <v>51</v>
      </c>
      <c r="D27" s="136" t="s">
        <v>52</v>
      </c>
      <c r="E27" s="137"/>
      <c r="F27" s="128">
        <v>6120</v>
      </c>
      <c r="G27" s="129" t="s">
        <v>42</v>
      </c>
      <c r="H27" s="138">
        <v>350.2</v>
      </c>
      <c r="I27" s="130">
        <f t="shared" si="0"/>
        <v>384.2</v>
      </c>
      <c r="J27" s="156" t="s">
        <v>79</v>
      </c>
      <c r="K27" s="157">
        <f>3*F27</f>
        <v>18360</v>
      </c>
    </row>
    <row r="28" ht="42.6" customHeight="1" spans="1:11">
      <c r="A28" s="125">
        <v>34</v>
      </c>
      <c r="B28" s="134">
        <v>2250903596</v>
      </c>
      <c r="C28" s="135" t="s">
        <v>53</v>
      </c>
      <c r="D28" s="136" t="s">
        <v>54</v>
      </c>
      <c r="E28" s="137"/>
      <c r="F28" s="128">
        <v>6120</v>
      </c>
      <c r="G28" s="129" t="s">
        <v>42</v>
      </c>
      <c r="H28" s="138">
        <v>506.6</v>
      </c>
      <c r="I28" s="130">
        <f t="shared" si="0"/>
        <v>540.6</v>
      </c>
      <c r="J28" s="156" t="s">
        <v>79</v>
      </c>
      <c r="K28" s="157">
        <f>4.5*F28</f>
        <v>27540</v>
      </c>
    </row>
    <row r="29" ht="42.6" customHeight="1" spans="1:11">
      <c r="A29" s="125">
        <v>24</v>
      </c>
      <c r="B29" s="134">
        <v>2250903596</v>
      </c>
      <c r="C29" s="135" t="s">
        <v>55</v>
      </c>
      <c r="D29" s="136" t="s">
        <v>56</v>
      </c>
      <c r="E29" s="137"/>
      <c r="F29" s="128">
        <v>6000</v>
      </c>
      <c r="G29" s="129" t="s">
        <v>42</v>
      </c>
      <c r="H29" s="138">
        <v>280.8</v>
      </c>
      <c r="I29" s="130">
        <f t="shared" si="0"/>
        <v>304.8</v>
      </c>
      <c r="J29" s="156" t="s">
        <v>77</v>
      </c>
      <c r="K29" s="157">
        <f>3*F29</f>
        <v>18000</v>
      </c>
    </row>
    <row r="30" ht="37.8" customHeight="1" spans="1:11">
      <c r="A30" s="125">
        <v>24</v>
      </c>
      <c r="B30" s="125">
        <v>2250903596</v>
      </c>
      <c r="C30" s="125" t="s">
        <v>57</v>
      </c>
      <c r="D30" s="126" t="s">
        <v>58</v>
      </c>
      <c r="E30" s="127"/>
      <c r="F30" s="128">
        <v>6000</v>
      </c>
      <c r="G30" s="129" t="s">
        <v>42</v>
      </c>
      <c r="H30" s="130">
        <v>280.8</v>
      </c>
      <c r="I30" s="130">
        <f t="shared" si="0"/>
        <v>304.8</v>
      </c>
      <c r="J30" s="156" t="s">
        <v>77</v>
      </c>
      <c r="K30" s="157">
        <f t="shared" ref="K30" si="1">3*F30</f>
        <v>18000</v>
      </c>
    </row>
    <row r="31" spans="1:11">
      <c r="A31" s="139">
        <f>SUM(A23:A30)</f>
        <v>201</v>
      </c>
      <c r="B31" s="74"/>
      <c r="C31" s="73"/>
      <c r="D31" s="140"/>
      <c r="E31" s="141" t="s">
        <v>80</v>
      </c>
      <c r="F31" s="139">
        <f>SUM(F23:F30)</f>
        <v>44260</v>
      </c>
      <c r="G31" s="141"/>
      <c r="H31" s="139">
        <f>SUM(H23:H30)</f>
        <v>2074.22</v>
      </c>
      <c r="I31" s="139">
        <f>SUM(I23:I30)</f>
        <v>2275.22</v>
      </c>
      <c r="J31" s="158" t="s">
        <v>81</v>
      </c>
      <c r="K31" s="143"/>
    </row>
    <row r="32" spans="1:11">
      <c r="A32" s="142"/>
      <c r="B32" s="143"/>
      <c r="C32" s="143"/>
      <c r="D32" s="143"/>
      <c r="E32" s="144" t="s">
        <v>82</v>
      </c>
      <c r="F32" s="145">
        <f>A31</f>
        <v>201</v>
      </c>
      <c r="G32" s="143"/>
      <c r="H32" s="143"/>
      <c r="I32" s="143"/>
      <c r="J32" s="159"/>
      <c r="K32" s="143"/>
    </row>
    <row r="33" spans="1:11">
      <c r="A33" s="142"/>
      <c r="B33" s="143"/>
      <c r="C33" s="143"/>
      <c r="D33" s="143"/>
      <c r="E33" s="144" t="s">
        <v>83</v>
      </c>
      <c r="F33" s="94" t="s">
        <v>84</v>
      </c>
      <c r="G33" s="143"/>
      <c r="H33" s="143"/>
      <c r="I33" s="143"/>
      <c r="J33" s="159"/>
      <c r="K33" s="143"/>
    </row>
    <row r="34" spans="1:10">
      <c r="A34" s="146"/>
      <c r="E34" s="147"/>
      <c r="F34" s="148"/>
      <c r="J34" s="160"/>
    </row>
    <row r="35" spans="1:10">
      <c r="A35" s="149"/>
      <c r="B35" s="150"/>
      <c r="C35" s="150"/>
      <c r="D35" s="150"/>
      <c r="E35" s="150"/>
      <c r="F35" s="150"/>
      <c r="G35" s="150"/>
      <c r="H35" s="150"/>
      <c r="I35" s="150"/>
      <c r="J35" s="161"/>
    </row>
  </sheetData>
  <mergeCells count="33">
    <mergeCell ref="A4:E4"/>
    <mergeCell ref="F4:G4"/>
    <mergeCell ref="F5:G5"/>
    <mergeCell ref="A7:E7"/>
    <mergeCell ref="A9:E9"/>
    <mergeCell ref="A12:E12"/>
    <mergeCell ref="A14:E14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A21:A22"/>
    <mergeCell ref="B21:B22"/>
    <mergeCell ref="C21:C22"/>
    <mergeCell ref="F21:F22"/>
    <mergeCell ref="G21:G22"/>
    <mergeCell ref="J21:J22"/>
    <mergeCell ref="A1:J2"/>
    <mergeCell ref="A5:E6"/>
    <mergeCell ref="A10:E11"/>
    <mergeCell ref="A15:E16"/>
    <mergeCell ref="D21:E22"/>
  </mergeCells>
  <pageMargins left="0.25" right="0.25" top="0.75" bottom="0.75" header="0.3" footer="0.3"/>
  <pageSetup paperSize="9" scale="7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55"/>
  <sheetViews>
    <sheetView topLeftCell="A7" workbookViewId="0">
      <selection activeCell="J32" sqref="J32"/>
    </sheetView>
  </sheetViews>
  <sheetFormatPr defaultColWidth="9" defaultRowHeight="14.25"/>
  <cols>
    <col min="1" max="1" width="17.2166666666667" style="2" customWidth="1"/>
    <col min="2" max="2" width="25.6666666666667" style="2" customWidth="1"/>
    <col min="3" max="3" width="6.33333333333333" style="2" customWidth="1"/>
    <col min="4" max="4" width="14.1083333333333" style="2" customWidth="1"/>
    <col min="5" max="5" width="19.6666666666667" style="2" customWidth="1"/>
    <col min="6" max="6" width="16.5583333333333" style="3" customWidth="1"/>
    <col min="7" max="7" width="4.88333333333333" style="2" customWidth="1"/>
    <col min="8" max="8" width="34" style="4" customWidth="1"/>
    <col min="9" max="9" width="15" style="4" customWidth="1"/>
    <col min="10" max="196" width="9" style="2"/>
    <col min="197" max="197" width="19.1083333333333" style="2" customWidth="1"/>
    <col min="198" max="198" width="25.8833333333333" style="2" customWidth="1"/>
    <col min="199" max="199" width="5.66666666666667" style="2" customWidth="1"/>
    <col min="200" max="200" width="11.1083333333333" style="2" customWidth="1"/>
    <col min="201" max="201" width="20.6666666666667" style="2" customWidth="1"/>
    <col min="202" max="202" width="16.8833333333333" style="2" customWidth="1"/>
    <col min="203" max="452" width="9" style="2"/>
    <col min="453" max="453" width="19.1083333333333" style="2" customWidth="1"/>
    <col min="454" max="454" width="25.8833333333333" style="2" customWidth="1"/>
    <col min="455" max="455" width="5.66666666666667" style="2" customWidth="1"/>
    <col min="456" max="456" width="11.1083333333333" style="2" customWidth="1"/>
    <col min="457" max="457" width="20.6666666666667" style="2" customWidth="1"/>
    <col min="458" max="458" width="16.8833333333333" style="2" customWidth="1"/>
    <col min="459" max="708" width="9" style="2"/>
    <col min="709" max="709" width="19.1083333333333" style="2" customWidth="1"/>
    <col min="710" max="710" width="25.8833333333333" style="2" customWidth="1"/>
    <col min="711" max="711" width="5.66666666666667" style="2" customWidth="1"/>
    <col min="712" max="712" width="11.1083333333333" style="2" customWidth="1"/>
    <col min="713" max="713" width="20.6666666666667" style="2" customWidth="1"/>
    <col min="714" max="714" width="16.8833333333333" style="2" customWidth="1"/>
    <col min="715" max="964" width="9" style="2"/>
    <col min="965" max="965" width="19.1083333333333" style="2" customWidth="1"/>
    <col min="966" max="966" width="25.8833333333333" style="2" customWidth="1"/>
    <col min="967" max="967" width="5.66666666666667" style="2" customWidth="1"/>
    <col min="968" max="968" width="11.1083333333333" style="2" customWidth="1"/>
    <col min="969" max="969" width="20.6666666666667" style="2" customWidth="1"/>
    <col min="970" max="970" width="16.8833333333333" style="2" customWidth="1"/>
    <col min="971" max="1220" width="9" style="2"/>
    <col min="1221" max="1221" width="19.1083333333333" style="2" customWidth="1"/>
    <col min="1222" max="1222" width="25.8833333333333" style="2" customWidth="1"/>
    <col min="1223" max="1223" width="5.66666666666667" style="2" customWidth="1"/>
    <col min="1224" max="1224" width="11.1083333333333" style="2" customWidth="1"/>
    <col min="1225" max="1225" width="20.6666666666667" style="2" customWidth="1"/>
    <col min="1226" max="1226" width="16.8833333333333" style="2" customWidth="1"/>
    <col min="1227" max="1476" width="9" style="2"/>
    <col min="1477" max="1477" width="19.1083333333333" style="2" customWidth="1"/>
    <col min="1478" max="1478" width="25.8833333333333" style="2" customWidth="1"/>
    <col min="1479" max="1479" width="5.66666666666667" style="2" customWidth="1"/>
    <col min="1480" max="1480" width="11.1083333333333" style="2" customWidth="1"/>
    <col min="1481" max="1481" width="20.6666666666667" style="2" customWidth="1"/>
    <col min="1482" max="1482" width="16.8833333333333" style="2" customWidth="1"/>
    <col min="1483" max="1732" width="9" style="2"/>
    <col min="1733" max="1733" width="19.1083333333333" style="2" customWidth="1"/>
    <col min="1734" max="1734" width="25.8833333333333" style="2" customWidth="1"/>
    <col min="1735" max="1735" width="5.66666666666667" style="2" customWidth="1"/>
    <col min="1736" max="1736" width="11.1083333333333" style="2" customWidth="1"/>
    <col min="1737" max="1737" width="20.6666666666667" style="2" customWidth="1"/>
    <col min="1738" max="1738" width="16.8833333333333" style="2" customWidth="1"/>
    <col min="1739" max="1988" width="9" style="2"/>
    <col min="1989" max="1989" width="19.1083333333333" style="2" customWidth="1"/>
    <col min="1990" max="1990" width="25.8833333333333" style="2" customWidth="1"/>
    <col min="1991" max="1991" width="5.66666666666667" style="2" customWidth="1"/>
    <col min="1992" max="1992" width="11.1083333333333" style="2" customWidth="1"/>
    <col min="1993" max="1993" width="20.6666666666667" style="2" customWidth="1"/>
    <col min="1994" max="1994" width="16.8833333333333" style="2" customWidth="1"/>
    <col min="1995" max="2244" width="9" style="2"/>
    <col min="2245" max="2245" width="19.1083333333333" style="2" customWidth="1"/>
    <col min="2246" max="2246" width="25.8833333333333" style="2" customWidth="1"/>
    <col min="2247" max="2247" width="5.66666666666667" style="2" customWidth="1"/>
    <col min="2248" max="2248" width="11.1083333333333" style="2" customWidth="1"/>
    <col min="2249" max="2249" width="20.6666666666667" style="2" customWidth="1"/>
    <col min="2250" max="2250" width="16.8833333333333" style="2" customWidth="1"/>
    <col min="2251" max="2500" width="9" style="2"/>
    <col min="2501" max="2501" width="19.1083333333333" style="2" customWidth="1"/>
    <col min="2502" max="2502" width="25.8833333333333" style="2" customWidth="1"/>
    <col min="2503" max="2503" width="5.66666666666667" style="2" customWidth="1"/>
    <col min="2504" max="2504" width="11.1083333333333" style="2" customWidth="1"/>
    <col min="2505" max="2505" width="20.6666666666667" style="2" customWidth="1"/>
    <col min="2506" max="2506" width="16.8833333333333" style="2" customWidth="1"/>
    <col min="2507" max="2756" width="9" style="2"/>
    <col min="2757" max="2757" width="19.1083333333333" style="2" customWidth="1"/>
    <col min="2758" max="2758" width="25.8833333333333" style="2" customWidth="1"/>
    <col min="2759" max="2759" width="5.66666666666667" style="2" customWidth="1"/>
    <col min="2760" max="2760" width="11.1083333333333" style="2" customWidth="1"/>
    <col min="2761" max="2761" width="20.6666666666667" style="2" customWidth="1"/>
    <col min="2762" max="2762" width="16.8833333333333" style="2" customWidth="1"/>
    <col min="2763" max="3012" width="9" style="2"/>
    <col min="3013" max="3013" width="19.1083333333333" style="2" customWidth="1"/>
    <col min="3014" max="3014" width="25.8833333333333" style="2" customWidth="1"/>
    <col min="3015" max="3015" width="5.66666666666667" style="2" customWidth="1"/>
    <col min="3016" max="3016" width="11.1083333333333" style="2" customWidth="1"/>
    <col min="3017" max="3017" width="20.6666666666667" style="2" customWidth="1"/>
    <col min="3018" max="3018" width="16.8833333333333" style="2" customWidth="1"/>
    <col min="3019" max="3268" width="9" style="2"/>
    <col min="3269" max="3269" width="19.1083333333333" style="2" customWidth="1"/>
    <col min="3270" max="3270" width="25.8833333333333" style="2" customWidth="1"/>
    <col min="3271" max="3271" width="5.66666666666667" style="2" customWidth="1"/>
    <col min="3272" max="3272" width="11.1083333333333" style="2" customWidth="1"/>
    <col min="3273" max="3273" width="20.6666666666667" style="2" customWidth="1"/>
    <col min="3274" max="3274" width="16.8833333333333" style="2" customWidth="1"/>
    <col min="3275" max="3524" width="9" style="2"/>
    <col min="3525" max="3525" width="19.1083333333333" style="2" customWidth="1"/>
    <col min="3526" max="3526" width="25.8833333333333" style="2" customWidth="1"/>
    <col min="3527" max="3527" width="5.66666666666667" style="2" customWidth="1"/>
    <col min="3528" max="3528" width="11.1083333333333" style="2" customWidth="1"/>
    <col min="3529" max="3529" width="20.6666666666667" style="2" customWidth="1"/>
    <col min="3530" max="3530" width="16.8833333333333" style="2" customWidth="1"/>
    <col min="3531" max="3780" width="9" style="2"/>
    <col min="3781" max="3781" width="19.1083333333333" style="2" customWidth="1"/>
    <col min="3782" max="3782" width="25.8833333333333" style="2" customWidth="1"/>
    <col min="3783" max="3783" width="5.66666666666667" style="2" customWidth="1"/>
    <col min="3784" max="3784" width="11.1083333333333" style="2" customWidth="1"/>
    <col min="3785" max="3785" width="20.6666666666667" style="2" customWidth="1"/>
    <col min="3786" max="3786" width="16.8833333333333" style="2" customWidth="1"/>
    <col min="3787" max="4036" width="9" style="2"/>
    <col min="4037" max="4037" width="19.1083333333333" style="2" customWidth="1"/>
    <col min="4038" max="4038" width="25.8833333333333" style="2" customWidth="1"/>
    <col min="4039" max="4039" width="5.66666666666667" style="2" customWidth="1"/>
    <col min="4040" max="4040" width="11.1083333333333" style="2" customWidth="1"/>
    <col min="4041" max="4041" width="20.6666666666667" style="2" customWidth="1"/>
    <col min="4042" max="4042" width="16.8833333333333" style="2" customWidth="1"/>
    <col min="4043" max="4292" width="9" style="2"/>
    <col min="4293" max="4293" width="19.1083333333333" style="2" customWidth="1"/>
    <col min="4294" max="4294" width="25.8833333333333" style="2" customWidth="1"/>
    <col min="4295" max="4295" width="5.66666666666667" style="2" customWidth="1"/>
    <col min="4296" max="4296" width="11.1083333333333" style="2" customWidth="1"/>
    <col min="4297" max="4297" width="20.6666666666667" style="2" customWidth="1"/>
    <col min="4298" max="4298" width="16.8833333333333" style="2" customWidth="1"/>
    <col min="4299" max="4548" width="9" style="2"/>
    <col min="4549" max="4549" width="19.1083333333333" style="2" customWidth="1"/>
    <col min="4550" max="4550" width="25.8833333333333" style="2" customWidth="1"/>
    <col min="4551" max="4551" width="5.66666666666667" style="2" customWidth="1"/>
    <col min="4552" max="4552" width="11.1083333333333" style="2" customWidth="1"/>
    <col min="4553" max="4553" width="20.6666666666667" style="2" customWidth="1"/>
    <col min="4554" max="4554" width="16.8833333333333" style="2" customWidth="1"/>
    <col min="4555" max="4804" width="9" style="2"/>
    <col min="4805" max="4805" width="19.1083333333333" style="2" customWidth="1"/>
    <col min="4806" max="4806" width="25.8833333333333" style="2" customWidth="1"/>
    <col min="4807" max="4807" width="5.66666666666667" style="2" customWidth="1"/>
    <col min="4808" max="4808" width="11.1083333333333" style="2" customWidth="1"/>
    <col min="4809" max="4809" width="20.6666666666667" style="2" customWidth="1"/>
    <col min="4810" max="4810" width="16.8833333333333" style="2" customWidth="1"/>
    <col min="4811" max="5060" width="9" style="2"/>
    <col min="5061" max="5061" width="19.1083333333333" style="2" customWidth="1"/>
    <col min="5062" max="5062" width="25.8833333333333" style="2" customWidth="1"/>
    <col min="5063" max="5063" width="5.66666666666667" style="2" customWidth="1"/>
    <col min="5064" max="5064" width="11.1083333333333" style="2" customWidth="1"/>
    <col min="5065" max="5065" width="20.6666666666667" style="2" customWidth="1"/>
    <col min="5066" max="5066" width="16.8833333333333" style="2" customWidth="1"/>
    <col min="5067" max="5316" width="9" style="2"/>
    <col min="5317" max="5317" width="19.1083333333333" style="2" customWidth="1"/>
    <col min="5318" max="5318" width="25.8833333333333" style="2" customWidth="1"/>
    <col min="5319" max="5319" width="5.66666666666667" style="2" customWidth="1"/>
    <col min="5320" max="5320" width="11.1083333333333" style="2" customWidth="1"/>
    <col min="5321" max="5321" width="20.6666666666667" style="2" customWidth="1"/>
    <col min="5322" max="5322" width="16.8833333333333" style="2" customWidth="1"/>
    <col min="5323" max="5572" width="9" style="2"/>
    <col min="5573" max="5573" width="19.1083333333333" style="2" customWidth="1"/>
    <col min="5574" max="5574" width="25.8833333333333" style="2" customWidth="1"/>
    <col min="5575" max="5575" width="5.66666666666667" style="2" customWidth="1"/>
    <col min="5576" max="5576" width="11.1083333333333" style="2" customWidth="1"/>
    <col min="5577" max="5577" width="20.6666666666667" style="2" customWidth="1"/>
    <col min="5578" max="5578" width="16.8833333333333" style="2" customWidth="1"/>
    <col min="5579" max="5828" width="9" style="2"/>
    <col min="5829" max="5829" width="19.1083333333333" style="2" customWidth="1"/>
    <col min="5830" max="5830" width="25.8833333333333" style="2" customWidth="1"/>
    <col min="5831" max="5831" width="5.66666666666667" style="2" customWidth="1"/>
    <col min="5832" max="5832" width="11.1083333333333" style="2" customWidth="1"/>
    <col min="5833" max="5833" width="20.6666666666667" style="2" customWidth="1"/>
    <col min="5834" max="5834" width="16.8833333333333" style="2" customWidth="1"/>
    <col min="5835" max="6084" width="9" style="2"/>
    <col min="6085" max="6085" width="19.1083333333333" style="2" customWidth="1"/>
    <col min="6086" max="6086" width="25.8833333333333" style="2" customWidth="1"/>
    <col min="6087" max="6087" width="5.66666666666667" style="2" customWidth="1"/>
    <col min="6088" max="6088" width="11.1083333333333" style="2" customWidth="1"/>
    <col min="6089" max="6089" width="20.6666666666667" style="2" customWidth="1"/>
    <col min="6090" max="6090" width="16.8833333333333" style="2" customWidth="1"/>
    <col min="6091" max="6340" width="9" style="2"/>
    <col min="6341" max="6341" width="19.1083333333333" style="2" customWidth="1"/>
    <col min="6342" max="6342" width="25.8833333333333" style="2" customWidth="1"/>
    <col min="6343" max="6343" width="5.66666666666667" style="2" customWidth="1"/>
    <col min="6344" max="6344" width="11.1083333333333" style="2" customWidth="1"/>
    <col min="6345" max="6345" width="20.6666666666667" style="2" customWidth="1"/>
    <col min="6346" max="6346" width="16.8833333333333" style="2" customWidth="1"/>
    <col min="6347" max="6596" width="9" style="2"/>
    <col min="6597" max="6597" width="19.1083333333333" style="2" customWidth="1"/>
    <col min="6598" max="6598" width="25.8833333333333" style="2" customWidth="1"/>
    <col min="6599" max="6599" width="5.66666666666667" style="2" customWidth="1"/>
    <col min="6600" max="6600" width="11.1083333333333" style="2" customWidth="1"/>
    <col min="6601" max="6601" width="20.6666666666667" style="2" customWidth="1"/>
    <col min="6602" max="6602" width="16.8833333333333" style="2" customWidth="1"/>
    <col min="6603" max="6852" width="9" style="2"/>
    <col min="6853" max="6853" width="19.1083333333333" style="2" customWidth="1"/>
    <col min="6854" max="6854" width="25.8833333333333" style="2" customWidth="1"/>
    <col min="6855" max="6855" width="5.66666666666667" style="2" customWidth="1"/>
    <col min="6856" max="6856" width="11.1083333333333" style="2" customWidth="1"/>
    <col min="6857" max="6857" width="20.6666666666667" style="2" customWidth="1"/>
    <col min="6858" max="6858" width="16.8833333333333" style="2" customWidth="1"/>
    <col min="6859" max="7108" width="9" style="2"/>
    <col min="7109" max="7109" width="19.1083333333333" style="2" customWidth="1"/>
    <col min="7110" max="7110" width="25.8833333333333" style="2" customWidth="1"/>
    <col min="7111" max="7111" width="5.66666666666667" style="2" customWidth="1"/>
    <col min="7112" max="7112" width="11.1083333333333" style="2" customWidth="1"/>
    <col min="7113" max="7113" width="20.6666666666667" style="2" customWidth="1"/>
    <col min="7114" max="7114" width="16.8833333333333" style="2" customWidth="1"/>
    <col min="7115" max="7364" width="9" style="2"/>
    <col min="7365" max="7365" width="19.1083333333333" style="2" customWidth="1"/>
    <col min="7366" max="7366" width="25.8833333333333" style="2" customWidth="1"/>
    <col min="7367" max="7367" width="5.66666666666667" style="2" customWidth="1"/>
    <col min="7368" max="7368" width="11.1083333333333" style="2" customWidth="1"/>
    <col min="7369" max="7369" width="20.6666666666667" style="2" customWidth="1"/>
    <col min="7370" max="7370" width="16.8833333333333" style="2" customWidth="1"/>
    <col min="7371" max="7620" width="9" style="2"/>
    <col min="7621" max="7621" width="19.1083333333333" style="2" customWidth="1"/>
    <col min="7622" max="7622" width="25.8833333333333" style="2" customWidth="1"/>
    <col min="7623" max="7623" width="5.66666666666667" style="2" customWidth="1"/>
    <col min="7624" max="7624" width="11.1083333333333" style="2" customWidth="1"/>
    <col min="7625" max="7625" width="20.6666666666667" style="2" customWidth="1"/>
    <col min="7626" max="7626" width="16.8833333333333" style="2" customWidth="1"/>
    <col min="7627" max="7876" width="9" style="2"/>
    <col min="7877" max="7877" width="19.1083333333333" style="2" customWidth="1"/>
    <col min="7878" max="7878" width="25.8833333333333" style="2" customWidth="1"/>
    <col min="7879" max="7879" width="5.66666666666667" style="2" customWidth="1"/>
    <col min="7880" max="7880" width="11.1083333333333" style="2" customWidth="1"/>
    <col min="7881" max="7881" width="20.6666666666667" style="2" customWidth="1"/>
    <col min="7882" max="7882" width="16.8833333333333" style="2" customWidth="1"/>
    <col min="7883" max="8132" width="9" style="2"/>
    <col min="8133" max="8133" width="19.1083333333333" style="2" customWidth="1"/>
    <col min="8134" max="8134" width="25.8833333333333" style="2" customWidth="1"/>
    <col min="8135" max="8135" width="5.66666666666667" style="2" customWidth="1"/>
    <col min="8136" max="8136" width="11.1083333333333" style="2" customWidth="1"/>
    <col min="8137" max="8137" width="20.6666666666667" style="2" customWidth="1"/>
    <col min="8138" max="8138" width="16.8833333333333" style="2" customWidth="1"/>
    <col min="8139" max="8388" width="9" style="2"/>
    <col min="8389" max="8389" width="19.1083333333333" style="2" customWidth="1"/>
    <col min="8390" max="8390" width="25.8833333333333" style="2" customWidth="1"/>
    <col min="8391" max="8391" width="5.66666666666667" style="2" customWidth="1"/>
    <col min="8392" max="8392" width="11.1083333333333" style="2" customWidth="1"/>
    <col min="8393" max="8393" width="20.6666666666667" style="2" customWidth="1"/>
    <col min="8394" max="8394" width="16.8833333333333" style="2" customWidth="1"/>
    <col min="8395" max="8644" width="9" style="2"/>
    <col min="8645" max="8645" width="19.1083333333333" style="2" customWidth="1"/>
    <col min="8646" max="8646" width="25.8833333333333" style="2" customWidth="1"/>
    <col min="8647" max="8647" width="5.66666666666667" style="2" customWidth="1"/>
    <col min="8648" max="8648" width="11.1083333333333" style="2" customWidth="1"/>
    <col min="8649" max="8649" width="20.6666666666667" style="2" customWidth="1"/>
    <col min="8650" max="8650" width="16.8833333333333" style="2" customWidth="1"/>
    <col min="8651" max="8900" width="9" style="2"/>
    <col min="8901" max="8901" width="19.1083333333333" style="2" customWidth="1"/>
    <col min="8902" max="8902" width="25.8833333333333" style="2" customWidth="1"/>
    <col min="8903" max="8903" width="5.66666666666667" style="2" customWidth="1"/>
    <col min="8904" max="8904" width="11.1083333333333" style="2" customWidth="1"/>
    <col min="8905" max="8905" width="20.6666666666667" style="2" customWidth="1"/>
    <col min="8906" max="8906" width="16.8833333333333" style="2" customWidth="1"/>
    <col min="8907" max="9156" width="9" style="2"/>
    <col min="9157" max="9157" width="19.1083333333333" style="2" customWidth="1"/>
    <col min="9158" max="9158" width="25.8833333333333" style="2" customWidth="1"/>
    <col min="9159" max="9159" width="5.66666666666667" style="2" customWidth="1"/>
    <col min="9160" max="9160" width="11.1083333333333" style="2" customWidth="1"/>
    <col min="9161" max="9161" width="20.6666666666667" style="2" customWidth="1"/>
    <col min="9162" max="9162" width="16.8833333333333" style="2" customWidth="1"/>
    <col min="9163" max="9412" width="9" style="2"/>
    <col min="9413" max="9413" width="19.1083333333333" style="2" customWidth="1"/>
    <col min="9414" max="9414" width="25.8833333333333" style="2" customWidth="1"/>
    <col min="9415" max="9415" width="5.66666666666667" style="2" customWidth="1"/>
    <col min="9416" max="9416" width="11.1083333333333" style="2" customWidth="1"/>
    <col min="9417" max="9417" width="20.6666666666667" style="2" customWidth="1"/>
    <col min="9418" max="9418" width="16.8833333333333" style="2" customWidth="1"/>
    <col min="9419" max="9668" width="9" style="2"/>
    <col min="9669" max="9669" width="19.1083333333333" style="2" customWidth="1"/>
    <col min="9670" max="9670" width="25.8833333333333" style="2" customWidth="1"/>
    <col min="9671" max="9671" width="5.66666666666667" style="2" customWidth="1"/>
    <col min="9672" max="9672" width="11.1083333333333" style="2" customWidth="1"/>
    <col min="9673" max="9673" width="20.6666666666667" style="2" customWidth="1"/>
    <col min="9674" max="9674" width="16.8833333333333" style="2" customWidth="1"/>
    <col min="9675" max="9924" width="9" style="2"/>
    <col min="9925" max="9925" width="19.1083333333333" style="2" customWidth="1"/>
    <col min="9926" max="9926" width="25.8833333333333" style="2" customWidth="1"/>
    <col min="9927" max="9927" width="5.66666666666667" style="2" customWidth="1"/>
    <col min="9928" max="9928" width="11.1083333333333" style="2" customWidth="1"/>
    <col min="9929" max="9929" width="20.6666666666667" style="2" customWidth="1"/>
    <col min="9930" max="9930" width="16.8833333333333" style="2" customWidth="1"/>
    <col min="9931" max="10180" width="9" style="2"/>
    <col min="10181" max="10181" width="19.1083333333333" style="2" customWidth="1"/>
    <col min="10182" max="10182" width="25.8833333333333" style="2" customWidth="1"/>
    <col min="10183" max="10183" width="5.66666666666667" style="2" customWidth="1"/>
    <col min="10184" max="10184" width="11.1083333333333" style="2" customWidth="1"/>
    <col min="10185" max="10185" width="20.6666666666667" style="2" customWidth="1"/>
    <col min="10186" max="10186" width="16.8833333333333" style="2" customWidth="1"/>
    <col min="10187" max="10436" width="9" style="2"/>
    <col min="10437" max="10437" width="19.1083333333333" style="2" customWidth="1"/>
    <col min="10438" max="10438" width="25.8833333333333" style="2" customWidth="1"/>
    <col min="10439" max="10439" width="5.66666666666667" style="2" customWidth="1"/>
    <col min="10440" max="10440" width="11.1083333333333" style="2" customWidth="1"/>
    <col min="10441" max="10441" width="20.6666666666667" style="2" customWidth="1"/>
    <col min="10442" max="10442" width="16.8833333333333" style="2" customWidth="1"/>
    <col min="10443" max="10692" width="9" style="2"/>
    <col min="10693" max="10693" width="19.1083333333333" style="2" customWidth="1"/>
    <col min="10694" max="10694" width="25.8833333333333" style="2" customWidth="1"/>
    <col min="10695" max="10695" width="5.66666666666667" style="2" customWidth="1"/>
    <col min="10696" max="10696" width="11.1083333333333" style="2" customWidth="1"/>
    <col min="10697" max="10697" width="20.6666666666667" style="2" customWidth="1"/>
    <col min="10698" max="10698" width="16.8833333333333" style="2" customWidth="1"/>
    <col min="10699" max="10948" width="9" style="2"/>
    <col min="10949" max="10949" width="19.1083333333333" style="2" customWidth="1"/>
    <col min="10950" max="10950" width="25.8833333333333" style="2" customWidth="1"/>
    <col min="10951" max="10951" width="5.66666666666667" style="2" customWidth="1"/>
    <col min="10952" max="10952" width="11.1083333333333" style="2" customWidth="1"/>
    <col min="10953" max="10953" width="20.6666666666667" style="2" customWidth="1"/>
    <col min="10954" max="10954" width="16.8833333333333" style="2" customWidth="1"/>
    <col min="10955" max="11204" width="9" style="2"/>
    <col min="11205" max="11205" width="19.1083333333333" style="2" customWidth="1"/>
    <col min="11206" max="11206" width="25.8833333333333" style="2" customWidth="1"/>
    <col min="11207" max="11207" width="5.66666666666667" style="2" customWidth="1"/>
    <col min="11208" max="11208" width="11.1083333333333" style="2" customWidth="1"/>
    <col min="11209" max="11209" width="20.6666666666667" style="2" customWidth="1"/>
    <col min="11210" max="11210" width="16.8833333333333" style="2" customWidth="1"/>
    <col min="11211" max="11460" width="9" style="2"/>
    <col min="11461" max="11461" width="19.1083333333333" style="2" customWidth="1"/>
    <col min="11462" max="11462" width="25.8833333333333" style="2" customWidth="1"/>
    <col min="11463" max="11463" width="5.66666666666667" style="2" customWidth="1"/>
    <col min="11464" max="11464" width="11.1083333333333" style="2" customWidth="1"/>
    <col min="11465" max="11465" width="20.6666666666667" style="2" customWidth="1"/>
    <col min="11466" max="11466" width="16.8833333333333" style="2" customWidth="1"/>
    <col min="11467" max="11716" width="9" style="2"/>
    <col min="11717" max="11717" width="19.1083333333333" style="2" customWidth="1"/>
    <col min="11718" max="11718" width="25.8833333333333" style="2" customWidth="1"/>
    <col min="11719" max="11719" width="5.66666666666667" style="2" customWidth="1"/>
    <col min="11720" max="11720" width="11.1083333333333" style="2" customWidth="1"/>
    <col min="11721" max="11721" width="20.6666666666667" style="2" customWidth="1"/>
    <col min="11722" max="11722" width="16.8833333333333" style="2" customWidth="1"/>
    <col min="11723" max="11972" width="9" style="2"/>
    <col min="11973" max="11973" width="19.1083333333333" style="2" customWidth="1"/>
    <col min="11974" max="11974" width="25.8833333333333" style="2" customWidth="1"/>
    <col min="11975" max="11975" width="5.66666666666667" style="2" customWidth="1"/>
    <col min="11976" max="11976" width="11.1083333333333" style="2" customWidth="1"/>
    <col min="11977" max="11977" width="20.6666666666667" style="2" customWidth="1"/>
    <col min="11978" max="11978" width="16.8833333333333" style="2" customWidth="1"/>
    <col min="11979" max="12228" width="9" style="2"/>
    <col min="12229" max="12229" width="19.1083333333333" style="2" customWidth="1"/>
    <col min="12230" max="12230" width="25.8833333333333" style="2" customWidth="1"/>
    <col min="12231" max="12231" width="5.66666666666667" style="2" customWidth="1"/>
    <col min="12232" max="12232" width="11.1083333333333" style="2" customWidth="1"/>
    <col min="12233" max="12233" width="20.6666666666667" style="2" customWidth="1"/>
    <col min="12234" max="12234" width="16.8833333333333" style="2" customWidth="1"/>
    <col min="12235" max="12484" width="9" style="2"/>
    <col min="12485" max="12485" width="19.1083333333333" style="2" customWidth="1"/>
    <col min="12486" max="12486" width="25.8833333333333" style="2" customWidth="1"/>
    <col min="12487" max="12487" width="5.66666666666667" style="2" customWidth="1"/>
    <col min="12488" max="12488" width="11.1083333333333" style="2" customWidth="1"/>
    <col min="12489" max="12489" width="20.6666666666667" style="2" customWidth="1"/>
    <col min="12490" max="12490" width="16.8833333333333" style="2" customWidth="1"/>
    <col min="12491" max="12740" width="9" style="2"/>
    <col min="12741" max="12741" width="19.1083333333333" style="2" customWidth="1"/>
    <col min="12742" max="12742" width="25.8833333333333" style="2" customWidth="1"/>
    <col min="12743" max="12743" width="5.66666666666667" style="2" customWidth="1"/>
    <col min="12744" max="12744" width="11.1083333333333" style="2" customWidth="1"/>
    <col min="12745" max="12745" width="20.6666666666667" style="2" customWidth="1"/>
    <col min="12746" max="12746" width="16.8833333333333" style="2" customWidth="1"/>
    <col min="12747" max="12996" width="9" style="2"/>
    <col min="12997" max="12997" width="19.1083333333333" style="2" customWidth="1"/>
    <col min="12998" max="12998" width="25.8833333333333" style="2" customWidth="1"/>
    <col min="12999" max="12999" width="5.66666666666667" style="2" customWidth="1"/>
    <col min="13000" max="13000" width="11.1083333333333" style="2" customWidth="1"/>
    <col min="13001" max="13001" width="20.6666666666667" style="2" customWidth="1"/>
    <col min="13002" max="13002" width="16.8833333333333" style="2" customWidth="1"/>
    <col min="13003" max="13252" width="9" style="2"/>
    <col min="13253" max="13253" width="19.1083333333333" style="2" customWidth="1"/>
    <col min="13254" max="13254" width="25.8833333333333" style="2" customWidth="1"/>
    <col min="13255" max="13255" width="5.66666666666667" style="2" customWidth="1"/>
    <col min="13256" max="13256" width="11.1083333333333" style="2" customWidth="1"/>
    <col min="13257" max="13257" width="20.6666666666667" style="2" customWidth="1"/>
    <col min="13258" max="13258" width="16.8833333333333" style="2" customWidth="1"/>
    <col min="13259" max="13508" width="9" style="2"/>
    <col min="13509" max="13509" width="19.1083333333333" style="2" customWidth="1"/>
    <col min="13510" max="13510" width="25.8833333333333" style="2" customWidth="1"/>
    <col min="13511" max="13511" width="5.66666666666667" style="2" customWidth="1"/>
    <col min="13512" max="13512" width="11.1083333333333" style="2" customWidth="1"/>
    <col min="13513" max="13513" width="20.6666666666667" style="2" customWidth="1"/>
    <col min="13514" max="13514" width="16.8833333333333" style="2" customWidth="1"/>
    <col min="13515" max="13764" width="9" style="2"/>
    <col min="13765" max="13765" width="19.1083333333333" style="2" customWidth="1"/>
    <col min="13766" max="13766" width="25.8833333333333" style="2" customWidth="1"/>
    <col min="13767" max="13767" width="5.66666666666667" style="2" customWidth="1"/>
    <col min="13768" max="13768" width="11.1083333333333" style="2" customWidth="1"/>
    <col min="13769" max="13769" width="20.6666666666667" style="2" customWidth="1"/>
    <col min="13770" max="13770" width="16.8833333333333" style="2" customWidth="1"/>
    <col min="13771" max="14020" width="9" style="2"/>
    <col min="14021" max="14021" width="19.1083333333333" style="2" customWidth="1"/>
    <col min="14022" max="14022" width="25.8833333333333" style="2" customWidth="1"/>
    <col min="14023" max="14023" width="5.66666666666667" style="2" customWidth="1"/>
    <col min="14024" max="14024" width="11.1083333333333" style="2" customWidth="1"/>
    <col min="14025" max="14025" width="20.6666666666667" style="2" customWidth="1"/>
    <col min="14026" max="14026" width="16.8833333333333" style="2" customWidth="1"/>
    <col min="14027" max="14276" width="9" style="2"/>
    <col min="14277" max="14277" width="19.1083333333333" style="2" customWidth="1"/>
    <col min="14278" max="14278" width="25.8833333333333" style="2" customWidth="1"/>
    <col min="14279" max="14279" width="5.66666666666667" style="2" customWidth="1"/>
    <col min="14280" max="14280" width="11.1083333333333" style="2" customWidth="1"/>
    <col min="14281" max="14281" width="20.6666666666667" style="2" customWidth="1"/>
    <col min="14282" max="14282" width="16.8833333333333" style="2" customWidth="1"/>
    <col min="14283" max="14532" width="9" style="2"/>
    <col min="14533" max="14533" width="19.1083333333333" style="2" customWidth="1"/>
    <col min="14534" max="14534" width="25.8833333333333" style="2" customWidth="1"/>
    <col min="14535" max="14535" width="5.66666666666667" style="2" customWidth="1"/>
    <col min="14536" max="14536" width="11.1083333333333" style="2" customWidth="1"/>
    <col min="14537" max="14537" width="20.6666666666667" style="2" customWidth="1"/>
    <col min="14538" max="14538" width="16.8833333333333" style="2" customWidth="1"/>
    <col min="14539" max="14788" width="9" style="2"/>
    <col min="14789" max="14789" width="19.1083333333333" style="2" customWidth="1"/>
    <col min="14790" max="14790" width="25.8833333333333" style="2" customWidth="1"/>
    <col min="14791" max="14791" width="5.66666666666667" style="2" customWidth="1"/>
    <col min="14792" max="14792" width="11.1083333333333" style="2" customWidth="1"/>
    <col min="14793" max="14793" width="20.6666666666667" style="2" customWidth="1"/>
    <col min="14794" max="14794" width="16.8833333333333" style="2" customWidth="1"/>
    <col min="14795" max="15044" width="9" style="2"/>
    <col min="15045" max="15045" width="19.1083333333333" style="2" customWidth="1"/>
    <col min="15046" max="15046" width="25.8833333333333" style="2" customWidth="1"/>
    <col min="15047" max="15047" width="5.66666666666667" style="2" customWidth="1"/>
    <col min="15048" max="15048" width="11.1083333333333" style="2" customWidth="1"/>
    <col min="15049" max="15049" width="20.6666666666667" style="2" customWidth="1"/>
    <col min="15050" max="15050" width="16.8833333333333" style="2" customWidth="1"/>
    <col min="15051" max="15300" width="9" style="2"/>
    <col min="15301" max="15301" width="19.1083333333333" style="2" customWidth="1"/>
    <col min="15302" max="15302" width="25.8833333333333" style="2" customWidth="1"/>
    <col min="15303" max="15303" width="5.66666666666667" style="2" customWidth="1"/>
    <col min="15304" max="15304" width="11.1083333333333" style="2" customWidth="1"/>
    <col min="15305" max="15305" width="20.6666666666667" style="2" customWidth="1"/>
    <col min="15306" max="15306" width="16.8833333333333" style="2" customWidth="1"/>
    <col min="15307" max="15556" width="9" style="2"/>
    <col min="15557" max="15557" width="19.1083333333333" style="2" customWidth="1"/>
    <col min="15558" max="15558" width="25.8833333333333" style="2" customWidth="1"/>
    <col min="15559" max="15559" width="5.66666666666667" style="2" customWidth="1"/>
    <col min="15560" max="15560" width="11.1083333333333" style="2" customWidth="1"/>
    <col min="15561" max="15561" width="20.6666666666667" style="2" customWidth="1"/>
    <col min="15562" max="15562" width="16.8833333333333" style="2" customWidth="1"/>
    <col min="15563" max="15812" width="9" style="2"/>
    <col min="15813" max="15813" width="19.1083333333333" style="2" customWidth="1"/>
    <col min="15814" max="15814" width="25.8833333333333" style="2" customWidth="1"/>
    <col min="15815" max="15815" width="5.66666666666667" style="2" customWidth="1"/>
    <col min="15816" max="15816" width="11.1083333333333" style="2" customWidth="1"/>
    <col min="15817" max="15817" width="20.6666666666667" style="2" customWidth="1"/>
    <col min="15818" max="15818" width="16.8833333333333" style="2" customWidth="1"/>
    <col min="15819" max="16068" width="9" style="2"/>
    <col min="16069" max="16069" width="19.1083333333333" style="2" customWidth="1"/>
    <col min="16070" max="16070" width="25.8833333333333" style="2" customWidth="1"/>
    <col min="16071" max="16071" width="5.66666666666667" style="2" customWidth="1"/>
    <col min="16072" max="16072" width="11.1083333333333" style="2" customWidth="1"/>
    <col min="16073" max="16073" width="20.6666666666667" style="2" customWidth="1"/>
    <col min="16074" max="16074" width="16.8833333333333" style="2" customWidth="1"/>
    <col min="16075" max="16384" width="9" style="2"/>
  </cols>
  <sheetData>
    <row r="1" ht="25.5" spans="1:6">
      <c r="A1" s="5" t="s">
        <v>85</v>
      </c>
      <c r="B1" s="6"/>
      <c r="C1" s="7"/>
      <c r="D1" s="7"/>
      <c r="E1" s="7"/>
      <c r="F1" s="7"/>
    </row>
    <row r="2" ht="18.75" spans="1:6">
      <c r="A2" s="8" t="s">
        <v>86</v>
      </c>
      <c r="B2" s="8"/>
      <c r="C2" s="8"/>
      <c r="D2" s="8"/>
      <c r="E2" s="8"/>
      <c r="F2" s="8"/>
    </row>
    <row r="3" ht="15.75" spans="1:5">
      <c r="A3" s="9" t="s">
        <v>87</v>
      </c>
      <c r="B3" s="9"/>
      <c r="C3" s="9"/>
      <c r="D3" s="10"/>
      <c r="E3" s="11" t="s">
        <v>88</v>
      </c>
    </row>
    <row r="4" ht="15.75" spans="1:5">
      <c r="A4" s="11" t="s">
        <v>89</v>
      </c>
      <c r="B4" s="10"/>
      <c r="C4" s="10"/>
      <c r="D4" s="10"/>
      <c r="E4" s="11"/>
    </row>
    <row r="5" ht="16.5" spans="1:6">
      <c r="A5" s="12"/>
      <c r="B5" s="13"/>
      <c r="C5" s="13"/>
      <c r="D5" s="13"/>
      <c r="E5" s="14"/>
      <c r="F5" s="15"/>
    </row>
    <row r="6" ht="23.25" spans="1:6">
      <c r="A6" s="16" t="s">
        <v>90</v>
      </c>
      <c r="B6" s="16"/>
      <c r="C6" s="16"/>
      <c r="D6" s="16"/>
      <c r="E6" s="16"/>
      <c r="F6" s="16"/>
    </row>
    <row r="7" ht="23.25" spans="1:6">
      <c r="A7" s="11"/>
      <c r="B7" s="17"/>
      <c r="D7" s="17"/>
      <c r="E7" s="18" t="s">
        <v>91</v>
      </c>
      <c r="F7" s="19">
        <f>PACKING!F5</f>
        <v>32512816</v>
      </c>
    </row>
    <row r="8" ht="15.75" spans="1:6">
      <c r="A8" s="10"/>
      <c r="B8" s="10"/>
      <c r="C8" s="10"/>
      <c r="D8" s="10"/>
      <c r="E8" s="18" t="s">
        <v>92</v>
      </c>
      <c r="F8" s="20">
        <f>PACKING!F4</f>
        <v>46002</v>
      </c>
    </row>
    <row r="9" spans="1:6">
      <c r="A9" s="9" t="s">
        <v>93</v>
      </c>
      <c r="B9" s="21"/>
      <c r="C9" s="9"/>
      <c r="D9" s="9"/>
      <c r="E9" s="22"/>
      <c r="F9" s="23"/>
    </row>
    <row r="10" spans="1:6">
      <c r="A10" s="9" t="s">
        <v>94</v>
      </c>
      <c r="B10" s="24"/>
      <c r="C10" s="9"/>
      <c r="D10" s="9"/>
      <c r="E10" s="22"/>
      <c r="F10" s="23"/>
    </row>
    <row r="11" spans="1:6">
      <c r="A11" s="25" t="s">
        <v>95</v>
      </c>
      <c r="B11" s="26"/>
      <c r="C11" s="26"/>
      <c r="D11" s="26"/>
      <c r="E11" s="26"/>
      <c r="F11" s="23"/>
    </row>
    <row r="12" spans="1:6">
      <c r="A12" s="9" t="s">
        <v>96</v>
      </c>
      <c r="B12" s="27"/>
      <c r="C12" s="9"/>
      <c r="D12" s="9"/>
      <c r="E12" s="22"/>
      <c r="F12" s="23"/>
    </row>
    <row r="13" ht="15.75" spans="1:6">
      <c r="A13" s="28"/>
      <c r="B13" s="29"/>
      <c r="C13" s="11"/>
      <c r="D13" s="11"/>
      <c r="E13" s="30"/>
      <c r="F13" s="23"/>
    </row>
    <row r="14" spans="1:6">
      <c r="A14" s="9" t="s">
        <v>97</v>
      </c>
      <c r="B14" s="10"/>
      <c r="C14" s="10"/>
      <c r="D14" s="10"/>
      <c r="E14" s="10"/>
      <c r="F14" s="31"/>
    </row>
    <row r="15" ht="15.75" spans="1:6">
      <c r="A15" s="11" t="s">
        <v>98</v>
      </c>
      <c r="B15" s="11"/>
      <c r="C15" s="11"/>
      <c r="D15" s="11"/>
      <c r="E15" s="11"/>
      <c r="F15" s="32"/>
    </row>
    <row r="16" ht="15.75" spans="1:6">
      <c r="A16" s="11" t="s">
        <v>99</v>
      </c>
      <c r="B16" s="11"/>
      <c r="C16" s="11"/>
      <c r="D16" s="11"/>
      <c r="E16" s="11"/>
      <c r="F16" s="32"/>
    </row>
    <row r="17" spans="1:9">
      <c r="A17" s="33" t="s">
        <v>100</v>
      </c>
      <c r="B17" s="34" t="s">
        <v>101</v>
      </c>
      <c r="C17" s="33" t="s">
        <v>102</v>
      </c>
      <c r="D17" s="33" t="s">
        <v>103</v>
      </c>
      <c r="E17" s="33" t="s">
        <v>104</v>
      </c>
      <c r="F17" s="35" t="s">
        <v>105</v>
      </c>
      <c r="G17" s="9"/>
      <c r="H17" s="24"/>
      <c r="I17" s="24"/>
    </row>
    <row r="18" ht="15.75" spans="1:9">
      <c r="A18" s="36" t="s">
        <v>106</v>
      </c>
      <c r="B18" s="36" t="s">
        <v>107</v>
      </c>
      <c r="C18" s="36" t="s">
        <v>30</v>
      </c>
      <c r="D18" s="36" t="s">
        <v>29</v>
      </c>
      <c r="E18" s="36" t="s">
        <v>108</v>
      </c>
      <c r="F18" s="37" t="s">
        <v>109</v>
      </c>
      <c r="G18" s="9"/>
      <c r="H18" s="24"/>
      <c r="I18" s="24"/>
    </row>
    <row r="19" spans="1:9">
      <c r="A19" s="33" t="s">
        <v>40</v>
      </c>
      <c r="B19" s="33" t="s">
        <v>110</v>
      </c>
      <c r="C19" s="33" t="s">
        <v>111</v>
      </c>
      <c r="D19" s="38">
        <v>3420</v>
      </c>
      <c r="E19" s="39">
        <v>1.33</v>
      </c>
      <c r="F19" s="40">
        <f>D19*E19</f>
        <v>4548.6</v>
      </c>
      <c r="G19" s="9"/>
      <c r="H19" s="24" t="s">
        <v>110</v>
      </c>
      <c r="I19" s="24">
        <v>8544421100</v>
      </c>
    </row>
    <row r="20" spans="1:9">
      <c r="A20" s="33" t="s">
        <v>47</v>
      </c>
      <c r="B20" s="33" t="s">
        <v>112</v>
      </c>
      <c r="C20" s="33" t="s">
        <v>111</v>
      </c>
      <c r="D20" s="38">
        <v>5100</v>
      </c>
      <c r="E20" s="39">
        <v>0.292</v>
      </c>
      <c r="F20" s="40">
        <f t="shared" ref="F20:F25" si="0">D20*E20</f>
        <v>1489.2</v>
      </c>
      <c r="G20" s="9"/>
      <c r="H20" s="41" t="s">
        <v>112</v>
      </c>
      <c r="I20" s="41">
        <v>8544421900</v>
      </c>
    </row>
    <row r="21" spans="1:9">
      <c r="A21" s="33" t="s">
        <v>49</v>
      </c>
      <c r="B21" s="33" t="s">
        <v>113</v>
      </c>
      <c r="C21" s="33" t="s">
        <v>111</v>
      </c>
      <c r="D21" s="38">
        <v>11500</v>
      </c>
      <c r="E21" s="39">
        <v>0.451</v>
      </c>
      <c r="F21" s="40">
        <f t="shared" si="0"/>
        <v>5186.5</v>
      </c>
      <c r="G21" s="9"/>
      <c r="H21" s="41" t="s">
        <v>113</v>
      </c>
      <c r="I21" s="41">
        <v>8544421100</v>
      </c>
    </row>
    <row r="22" spans="1:9">
      <c r="A22" s="33" t="s">
        <v>51</v>
      </c>
      <c r="B22" s="33" t="s">
        <v>113</v>
      </c>
      <c r="C22" s="33" t="s">
        <v>111</v>
      </c>
      <c r="D22" s="38">
        <v>6120</v>
      </c>
      <c r="E22" s="39">
        <v>0.55</v>
      </c>
      <c r="F22" s="40">
        <f t="shared" si="0"/>
        <v>3366</v>
      </c>
      <c r="G22" s="9"/>
      <c r="H22" s="42" t="s">
        <v>113</v>
      </c>
      <c r="I22" s="42">
        <v>8544421100</v>
      </c>
    </row>
    <row r="23" spans="1:9">
      <c r="A23" s="33" t="s">
        <v>53</v>
      </c>
      <c r="B23" s="33" t="s">
        <v>113</v>
      </c>
      <c r="C23" s="33" t="s">
        <v>111</v>
      </c>
      <c r="D23" s="38">
        <v>6120</v>
      </c>
      <c r="E23" s="39">
        <v>0.63</v>
      </c>
      <c r="F23" s="40">
        <f t="shared" si="0"/>
        <v>3855.6</v>
      </c>
      <c r="G23" s="9"/>
      <c r="H23" s="42" t="s">
        <v>113</v>
      </c>
      <c r="I23" s="42">
        <v>8544421100</v>
      </c>
    </row>
    <row r="24" spans="1:9">
      <c r="A24" s="33" t="s">
        <v>55</v>
      </c>
      <c r="B24" s="33" t="s">
        <v>114</v>
      </c>
      <c r="C24" s="33" t="s">
        <v>111</v>
      </c>
      <c r="D24" s="38">
        <v>6000</v>
      </c>
      <c r="E24" s="39">
        <v>0.366</v>
      </c>
      <c r="F24" s="40">
        <f t="shared" si="0"/>
        <v>2196</v>
      </c>
      <c r="G24" s="9"/>
      <c r="H24" s="42" t="s">
        <v>114</v>
      </c>
      <c r="I24" s="42">
        <v>8544422100</v>
      </c>
    </row>
    <row r="25" spans="1:9">
      <c r="A25" s="33" t="s">
        <v>57</v>
      </c>
      <c r="B25" s="33" t="s">
        <v>114</v>
      </c>
      <c r="C25" s="33" t="s">
        <v>111</v>
      </c>
      <c r="D25" s="38">
        <v>6000</v>
      </c>
      <c r="E25" s="39">
        <v>0.366</v>
      </c>
      <c r="F25" s="40">
        <f t="shared" si="0"/>
        <v>2196</v>
      </c>
      <c r="G25" s="9"/>
      <c r="H25" s="42" t="s">
        <v>114</v>
      </c>
      <c r="I25" s="42">
        <v>8544422100</v>
      </c>
    </row>
    <row r="26" spans="1:9">
      <c r="A26" s="33"/>
      <c r="B26" s="33"/>
      <c r="C26" s="33"/>
      <c r="D26" s="38"/>
      <c r="E26" s="35"/>
      <c r="F26" s="43"/>
      <c r="G26" s="9"/>
      <c r="H26" s="24"/>
      <c r="I26" s="24"/>
    </row>
    <row r="27" spans="1:9">
      <c r="A27" s="33"/>
      <c r="B27" s="44" t="s">
        <v>115</v>
      </c>
      <c r="C27" s="33"/>
      <c r="D27" s="38"/>
      <c r="E27" s="35"/>
      <c r="F27" s="43"/>
      <c r="G27" s="9"/>
      <c r="H27" s="42"/>
      <c r="I27" s="24"/>
    </row>
    <row r="28" spans="1:9">
      <c r="A28" s="33"/>
      <c r="B28" s="44" t="s">
        <v>116</v>
      </c>
      <c r="C28" s="33"/>
      <c r="D28" s="38"/>
      <c r="E28" s="35"/>
      <c r="F28" s="45"/>
      <c r="G28" s="9"/>
      <c r="H28" s="24"/>
      <c r="I28" s="24"/>
    </row>
    <row r="29" spans="1:6">
      <c r="A29" s="46"/>
      <c r="B29" s="44" t="s">
        <v>117</v>
      </c>
      <c r="C29" s="46"/>
      <c r="D29" s="47"/>
      <c r="E29" s="48"/>
      <c r="F29" s="49"/>
    </row>
    <row r="30" spans="1:6">
      <c r="A30" s="46"/>
      <c r="B30" s="44" t="s">
        <v>118</v>
      </c>
      <c r="C30" s="46"/>
      <c r="D30" s="47"/>
      <c r="E30" s="48"/>
      <c r="F30" s="49"/>
    </row>
    <row r="31" ht="15.75" spans="1:6">
      <c r="A31" s="36"/>
      <c r="B31" s="50" t="s">
        <v>119</v>
      </c>
      <c r="C31" s="51"/>
      <c r="D31" s="52"/>
      <c r="E31" s="53"/>
      <c r="F31" s="54"/>
    </row>
    <row r="32" s="1" customFormat="1" ht="15.75" spans="1:9">
      <c r="A32" s="55" t="s">
        <v>120</v>
      </c>
      <c r="B32" s="56"/>
      <c r="C32" s="55"/>
      <c r="D32" s="57">
        <f>SUM(D19:D31)</f>
        <v>44260</v>
      </c>
      <c r="E32" s="58"/>
      <c r="F32" s="59">
        <f>SUM(F19:F31)</f>
        <v>22837.9</v>
      </c>
      <c r="H32" s="60"/>
      <c r="I32" s="60"/>
    </row>
    <row r="33" ht="15.75" spans="1:6">
      <c r="A33" s="11" t="s">
        <v>121</v>
      </c>
      <c r="B33" s="11"/>
      <c r="C33" s="11"/>
      <c r="D33" s="61" t="s">
        <v>122</v>
      </c>
      <c r="E33" s="32"/>
      <c r="F33" s="31"/>
    </row>
    <row r="34" ht="15.75" spans="1:6">
      <c r="A34" s="11" t="s">
        <v>123</v>
      </c>
      <c r="B34" s="11"/>
      <c r="C34" s="11"/>
      <c r="D34" s="11" t="s">
        <v>124</v>
      </c>
      <c r="E34" s="32"/>
      <c r="F34" s="62"/>
    </row>
    <row r="35" ht="15.75" spans="1:6">
      <c r="A35" s="11" t="s">
        <v>125</v>
      </c>
      <c r="B35" s="11"/>
      <c r="C35" s="11"/>
      <c r="D35" s="11" t="s">
        <v>126</v>
      </c>
      <c r="E35" s="32"/>
      <c r="F35" s="31"/>
    </row>
    <row r="36" ht="15.75" spans="1:6">
      <c r="A36" s="11" t="s">
        <v>127</v>
      </c>
      <c r="B36" s="11"/>
      <c r="C36" s="11"/>
      <c r="D36" s="11" t="s">
        <v>128</v>
      </c>
      <c r="E36" s="32"/>
      <c r="F36" s="62"/>
    </row>
    <row r="37" ht="15.75" spans="1:6">
      <c r="A37" s="11" t="s">
        <v>129</v>
      </c>
      <c r="B37" s="11"/>
      <c r="C37" s="11"/>
      <c r="D37" s="11" t="s">
        <v>130</v>
      </c>
      <c r="E37" s="32"/>
      <c r="F37" s="31"/>
    </row>
    <row r="38" ht="15.75" spans="1:6">
      <c r="A38" s="11" t="s">
        <v>131</v>
      </c>
      <c r="B38" s="11"/>
      <c r="C38" s="11"/>
      <c r="D38" s="11" t="s">
        <v>132</v>
      </c>
      <c r="E38" s="63"/>
      <c r="F38"/>
    </row>
    <row r="39" ht="15.75" spans="1:6">
      <c r="A39" s="11" t="s">
        <v>133</v>
      </c>
      <c r="B39" s="11"/>
      <c r="C39" s="11"/>
      <c r="D39" s="11" t="s">
        <v>134</v>
      </c>
      <c r="E39" s="32"/>
      <c r="F39" s="31"/>
    </row>
    <row r="40" ht="15.75" spans="1:6">
      <c r="A40" s="11" t="s">
        <v>135</v>
      </c>
      <c r="B40" s="11"/>
      <c r="C40" s="11"/>
      <c r="D40" s="11" t="s">
        <v>136</v>
      </c>
      <c r="E40" s="32"/>
      <c r="F40" s="62"/>
    </row>
    <row r="41" ht="15.75" spans="1:6">
      <c r="A41" s="11" t="s">
        <v>137</v>
      </c>
      <c r="B41" s="63"/>
      <c r="C41" s="11"/>
      <c r="D41" s="11" t="s">
        <v>138</v>
      </c>
      <c r="E41" s="32"/>
      <c r="F41" s="31"/>
    </row>
    <row r="42" ht="15.75" spans="1:6">
      <c r="A42" s="11" t="s">
        <v>139</v>
      </c>
      <c r="B42" s="63"/>
      <c r="C42" s="11"/>
      <c r="D42" s="11"/>
      <c r="E42" s="32"/>
      <c r="F42" s="31"/>
    </row>
    <row r="43" ht="15.75" spans="1:6">
      <c r="A43" s="11" t="s">
        <v>140</v>
      </c>
      <c r="B43" s="11"/>
      <c r="C43" s="11"/>
      <c r="D43" s="11" t="s">
        <v>141</v>
      </c>
      <c r="E43" s="32"/>
      <c r="F43" s="31"/>
    </row>
    <row r="44" spans="1:6">
      <c r="A44" s="64"/>
      <c r="B44" s="10"/>
      <c r="C44" s="10"/>
      <c r="D44" s="10"/>
      <c r="E44"/>
      <c r="F44" s="31"/>
    </row>
    <row r="45" spans="1:6">
      <c r="A45" s="64"/>
      <c r="B45" s="10"/>
      <c r="C45" s="10"/>
      <c r="D45" s="10"/>
      <c r="E45" s="64"/>
      <c r="F45" s="31"/>
    </row>
    <row r="46" spans="1:6">
      <c r="A46" s="64"/>
      <c r="B46" s="10"/>
      <c r="C46" s="10"/>
      <c r="D46" s="65"/>
      <c r="E46" s="64"/>
      <c r="F46"/>
    </row>
    <row r="47" spans="1:6">
      <c r="A47" s="64"/>
      <c r="B47" s="10"/>
      <c r="C47" s="10"/>
      <c r="D47" s="65"/>
      <c r="E47" s="64"/>
      <c r="F47"/>
    </row>
    <row r="48" spans="1:6">
      <c r="A48" s="64"/>
      <c r="B48" s="10"/>
      <c r="C48" s="10"/>
      <c r="D48" s="65"/>
      <c r="E48" s="64"/>
      <c r="F48"/>
    </row>
    <row r="49" spans="1:6">
      <c r="A49" s="64"/>
      <c r="B49" s="10"/>
      <c r="C49" s="10"/>
      <c r="D49" s="65"/>
      <c r="E49" s="64"/>
      <c r="F49" s="31"/>
    </row>
    <row r="50" spans="1:6">
      <c r="A50" s="64"/>
      <c r="B50" s="10"/>
      <c r="C50" s="10"/>
      <c r="D50" s="65"/>
      <c r="E50" s="64"/>
      <c r="F50" s="31"/>
    </row>
    <row r="51" spans="1:6">
      <c r="A51" s="64"/>
      <c r="B51" s="10"/>
      <c r="C51" s="10"/>
      <c r="D51" s="65"/>
      <c r="E51" s="64"/>
      <c r="F51" s="31"/>
    </row>
    <row r="52" spans="1:6">
      <c r="A52" s="64"/>
      <c r="B52" s="10"/>
      <c r="C52" s="10"/>
      <c r="D52" s="65"/>
      <c r="E52" s="64"/>
      <c r="F52" s="31"/>
    </row>
    <row r="53" spans="1:6">
      <c r="A53" s="64"/>
      <c r="B53" s="10"/>
      <c r="C53" s="10"/>
      <c r="D53" s="65"/>
      <c r="E53" s="64"/>
      <c r="F53" s="31"/>
    </row>
    <row r="54" spans="1:6">
      <c r="A54" s="64"/>
      <c r="B54" s="10"/>
      <c r="C54" s="10"/>
      <c r="D54" s="65"/>
      <c r="E54" s="64"/>
      <c r="F54" s="31"/>
    </row>
    <row r="55" spans="1:6">
      <c r="A55" s="66"/>
      <c r="B55" s="66"/>
      <c r="C55" s="66"/>
      <c r="D55" s="66"/>
      <c r="E55" s="66"/>
      <c r="F55" s="67"/>
    </row>
  </sheetData>
  <mergeCells count="2">
    <mergeCell ref="A6:F6"/>
    <mergeCell ref="A11:E11"/>
  </mergeCells>
  <dataValidations count="1">
    <dataValidation allowBlank="1" showInputMessage="1" showErrorMessage="1" promptTitle="能源設備" sqref="C31 C65561:C65571 C65573:C65575 C131097:C131107 C131109:C131111 C196633:C196643 C196645:C196647 C262169:C262179 C262181:C262183 C327705:C327715 C327717:C327719 C393241:C393251 C393253:C393255 C458777:C458787 C458789:C458791 C524313:C524323 C524325:C524327 C589849:C589859 C589861:C589863 C655385:C655395 C655397:C655399 C720921:C720931 C720933:C720935 C786457:C786467 C786469:C786471 C851993:C852003 C852005:C852007 C917529:C917539 C917541:C917543 C983065:C983075 C983077:C983079 GQ20:GQ31 GQ65561:GQ65571 GQ65573:GQ65575 GQ131097:GQ131107 GQ131109:GQ131111 GQ196633:GQ196643 GQ196645:GQ196647 GQ262169:GQ262179 GQ262181:GQ262183 GQ327705:GQ327715 GQ327717:GQ327719 GQ393241:GQ393251 GQ393253:GQ393255 GQ458777:GQ458787 GQ458789:GQ458791 GQ524313:GQ524323 GQ524325:GQ524327 GQ589849:GQ589859 GQ589861:GQ589863 GQ655385:GQ655395 GQ655397:GQ655399 GQ720921:GQ720931 GQ720933:GQ720935 GQ786457:GQ786467 GQ786469:GQ786471 GQ851993:GQ852003 GQ852005:GQ852007 GQ917529:GQ917539 GQ917541:GQ917543 GQ983065:GQ983075 GQ983077:GQ983079 QM20:QM31 QM65561:QM65571 QM65573:QM65575 QM131097:QM131107 QM131109:QM131111 QM196633:QM196643 QM196645:QM196647 QM262169:QM262179 QM262181:QM262183 QM327705:QM327715 QM327717:QM327719 QM393241:QM393251 QM393253:QM393255 QM458777:QM458787 QM458789:QM458791 QM524313:QM524323 QM524325:QM524327 QM589849:QM589859 QM589861:QM589863 QM655385:QM655395 QM655397:QM655399 QM720921:QM720931 QM720933:QM720935 QM786457:QM786467 QM786469:QM786471 QM851993:QM852003 QM852005:QM852007 QM917529:QM917539 QM917541:QM917543 QM983065:QM983075 QM983077:QM983079 AAI20:AAI31 AAI65561:AAI65571 AAI65573:AAI65575 AAI131097:AAI131107 AAI131109:AAI131111 AAI196633:AAI196643 AAI196645:AAI196647 AAI262169:AAI262179 AAI262181:AAI262183 AAI327705:AAI327715 AAI327717:AAI327719 AAI393241:AAI393251 AAI393253:AAI393255 AAI458777:AAI458787 AAI458789:AAI458791 AAI524313:AAI524323 AAI524325:AAI524327 AAI589849:AAI589859 AAI589861:AAI589863 AAI655385:AAI655395 AAI655397:AAI655399 AAI720921:AAI720931 AAI720933:AAI720935 AAI786457:AAI786467 AAI786469:AAI786471 AAI851993:AAI852003 AAI852005:AAI852007 AAI917529:AAI917539 AAI917541:AAI917543 AAI983065:AAI983075 AAI983077:AAI983079 AKE20:AKE31 AKE65561:AKE65571 AKE65573:AKE65575 AKE131097:AKE131107 AKE131109:AKE131111 AKE196633:AKE196643 AKE196645:AKE196647 AKE262169:AKE262179 AKE262181:AKE262183 AKE327705:AKE327715 AKE327717:AKE327719 AKE393241:AKE393251 AKE393253:AKE393255 AKE458777:AKE458787 AKE458789:AKE458791 AKE524313:AKE524323 AKE524325:AKE524327 AKE589849:AKE589859 AKE589861:AKE589863 AKE655385:AKE655395 AKE655397:AKE655399 AKE720921:AKE720931 AKE720933:AKE720935 AKE786457:AKE786467 AKE786469:AKE786471 AKE851993:AKE852003 AKE852005:AKE852007 AKE917529:AKE917539 AKE917541:AKE917543 AKE983065:AKE983075 AKE983077:AKE983079 AUA20:AUA31 AUA65561:AUA65571 AUA65573:AUA65575 AUA131097:AUA131107 AUA131109:AUA131111 AUA196633:AUA196643 AUA196645:AUA196647 AUA262169:AUA262179 AUA262181:AUA262183 AUA327705:AUA327715 AUA327717:AUA327719 AUA393241:AUA393251 AUA393253:AUA393255 AUA458777:AUA458787 AUA458789:AUA458791 AUA524313:AUA524323 AUA524325:AUA524327 AUA589849:AUA589859 AUA589861:AUA589863 AUA655385:AUA655395 AUA655397:AUA655399 AUA720921:AUA720931 AUA720933:AUA720935 AUA786457:AUA786467 AUA786469:AUA786471 AUA851993:AUA852003 AUA852005:AUA852007 AUA917529:AUA917539 AUA917541:AUA917543 AUA983065:AUA983075 AUA983077:AUA983079 BDW20:BDW31 BDW65561:BDW65571 BDW65573:BDW65575 BDW131097:BDW131107 BDW131109:BDW131111 BDW196633:BDW196643 BDW196645:BDW196647 BDW262169:BDW262179 BDW262181:BDW262183 BDW327705:BDW327715 BDW327717:BDW327719 BDW393241:BDW393251 BDW393253:BDW393255 BDW458777:BDW458787 BDW458789:BDW458791 BDW524313:BDW524323 BDW524325:BDW524327 BDW589849:BDW589859 BDW589861:BDW589863 BDW655385:BDW655395 BDW655397:BDW655399 BDW720921:BDW720931 BDW720933:BDW720935 BDW786457:BDW786467 BDW786469:BDW786471 BDW851993:BDW852003 BDW852005:BDW852007 BDW917529:BDW917539 BDW917541:BDW917543 BDW983065:BDW983075 BDW983077:BDW983079 BNS20:BNS31 BNS65561:BNS65571 BNS65573:BNS65575 BNS131097:BNS131107 BNS131109:BNS131111 BNS196633:BNS196643 BNS196645:BNS196647 BNS262169:BNS262179 BNS262181:BNS262183 BNS327705:BNS327715 BNS327717:BNS327719 BNS393241:BNS393251 BNS393253:BNS393255 BNS458777:BNS458787 BNS458789:BNS458791 BNS524313:BNS524323 BNS524325:BNS524327 BNS589849:BNS589859 BNS589861:BNS589863 BNS655385:BNS655395 BNS655397:BNS655399 BNS720921:BNS720931 BNS720933:BNS720935 BNS786457:BNS786467 BNS786469:BNS786471 BNS851993:BNS852003 BNS852005:BNS852007 BNS917529:BNS917539 BNS917541:BNS917543 BNS983065:BNS983075 BNS983077:BNS983079 BXO20:BXO31 BXO65561:BXO65571 BXO65573:BXO65575 BXO131097:BXO131107 BXO131109:BXO131111 BXO196633:BXO196643 BXO196645:BXO196647 BXO262169:BXO262179 BXO262181:BXO262183 BXO327705:BXO327715 BXO327717:BXO327719 BXO393241:BXO393251 BXO393253:BXO393255 BXO458777:BXO458787 BXO458789:BXO458791 BXO524313:BXO524323 BXO524325:BXO524327 BXO589849:BXO589859 BXO589861:BXO589863 BXO655385:BXO655395 BXO655397:BXO655399 BXO720921:BXO720931 BXO720933:BXO720935 BXO786457:BXO786467 BXO786469:BXO786471 BXO851993:BXO852003 BXO852005:BXO852007 BXO917529:BXO917539 BXO917541:BXO917543 BXO983065:BXO983075 BXO983077:BXO983079 CHK20:CHK31 CHK65561:CHK65571 CHK65573:CHK65575 CHK131097:CHK131107 CHK131109:CHK131111 CHK196633:CHK196643 CHK196645:CHK196647 CHK262169:CHK262179 CHK262181:CHK262183 CHK327705:CHK327715 CHK327717:CHK327719 CHK393241:CHK393251 CHK393253:CHK393255 CHK458777:CHK458787 CHK458789:CHK458791 CHK524313:CHK524323 CHK524325:CHK524327 CHK589849:CHK589859 CHK589861:CHK589863 CHK655385:CHK655395 CHK655397:CHK655399 CHK720921:CHK720931 CHK720933:CHK720935 CHK786457:CHK786467 CHK786469:CHK786471 CHK851993:CHK852003 CHK852005:CHK852007 CHK917529:CHK917539 CHK917541:CHK917543 CHK983065:CHK983075 CHK983077:CHK983079 CRG20:CRG31 CRG65561:CRG65571 CRG65573:CRG65575 CRG131097:CRG131107 CRG131109:CRG131111 CRG196633:CRG196643 CRG196645:CRG196647 CRG262169:CRG262179 CRG262181:CRG262183 CRG327705:CRG327715 CRG327717:CRG327719 CRG393241:CRG393251 CRG393253:CRG393255 CRG458777:CRG458787 CRG458789:CRG458791 CRG524313:CRG524323 CRG524325:CRG524327 CRG589849:CRG589859 CRG589861:CRG589863 CRG655385:CRG655395 CRG655397:CRG655399 CRG720921:CRG720931 CRG720933:CRG720935 CRG786457:CRG786467 CRG786469:CRG786471 CRG851993:CRG852003 CRG852005:CRG852007 CRG917529:CRG917539 CRG917541:CRG917543 CRG983065:CRG983075 CRG983077:CRG983079 DBC20:DBC31 DBC65561:DBC65571 DBC65573:DBC65575 DBC131097:DBC131107 DBC131109:DBC131111 DBC196633:DBC196643 DBC196645:DBC196647 DBC262169:DBC262179 DBC262181:DBC262183 DBC327705:DBC327715 DBC327717:DBC327719 DBC393241:DBC393251 DBC393253:DBC393255 DBC458777:DBC458787 DBC458789:DBC458791 DBC524313:DBC524323 DBC524325:DBC524327 DBC589849:DBC589859 DBC589861:DBC589863 DBC655385:DBC655395 DBC655397:DBC655399 DBC720921:DBC720931 DBC720933:DBC720935 DBC786457:DBC786467 DBC786469:DBC786471 DBC851993:DBC852003 DBC852005:DBC852007 DBC917529:DBC917539 DBC917541:DBC917543 DBC983065:DBC983075 DBC983077:DBC983079 DKY20:DKY31 DKY65561:DKY65571 DKY65573:DKY65575 DKY131097:DKY131107 DKY131109:DKY131111 DKY196633:DKY196643 DKY196645:DKY196647 DKY262169:DKY262179 DKY262181:DKY262183 DKY327705:DKY327715 DKY327717:DKY327719 DKY393241:DKY393251 DKY393253:DKY393255 DKY458777:DKY458787 DKY458789:DKY458791 DKY524313:DKY524323 DKY524325:DKY524327 DKY589849:DKY589859 DKY589861:DKY589863 DKY655385:DKY655395 DKY655397:DKY655399 DKY720921:DKY720931 DKY720933:DKY720935 DKY786457:DKY786467 DKY786469:DKY786471 DKY851993:DKY852003 DKY852005:DKY852007 DKY917529:DKY917539 DKY917541:DKY917543 DKY983065:DKY983075 DKY983077:DKY983079 DUU20:DUU31 DUU65561:DUU65571 DUU65573:DUU65575 DUU131097:DUU131107 DUU131109:DUU131111 DUU196633:DUU196643 DUU196645:DUU196647 DUU262169:DUU262179 DUU262181:DUU262183 DUU327705:DUU327715 DUU327717:DUU327719 DUU393241:DUU393251 DUU393253:DUU393255 DUU458777:DUU458787 DUU458789:DUU458791 DUU524313:DUU524323 DUU524325:DUU524327 DUU589849:DUU589859 DUU589861:DUU589863 DUU655385:DUU655395 DUU655397:DUU655399 DUU720921:DUU720931 DUU720933:DUU720935 DUU786457:DUU786467 DUU786469:DUU786471 DUU851993:DUU852003 DUU852005:DUU852007 DUU917529:DUU917539 DUU917541:DUU917543 DUU983065:DUU983075 DUU983077:DUU983079 EEQ20:EEQ31 EEQ65561:EEQ65571 EEQ65573:EEQ65575 EEQ131097:EEQ131107 EEQ131109:EEQ131111 EEQ196633:EEQ196643 EEQ196645:EEQ196647 EEQ262169:EEQ262179 EEQ262181:EEQ262183 EEQ327705:EEQ327715 EEQ327717:EEQ327719 EEQ393241:EEQ393251 EEQ393253:EEQ393255 EEQ458777:EEQ458787 EEQ458789:EEQ458791 EEQ524313:EEQ524323 EEQ524325:EEQ524327 EEQ589849:EEQ589859 EEQ589861:EEQ589863 EEQ655385:EEQ655395 EEQ655397:EEQ655399 EEQ720921:EEQ720931 EEQ720933:EEQ720935 EEQ786457:EEQ786467 EEQ786469:EEQ786471 EEQ851993:EEQ852003 EEQ852005:EEQ852007 EEQ917529:EEQ917539 EEQ917541:EEQ917543 EEQ983065:EEQ983075 EEQ983077:EEQ983079 EOM20:EOM31 EOM65561:EOM65571 EOM65573:EOM65575 EOM131097:EOM131107 EOM131109:EOM131111 EOM196633:EOM196643 EOM196645:EOM196647 EOM262169:EOM262179 EOM262181:EOM262183 EOM327705:EOM327715 EOM327717:EOM327719 EOM393241:EOM393251 EOM393253:EOM393255 EOM458777:EOM458787 EOM458789:EOM458791 EOM524313:EOM524323 EOM524325:EOM524327 EOM589849:EOM589859 EOM589861:EOM589863 EOM655385:EOM655395 EOM655397:EOM655399 EOM720921:EOM720931 EOM720933:EOM720935 EOM786457:EOM786467 EOM786469:EOM786471 EOM851993:EOM852003 EOM852005:EOM852007 EOM917529:EOM917539 EOM917541:EOM917543 EOM983065:EOM983075 EOM983077:EOM983079 EYI20:EYI31 EYI65561:EYI65571 EYI65573:EYI65575 EYI131097:EYI131107 EYI131109:EYI131111 EYI196633:EYI196643 EYI196645:EYI196647 EYI262169:EYI262179 EYI262181:EYI262183 EYI327705:EYI327715 EYI327717:EYI327719 EYI393241:EYI393251 EYI393253:EYI393255 EYI458777:EYI458787 EYI458789:EYI458791 EYI524313:EYI524323 EYI524325:EYI524327 EYI589849:EYI589859 EYI589861:EYI589863 EYI655385:EYI655395 EYI655397:EYI655399 EYI720921:EYI720931 EYI720933:EYI720935 EYI786457:EYI786467 EYI786469:EYI786471 EYI851993:EYI852003 EYI852005:EYI852007 EYI917529:EYI917539 EYI917541:EYI917543 EYI983065:EYI983075 EYI983077:EYI983079 FIE20:FIE31 FIE65561:FIE65571 FIE65573:FIE65575 FIE131097:FIE131107 FIE131109:FIE131111 FIE196633:FIE196643 FIE196645:FIE196647 FIE262169:FIE262179 FIE262181:FIE262183 FIE327705:FIE327715 FIE327717:FIE327719 FIE393241:FIE393251 FIE393253:FIE393255 FIE458777:FIE458787 FIE458789:FIE458791 FIE524313:FIE524323 FIE524325:FIE524327 FIE589849:FIE589859 FIE589861:FIE589863 FIE655385:FIE655395 FIE655397:FIE655399 FIE720921:FIE720931 FIE720933:FIE720935 FIE786457:FIE786467 FIE786469:FIE786471 FIE851993:FIE852003 FIE852005:FIE852007 FIE917529:FIE917539 FIE917541:FIE917543 FIE983065:FIE983075 FIE983077:FIE983079 FSA20:FSA31 FSA65561:FSA65571 FSA65573:FSA65575 FSA131097:FSA131107 FSA131109:FSA131111 FSA196633:FSA196643 FSA196645:FSA196647 FSA262169:FSA262179 FSA262181:FSA262183 FSA327705:FSA327715 FSA327717:FSA327719 FSA393241:FSA393251 FSA393253:FSA393255 FSA458777:FSA458787 FSA458789:FSA458791 FSA524313:FSA524323 FSA524325:FSA524327 FSA589849:FSA589859 FSA589861:FSA589863 FSA655385:FSA655395 FSA655397:FSA655399 FSA720921:FSA720931 FSA720933:FSA720935 FSA786457:FSA786467 FSA786469:FSA786471 FSA851993:FSA852003 FSA852005:FSA852007 FSA917529:FSA917539 FSA917541:FSA917543 FSA983065:FSA983075 FSA983077:FSA983079 GBW20:GBW31 GBW65561:GBW65571 GBW65573:GBW65575 GBW131097:GBW131107 GBW131109:GBW131111 GBW196633:GBW196643 GBW196645:GBW196647 GBW262169:GBW262179 GBW262181:GBW262183 GBW327705:GBW327715 GBW327717:GBW327719 GBW393241:GBW393251 GBW393253:GBW393255 GBW458777:GBW458787 GBW458789:GBW458791 GBW524313:GBW524323 GBW524325:GBW524327 GBW589849:GBW589859 GBW589861:GBW589863 GBW655385:GBW655395 GBW655397:GBW655399 GBW720921:GBW720931 GBW720933:GBW720935 GBW786457:GBW786467 GBW786469:GBW786471 GBW851993:GBW852003 GBW852005:GBW852007 GBW917529:GBW917539 GBW917541:GBW917543 GBW983065:GBW983075 GBW983077:GBW983079 GLS20:GLS31 GLS65561:GLS65571 GLS65573:GLS65575 GLS131097:GLS131107 GLS131109:GLS131111 GLS196633:GLS196643 GLS196645:GLS196647 GLS262169:GLS262179 GLS262181:GLS262183 GLS327705:GLS327715 GLS327717:GLS327719 GLS393241:GLS393251 GLS393253:GLS393255 GLS458777:GLS458787 GLS458789:GLS458791 GLS524313:GLS524323 GLS524325:GLS524327 GLS589849:GLS589859 GLS589861:GLS589863 GLS655385:GLS655395 GLS655397:GLS655399 GLS720921:GLS720931 GLS720933:GLS720935 GLS786457:GLS786467 GLS786469:GLS786471 GLS851993:GLS852003 GLS852005:GLS852007 GLS917529:GLS917539 GLS917541:GLS917543 GLS983065:GLS983075 GLS983077:GLS983079 GVO20:GVO31 GVO65561:GVO65571 GVO65573:GVO65575 GVO131097:GVO131107 GVO131109:GVO131111 GVO196633:GVO196643 GVO196645:GVO196647 GVO262169:GVO262179 GVO262181:GVO262183 GVO327705:GVO327715 GVO327717:GVO327719 GVO393241:GVO393251 GVO393253:GVO393255 GVO458777:GVO458787 GVO458789:GVO458791 GVO524313:GVO524323 GVO524325:GVO524327 GVO589849:GVO589859 GVO589861:GVO589863 GVO655385:GVO655395 GVO655397:GVO655399 GVO720921:GVO720931 GVO720933:GVO720935 GVO786457:GVO786467 GVO786469:GVO786471 GVO851993:GVO852003 GVO852005:GVO852007 GVO917529:GVO917539 GVO917541:GVO917543 GVO983065:GVO983075 GVO983077:GVO983079 HFK20:HFK31 HFK65561:HFK65571 HFK65573:HFK65575 HFK131097:HFK131107 HFK131109:HFK131111 HFK196633:HFK196643 HFK196645:HFK196647 HFK262169:HFK262179 HFK262181:HFK262183 HFK327705:HFK327715 HFK327717:HFK327719 HFK393241:HFK393251 HFK393253:HFK393255 HFK458777:HFK458787 HFK458789:HFK458791 HFK524313:HFK524323 HFK524325:HFK524327 HFK589849:HFK589859 HFK589861:HFK589863 HFK655385:HFK655395 HFK655397:HFK655399 HFK720921:HFK720931 HFK720933:HFK720935 HFK786457:HFK786467 HFK786469:HFK786471 HFK851993:HFK852003 HFK852005:HFK852007 HFK917529:HFK917539 HFK917541:HFK917543 HFK983065:HFK983075 HFK983077:HFK983079 HPG20:HPG31 HPG65561:HPG65571 HPG65573:HPG65575 HPG131097:HPG131107 HPG131109:HPG131111 HPG196633:HPG196643 HPG196645:HPG196647 HPG262169:HPG262179 HPG262181:HPG262183 HPG327705:HPG327715 HPG327717:HPG327719 HPG393241:HPG393251 HPG393253:HPG393255 HPG458777:HPG458787 HPG458789:HPG458791 HPG524313:HPG524323 HPG524325:HPG524327 HPG589849:HPG589859 HPG589861:HPG589863 HPG655385:HPG655395 HPG655397:HPG655399 HPG720921:HPG720931 HPG720933:HPG720935 HPG786457:HPG786467 HPG786469:HPG786471 HPG851993:HPG852003 HPG852005:HPG852007 HPG917529:HPG917539 HPG917541:HPG917543 HPG983065:HPG983075 HPG983077:HPG983079 HZC20:HZC31 HZC65561:HZC65571 HZC65573:HZC65575 HZC131097:HZC131107 HZC131109:HZC131111 HZC196633:HZC196643 HZC196645:HZC196647 HZC262169:HZC262179 HZC262181:HZC262183 HZC327705:HZC327715 HZC327717:HZC327719 HZC393241:HZC393251 HZC393253:HZC393255 HZC458777:HZC458787 HZC458789:HZC458791 HZC524313:HZC524323 HZC524325:HZC524327 HZC589849:HZC589859 HZC589861:HZC589863 HZC655385:HZC655395 HZC655397:HZC655399 HZC720921:HZC720931 HZC720933:HZC720935 HZC786457:HZC786467 HZC786469:HZC786471 HZC851993:HZC852003 HZC852005:HZC852007 HZC917529:HZC917539 HZC917541:HZC917543 HZC983065:HZC983075 HZC983077:HZC983079 IIY20:IIY31 IIY65561:IIY65571 IIY65573:IIY65575 IIY131097:IIY131107 IIY131109:IIY131111 IIY196633:IIY196643 IIY196645:IIY196647 IIY262169:IIY262179 IIY262181:IIY262183 IIY327705:IIY327715 IIY327717:IIY327719 IIY393241:IIY393251 IIY393253:IIY393255 IIY458777:IIY458787 IIY458789:IIY458791 IIY524313:IIY524323 IIY524325:IIY524327 IIY589849:IIY589859 IIY589861:IIY589863 IIY655385:IIY655395 IIY655397:IIY655399 IIY720921:IIY720931 IIY720933:IIY720935 IIY786457:IIY786467 IIY786469:IIY786471 IIY851993:IIY852003 IIY852005:IIY852007 IIY917529:IIY917539 IIY917541:IIY917543 IIY983065:IIY983075 IIY983077:IIY983079 ISU20:ISU31 ISU65561:ISU65571 ISU65573:ISU65575 ISU131097:ISU131107 ISU131109:ISU131111 ISU196633:ISU196643 ISU196645:ISU196647 ISU262169:ISU262179 ISU262181:ISU262183 ISU327705:ISU327715 ISU327717:ISU327719 ISU393241:ISU393251 ISU393253:ISU393255 ISU458777:ISU458787 ISU458789:ISU458791 ISU524313:ISU524323 ISU524325:ISU524327 ISU589849:ISU589859 ISU589861:ISU589863 ISU655385:ISU655395 ISU655397:ISU655399 ISU720921:ISU720931 ISU720933:ISU720935 ISU786457:ISU786467 ISU786469:ISU786471 ISU851993:ISU852003 ISU852005:ISU852007 ISU917529:ISU917539 ISU917541:ISU917543 ISU983065:ISU983075 ISU983077:ISU983079 JCQ20:JCQ31 JCQ65561:JCQ65571 JCQ65573:JCQ65575 JCQ131097:JCQ131107 JCQ131109:JCQ131111 JCQ196633:JCQ196643 JCQ196645:JCQ196647 JCQ262169:JCQ262179 JCQ262181:JCQ262183 JCQ327705:JCQ327715 JCQ327717:JCQ327719 JCQ393241:JCQ393251 JCQ393253:JCQ393255 JCQ458777:JCQ458787 JCQ458789:JCQ458791 JCQ524313:JCQ524323 JCQ524325:JCQ524327 JCQ589849:JCQ589859 JCQ589861:JCQ589863 JCQ655385:JCQ655395 JCQ655397:JCQ655399 JCQ720921:JCQ720931 JCQ720933:JCQ720935 JCQ786457:JCQ786467 JCQ786469:JCQ786471 JCQ851993:JCQ852003 JCQ852005:JCQ852007 JCQ917529:JCQ917539 JCQ917541:JCQ917543 JCQ983065:JCQ983075 JCQ983077:JCQ983079 JMM20:JMM31 JMM65561:JMM65571 JMM65573:JMM65575 JMM131097:JMM131107 JMM131109:JMM131111 JMM196633:JMM196643 JMM196645:JMM196647 JMM262169:JMM262179 JMM262181:JMM262183 JMM327705:JMM327715 JMM327717:JMM327719 JMM393241:JMM393251 JMM393253:JMM393255 JMM458777:JMM458787 JMM458789:JMM458791 JMM524313:JMM524323 JMM524325:JMM524327 JMM589849:JMM589859 JMM589861:JMM589863 JMM655385:JMM655395 JMM655397:JMM655399 JMM720921:JMM720931 JMM720933:JMM720935 JMM786457:JMM786467 JMM786469:JMM786471 JMM851993:JMM852003 JMM852005:JMM852007 JMM917529:JMM917539 JMM917541:JMM917543 JMM983065:JMM983075 JMM983077:JMM983079 JWI20:JWI31 JWI65561:JWI65571 JWI65573:JWI65575 JWI131097:JWI131107 JWI131109:JWI131111 JWI196633:JWI196643 JWI196645:JWI196647 JWI262169:JWI262179 JWI262181:JWI262183 JWI327705:JWI327715 JWI327717:JWI327719 JWI393241:JWI393251 JWI393253:JWI393255 JWI458777:JWI458787 JWI458789:JWI458791 JWI524313:JWI524323 JWI524325:JWI524327 JWI589849:JWI589859 JWI589861:JWI589863 JWI655385:JWI655395 JWI655397:JWI655399 JWI720921:JWI720931 JWI720933:JWI720935 JWI786457:JWI786467 JWI786469:JWI786471 JWI851993:JWI852003 JWI852005:JWI852007 JWI917529:JWI917539 JWI917541:JWI917543 JWI983065:JWI983075 JWI983077:JWI983079 KGE20:KGE31 KGE65561:KGE65571 KGE65573:KGE65575 KGE131097:KGE131107 KGE131109:KGE131111 KGE196633:KGE196643 KGE196645:KGE196647 KGE262169:KGE262179 KGE262181:KGE262183 KGE327705:KGE327715 KGE327717:KGE327719 KGE393241:KGE393251 KGE393253:KGE393255 KGE458777:KGE458787 KGE458789:KGE458791 KGE524313:KGE524323 KGE524325:KGE524327 KGE589849:KGE589859 KGE589861:KGE589863 KGE655385:KGE655395 KGE655397:KGE655399 KGE720921:KGE720931 KGE720933:KGE720935 KGE786457:KGE786467 KGE786469:KGE786471 KGE851993:KGE852003 KGE852005:KGE852007 KGE917529:KGE917539 KGE917541:KGE917543 KGE983065:KGE983075 KGE983077:KGE983079 KQA20:KQA31 KQA65561:KQA65571 KQA65573:KQA65575 KQA131097:KQA131107 KQA131109:KQA131111 KQA196633:KQA196643 KQA196645:KQA196647 KQA262169:KQA262179 KQA262181:KQA262183 KQA327705:KQA327715 KQA327717:KQA327719 KQA393241:KQA393251 KQA393253:KQA393255 KQA458777:KQA458787 KQA458789:KQA458791 KQA524313:KQA524323 KQA524325:KQA524327 KQA589849:KQA589859 KQA589861:KQA589863 KQA655385:KQA655395 KQA655397:KQA655399 KQA720921:KQA720931 KQA720933:KQA720935 KQA786457:KQA786467 KQA786469:KQA786471 KQA851993:KQA852003 KQA852005:KQA852007 KQA917529:KQA917539 KQA917541:KQA917543 KQA983065:KQA983075 KQA983077:KQA983079 KZW20:KZW31 KZW65561:KZW65571 KZW65573:KZW65575 KZW131097:KZW131107 KZW131109:KZW131111 KZW196633:KZW196643 KZW196645:KZW196647 KZW262169:KZW262179 KZW262181:KZW262183 KZW327705:KZW327715 KZW327717:KZW327719 KZW393241:KZW393251 KZW393253:KZW393255 KZW458777:KZW458787 KZW458789:KZW458791 KZW524313:KZW524323 KZW524325:KZW524327 KZW589849:KZW589859 KZW589861:KZW589863 KZW655385:KZW655395 KZW655397:KZW655399 KZW720921:KZW720931 KZW720933:KZW720935 KZW786457:KZW786467 KZW786469:KZW786471 KZW851993:KZW852003 KZW852005:KZW852007 KZW917529:KZW917539 KZW917541:KZW917543 KZW983065:KZW983075 KZW983077:KZW983079 LJS20:LJS31 LJS65561:LJS65571 LJS65573:LJS65575 LJS131097:LJS131107 LJS131109:LJS131111 LJS196633:LJS196643 LJS196645:LJS196647 LJS262169:LJS262179 LJS262181:LJS262183 LJS327705:LJS327715 LJS327717:LJS327719 LJS393241:LJS393251 LJS393253:LJS393255 LJS458777:LJS458787 LJS458789:LJS458791 LJS524313:LJS524323 LJS524325:LJS524327 LJS589849:LJS589859 LJS589861:LJS589863 LJS655385:LJS655395 LJS655397:LJS655399 LJS720921:LJS720931 LJS720933:LJS720935 LJS786457:LJS786467 LJS786469:LJS786471 LJS851993:LJS852003 LJS852005:LJS852007 LJS917529:LJS917539 LJS917541:LJS917543 LJS983065:LJS983075 LJS983077:LJS983079 LTO20:LTO31 LTO65561:LTO65571 LTO65573:LTO65575 LTO131097:LTO131107 LTO131109:LTO131111 LTO196633:LTO196643 LTO196645:LTO196647 LTO262169:LTO262179 LTO262181:LTO262183 LTO327705:LTO327715 LTO327717:LTO327719 LTO393241:LTO393251 LTO393253:LTO393255 LTO458777:LTO458787 LTO458789:LTO458791 LTO524313:LTO524323 LTO524325:LTO524327 LTO589849:LTO589859 LTO589861:LTO589863 LTO655385:LTO655395 LTO655397:LTO655399 LTO720921:LTO720931 LTO720933:LTO720935 LTO786457:LTO786467 LTO786469:LTO786471 LTO851993:LTO852003 LTO852005:LTO852007 LTO917529:LTO917539 LTO917541:LTO917543 LTO983065:LTO983075 LTO983077:LTO983079 MDK20:MDK31 MDK65561:MDK65571 MDK65573:MDK65575 MDK131097:MDK131107 MDK131109:MDK131111 MDK196633:MDK196643 MDK196645:MDK196647 MDK262169:MDK262179 MDK262181:MDK262183 MDK327705:MDK327715 MDK327717:MDK327719 MDK393241:MDK393251 MDK393253:MDK393255 MDK458777:MDK458787 MDK458789:MDK458791 MDK524313:MDK524323 MDK524325:MDK524327 MDK589849:MDK589859 MDK589861:MDK589863 MDK655385:MDK655395 MDK655397:MDK655399 MDK720921:MDK720931 MDK720933:MDK720935 MDK786457:MDK786467 MDK786469:MDK786471 MDK851993:MDK852003 MDK852005:MDK852007 MDK917529:MDK917539 MDK917541:MDK917543 MDK983065:MDK983075 MDK983077:MDK983079 MNG20:MNG31 MNG65561:MNG65571 MNG65573:MNG65575 MNG131097:MNG131107 MNG131109:MNG131111 MNG196633:MNG196643 MNG196645:MNG196647 MNG262169:MNG262179 MNG262181:MNG262183 MNG327705:MNG327715 MNG327717:MNG327719 MNG393241:MNG393251 MNG393253:MNG393255 MNG458777:MNG458787 MNG458789:MNG458791 MNG524313:MNG524323 MNG524325:MNG524327 MNG589849:MNG589859 MNG589861:MNG589863 MNG655385:MNG655395 MNG655397:MNG655399 MNG720921:MNG720931 MNG720933:MNG720935 MNG786457:MNG786467 MNG786469:MNG786471 MNG851993:MNG852003 MNG852005:MNG852007 MNG917529:MNG917539 MNG917541:MNG917543 MNG983065:MNG983075 MNG983077:MNG983079 MXC20:MXC31 MXC65561:MXC65571 MXC65573:MXC65575 MXC131097:MXC131107 MXC131109:MXC131111 MXC196633:MXC196643 MXC196645:MXC196647 MXC262169:MXC262179 MXC262181:MXC262183 MXC327705:MXC327715 MXC327717:MXC327719 MXC393241:MXC393251 MXC393253:MXC393255 MXC458777:MXC458787 MXC458789:MXC458791 MXC524313:MXC524323 MXC524325:MXC524327 MXC589849:MXC589859 MXC589861:MXC589863 MXC655385:MXC655395 MXC655397:MXC655399 MXC720921:MXC720931 MXC720933:MXC720935 MXC786457:MXC786467 MXC786469:MXC786471 MXC851993:MXC852003 MXC852005:MXC852007 MXC917529:MXC917539 MXC917541:MXC917543 MXC983065:MXC983075 MXC983077:MXC983079 NGY20:NGY31 NGY65561:NGY65571 NGY65573:NGY65575 NGY131097:NGY131107 NGY131109:NGY131111 NGY196633:NGY196643 NGY196645:NGY196647 NGY262169:NGY262179 NGY262181:NGY262183 NGY327705:NGY327715 NGY327717:NGY327719 NGY393241:NGY393251 NGY393253:NGY393255 NGY458777:NGY458787 NGY458789:NGY458791 NGY524313:NGY524323 NGY524325:NGY524327 NGY589849:NGY589859 NGY589861:NGY589863 NGY655385:NGY655395 NGY655397:NGY655399 NGY720921:NGY720931 NGY720933:NGY720935 NGY786457:NGY786467 NGY786469:NGY786471 NGY851993:NGY852003 NGY852005:NGY852007 NGY917529:NGY917539 NGY917541:NGY917543 NGY983065:NGY983075 NGY983077:NGY983079 NQU20:NQU31 NQU65561:NQU65571 NQU65573:NQU65575 NQU131097:NQU131107 NQU131109:NQU131111 NQU196633:NQU196643 NQU196645:NQU196647 NQU262169:NQU262179 NQU262181:NQU262183 NQU327705:NQU327715 NQU327717:NQU327719 NQU393241:NQU393251 NQU393253:NQU393255 NQU458777:NQU458787 NQU458789:NQU458791 NQU524313:NQU524323 NQU524325:NQU524327 NQU589849:NQU589859 NQU589861:NQU589863 NQU655385:NQU655395 NQU655397:NQU655399 NQU720921:NQU720931 NQU720933:NQU720935 NQU786457:NQU786467 NQU786469:NQU786471 NQU851993:NQU852003 NQU852005:NQU852007 NQU917529:NQU917539 NQU917541:NQU917543 NQU983065:NQU983075 NQU983077:NQU983079 OAQ20:OAQ31 OAQ65561:OAQ65571 OAQ65573:OAQ65575 OAQ131097:OAQ131107 OAQ131109:OAQ131111 OAQ196633:OAQ196643 OAQ196645:OAQ196647 OAQ262169:OAQ262179 OAQ262181:OAQ262183 OAQ327705:OAQ327715 OAQ327717:OAQ327719 OAQ393241:OAQ393251 OAQ393253:OAQ393255 OAQ458777:OAQ458787 OAQ458789:OAQ458791 OAQ524313:OAQ524323 OAQ524325:OAQ524327 OAQ589849:OAQ589859 OAQ589861:OAQ589863 OAQ655385:OAQ655395 OAQ655397:OAQ655399 OAQ720921:OAQ720931 OAQ720933:OAQ720935 OAQ786457:OAQ786467 OAQ786469:OAQ786471 OAQ851993:OAQ852003 OAQ852005:OAQ852007 OAQ917529:OAQ917539 OAQ917541:OAQ917543 OAQ983065:OAQ983075 OAQ983077:OAQ983079 OKM20:OKM31 OKM65561:OKM65571 OKM65573:OKM65575 OKM131097:OKM131107 OKM131109:OKM131111 OKM196633:OKM196643 OKM196645:OKM196647 OKM262169:OKM262179 OKM262181:OKM262183 OKM327705:OKM327715 OKM327717:OKM327719 OKM393241:OKM393251 OKM393253:OKM393255 OKM458777:OKM458787 OKM458789:OKM458791 OKM524313:OKM524323 OKM524325:OKM524327 OKM589849:OKM589859 OKM589861:OKM589863 OKM655385:OKM655395 OKM655397:OKM655399 OKM720921:OKM720931 OKM720933:OKM720935 OKM786457:OKM786467 OKM786469:OKM786471 OKM851993:OKM852003 OKM852005:OKM852007 OKM917529:OKM917539 OKM917541:OKM917543 OKM983065:OKM983075 OKM983077:OKM983079 OUI20:OUI31 OUI65561:OUI65571 OUI65573:OUI65575 OUI131097:OUI131107 OUI131109:OUI131111 OUI196633:OUI196643 OUI196645:OUI196647 OUI262169:OUI262179 OUI262181:OUI262183 OUI327705:OUI327715 OUI327717:OUI327719 OUI393241:OUI393251 OUI393253:OUI393255 OUI458777:OUI458787 OUI458789:OUI458791 OUI524313:OUI524323 OUI524325:OUI524327 OUI589849:OUI589859 OUI589861:OUI589863 OUI655385:OUI655395 OUI655397:OUI655399 OUI720921:OUI720931 OUI720933:OUI720935 OUI786457:OUI786467 OUI786469:OUI786471 OUI851993:OUI852003 OUI852005:OUI852007 OUI917529:OUI917539 OUI917541:OUI917543 OUI983065:OUI983075 OUI983077:OUI983079 PEE20:PEE31 PEE65561:PEE65571 PEE65573:PEE65575 PEE131097:PEE131107 PEE131109:PEE131111 PEE196633:PEE196643 PEE196645:PEE196647 PEE262169:PEE262179 PEE262181:PEE262183 PEE327705:PEE327715 PEE327717:PEE327719 PEE393241:PEE393251 PEE393253:PEE393255 PEE458777:PEE458787 PEE458789:PEE458791 PEE524313:PEE524323 PEE524325:PEE524327 PEE589849:PEE589859 PEE589861:PEE589863 PEE655385:PEE655395 PEE655397:PEE655399 PEE720921:PEE720931 PEE720933:PEE720935 PEE786457:PEE786467 PEE786469:PEE786471 PEE851993:PEE852003 PEE852005:PEE852007 PEE917529:PEE917539 PEE917541:PEE917543 PEE983065:PEE983075 PEE983077:PEE983079 POA20:POA31 POA65561:POA65571 POA65573:POA65575 POA131097:POA131107 POA131109:POA131111 POA196633:POA196643 POA196645:POA196647 POA262169:POA262179 POA262181:POA262183 POA327705:POA327715 POA327717:POA327719 POA393241:POA393251 POA393253:POA393255 POA458777:POA458787 POA458789:POA458791 POA524313:POA524323 POA524325:POA524327 POA589849:POA589859 POA589861:POA589863 POA655385:POA655395 POA655397:POA655399 POA720921:POA720931 POA720933:POA720935 POA786457:POA786467 POA786469:POA786471 POA851993:POA852003 POA852005:POA852007 POA917529:POA917539 POA917541:POA917543 POA983065:POA983075 POA983077:POA983079 PXW20:PXW31 PXW65561:PXW65571 PXW65573:PXW65575 PXW131097:PXW131107 PXW131109:PXW131111 PXW196633:PXW196643 PXW196645:PXW196647 PXW262169:PXW262179 PXW262181:PXW262183 PXW327705:PXW327715 PXW327717:PXW327719 PXW393241:PXW393251 PXW393253:PXW393255 PXW458777:PXW458787 PXW458789:PXW458791 PXW524313:PXW524323 PXW524325:PXW524327 PXW589849:PXW589859 PXW589861:PXW589863 PXW655385:PXW655395 PXW655397:PXW655399 PXW720921:PXW720931 PXW720933:PXW720935 PXW786457:PXW786467 PXW786469:PXW786471 PXW851993:PXW852003 PXW852005:PXW852007 PXW917529:PXW917539 PXW917541:PXW917543 PXW983065:PXW983075 PXW983077:PXW983079 QHS20:QHS31 QHS65561:QHS65571 QHS65573:QHS65575 QHS131097:QHS131107 QHS131109:QHS131111 QHS196633:QHS196643 QHS196645:QHS196647 QHS262169:QHS262179 QHS262181:QHS262183 QHS327705:QHS327715 QHS327717:QHS327719 QHS393241:QHS393251 QHS393253:QHS393255 QHS458777:QHS458787 QHS458789:QHS458791 QHS524313:QHS524323 QHS524325:QHS524327 QHS589849:QHS589859 QHS589861:QHS589863 QHS655385:QHS655395 QHS655397:QHS655399 QHS720921:QHS720931 QHS720933:QHS720935 QHS786457:QHS786467 QHS786469:QHS786471 QHS851993:QHS852003 QHS852005:QHS852007 QHS917529:QHS917539 QHS917541:QHS917543 QHS983065:QHS983075 QHS983077:QHS983079 QRO20:QRO31 QRO65561:QRO65571 QRO65573:QRO65575 QRO131097:QRO131107 QRO131109:QRO131111 QRO196633:QRO196643 QRO196645:QRO196647 QRO262169:QRO262179 QRO262181:QRO262183 QRO327705:QRO327715 QRO327717:QRO327719 QRO393241:QRO393251 QRO393253:QRO393255 QRO458777:QRO458787 QRO458789:QRO458791 QRO524313:QRO524323 QRO524325:QRO524327 QRO589849:QRO589859 QRO589861:QRO589863 QRO655385:QRO655395 QRO655397:QRO655399 QRO720921:QRO720931 QRO720933:QRO720935 QRO786457:QRO786467 QRO786469:QRO786471 QRO851993:QRO852003 QRO852005:QRO852007 QRO917529:QRO917539 QRO917541:QRO917543 QRO983065:QRO983075 QRO983077:QRO983079 RBK20:RBK31 RBK65561:RBK65571 RBK65573:RBK65575 RBK131097:RBK131107 RBK131109:RBK131111 RBK196633:RBK196643 RBK196645:RBK196647 RBK262169:RBK262179 RBK262181:RBK262183 RBK327705:RBK327715 RBK327717:RBK327719 RBK393241:RBK393251 RBK393253:RBK393255 RBK458777:RBK458787 RBK458789:RBK458791 RBK524313:RBK524323 RBK524325:RBK524327 RBK589849:RBK589859 RBK589861:RBK589863 RBK655385:RBK655395 RBK655397:RBK655399 RBK720921:RBK720931 RBK720933:RBK720935 RBK786457:RBK786467 RBK786469:RBK786471 RBK851993:RBK852003 RBK852005:RBK852007 RBK917529:RBK917539 RBK917541:RBK917543 RBK983065:RBK983075 RBK983077:RBK983079 RLG20:RLG31 RLG65561:RLG65571 RLG65573:RLG65575 RLG131097:RLG131107 RLG131109:RLG131111 RLG196633:RLG196643 RLG196645:RLG196647 RLG262169:RLG262179 RLG262181:RLG262183 RLG327705:RLG327715 RLG327717:RLG327719 RLG393241:RLG393251 RLG393253:RLG393255 RLG458777:RLG458787 RLG458789:RLG458791 RLG524313:RLG524323 RLG524325:RLG524327 RLG589849:RLG589859 RLG589861:RLG589863 RLG655385:RLG655395 RLG655397:RLG655399 RLG720921:RLG720931 RLG720933:RLG720935 RLG786457:RLG786467 RLG786469:RLG786471 RLG851993:RLG852003 RLG852005:RLG852007 RLG917529:RLG917539 RLG917541:RLG917543 RLG983065:RLG983075 RLG983077:RLG983079 RVC20:RVC31 RVC65561:RVC65571 RVC65573:RVC65575 RVC131097:RVC131107 RVC131109:RVC131111 RVC196633:RVC196643 RVC196645:RVC196647 RVC262169:RVC262179 RVC262181:RVC262183 RVC327705:RVC327715 RVC327717:RVC327719 RVC393241:RVC393251 RVC393253:RVC393255 RVC458777:RVC458787 RVC458789:RVC458791 RVC524313:RVC524323 RVC524325:RVC524327 RVC589849:RVC589859 RVC589861:RVC589863 RVC655385:RVC655395 RVC655397:RVC655399 RVC720921:RVC720931 RVC720933:RVC720935 RVC786457:RVC786467 RVC786469:RVC786471 RVC851993:RVC852003 RVC852005:RVC852007 RVC917529:RVC917539 RVC917541:RVC917543 RVC983065:RVC983075 RVC983077:RVC983079 SEY20:SEY31 SEY65561:SEY65571 SEY65573:SEY65575 SEY131097:SEY131107 SEY131109:SEY131111 SEY196633:SEY196643 SEY196645:SEY196647 SEY262169:SEY262179 SEY262181:SEY262183 SEY327705:SEY327715 SEY327717:SEY327719 SEY393241:SEY393251 SEY393253:SEY393255 SEY458777:SEY458787 SEY458789:SEY458791 SEY524313:SEY524323 SEY524325:SEY524327 SEY589849:SEY589859 SEY589861:SEY589863 SEY655385:SEY655395 SEY655397:SEY655399 SEY720921:SEY720931 SEY720933:SEY720935 SEY786457:SEY786467 SEY786469:SEY786471 SEY851993:SEY852003 SEY852005:SEY852007 SEY917529:SEY917539 SEY917541:SEY917543 SEY983065:SEY983075 SEY983077:SEY983079 SOU20:SOU31 SOU65561:SOU65571 SOU65573:SOU65575 SOU131097:SOU131107 SOU131109:SOU131111 SOU196633:SOU196643 SOU196645:SOU196647 SOU262169:SOU262179 SOU262181:SOU262183 SOU327705:SOU327715 SOU327717:SOU327719 SOU393241:SOU393251 SOU393253:SOU393255 SOU458777:SOU458787 SOU458789:SOU458791 SOU524313:SOU524323 SOU524325:SOU524327 SOU589849:SOU589859 SOU589861:SOU589863 SOU655385:SOU655395 SOU655397:SOU655399 SOU720921:SOU720931 SOU720933:SOU720935 SOU786457:SOU786467 SOU786469:SOU786471 SOU851993:SOU852003 SOU852005:SOU852007 SOU917529:SOU917539 SOU917541:SOU917543 SOU983065:SOU983075 SOU983077:SOU983079 SYQ20:SYQ31 SYQ65561:SYQ65571 SYQ65573:SYQ65575 SYQ131097:SYQ131107 SYQ131109:SYQ131111 SYQ196633:SYQ196643 SYQ196645:SYQ196647 SYQ262169:SYQ262179 SYQ262181:SYQ262183 SYQ327705:SYQ327715 SYQ327717:SYQ327719 SYQ393241:SYQ393251 SYQ393253:SYQ393255 SYQ458777:SYQ458787 SYQ458789:SYQ458791 SYQ524313:SYQ524323 SYQ524325:SYQ524327 SYQ589849:SYQ589859 SYQ589861:SYQ589863 SYQ655385:SYQ655395 SYQ655397:SYQ655399 SYQ720921:SYQ720931 SYQ720933:SYQ720935 SYQ786457:SYQ786467 SYQ786469:SYQ786471 SYQ851993:SYQ852003 SYQ852005:SYQ852007 SYQ917529:SYQ917539 SYQ917541:SYQ917543 SYQ983065:SYQ983075 SYQ983077:SYQ983079 TIM20:TIM31 TIM65561:TIM65571 TIM65573:TIM65575 TIM131097:TIM131107 TIM131109:TIM131111 TIM196633:TIM196643 TIM196645:TIM196647 TIM262169:TIM262179 TIM262181:TIM262183 TIM327705:TIM327715 TIM327717:TIM327719 TIM393241:TIM393251 TIM393253:TIM393255 TIM458777:TIM458787 TIM458789:TIM458791 TIM524313:TIM524323 TIM524325:TIM524327 TIM589849:TIM589859 TIM589861:TIM589863 TIM655385:TIM655395 TIM655397:TIM655399 TIM720921:TIM720931 TIM720933:TIM720935 TIM786457:TIM786467 TIM786469:TIM786471 TIM851993:TIM852003 TIM852005:TIM852007 TIM917529:TIM917539 TIM917541:TIM917543 TIM983065:TIM983075 TIM983077:TIM983079 TSI20:TSI31 TSI65561:TSI65571 TSI65573:TSI65575 TSI131097:TSI131107 TSI131109:TSI131111 TSI196633:TSI196643 TSI196645:TSI196647 TSI262169:TSI262179 TSI262181:TSI262183 TSI327705:TSI327715 TSI327717:TSI327719 TSI393241:TSI393251 TSI393253:TSI393255 TSI458777:TSI458787 TSI458789:TSI458791 TSI524313:TSI524323 TSI524325:TSI524327 TSI589849:TSI589859 TSI589861:TSI589863 TSI655385:TSI655395 TSI655397:TSI655399 TSI720921:TSI720931 TSI720933:TSI720935 TSI786457:TSI786467 TSI786469:TSI786471 TSI851993:TSI852003 TSI852005:TSI852007 TSI917529:TSI917539 TSI917541:TSI917543 TSI983065:TSI983075 TSI983077:TSI983079 UCE20:UCE31 UCE65561:UCE65571 UCE65573:UCE65575 UCE131097:UCE131107 UCE131109:UCE131111 UCE196633:UCE196643 UCE196645:UCE196647 UCE262169:UCE262179 UCE262181:UCE262183 UCE327705:UCE327715 UCE327717:UCE327719 UCE393241:UCE393251 UCE393253:UCE393255 UCE458777:UCE458787 UCE458789:UCE458791 UCE524313:UCE524323 UCE524325:UCE524327 UCE589849:UCE589859 UCE589861:UCE589863 UCE655385:UCE655395 UCE655397:UCE655399 UCE720921:UCE720931 UCE720933:UCE720935 UCE786457:UCE786467 UCE786469:UCE786471 UCE851993:UCE852003 UCE852005:UCE852007 UCE917529:UCE917539 UCE917541:UCE917543 UCE983065:UCE983075 UCE983077:UCE983079 UMA20:UMA31 UMA65561:UMA65571 UMA65573:UMA65575 UMA131097:UMA131107 UMA131109:UMA131111 UMA196633:UMA196643 UMA196645:UMA196647 UMA262169:UMA262179 UMA262181:UMA262183 UMA327705:UMA327715 UMA327717:UMA327719 UMA393241:UMA393251 UMA393253:UMA393255 UMA458777:UMA458787 UMA458789:UMA458791 UMA524313:UMA524323 UMA524325:UMA524327 UMA589849:UMA589859 UMA589861:UMA589863 UMA655385:UMA655395 UMA655397:UMA655399 UMA720921:UMA720931 UMA720933:UMA720935 UMA786457:UMA786467 UMA786469:UMA786471 UMA851993:UMA852003 UMA852005:UMA852007 UMA917529:UMA917539 UMA917541:UMA917543 UMA983065:UMA983075 UMA983077:UMA983079 UVW20:UVW31 UVW65561:UVW65571 UVW65573:UVW65575 UVW131097:UVW131107 UVW131109:UVW131111 UVW196633:UVW196643 UVW196645:UVW196647 UVW262169:UVW262179 UVW262181:UVW262183 UVW327705:UVW327715 UVW327717:UVW327719 UVW393241:UVW393251 UVW393253:UVW393255 UVW458777:UVW458787 UVW458789:UVW458791 UVW524313:UVW524323 UVW524325:UVW524327 UVW589849:UVW589859 UVW589861:UVW589863 UVW655385:UVW655395 UVW655397:UVW655399 UVW720921:UVW720931 UVW720933:UVW720935 UVW786457:UVW786467 UVW786469:UVW786471 UVW851993:UVW852003 UVW852005:UVW852007 UVW917529:UVW917539 UVW917541:UVW917543 UVW983065:UVW983075 UVW983077:UVW983079 VFS20:VFS31 VFS65561:VFS65571 VFS65573:VFS65575 VFS131097:VFS131107 VFS131109:VFS131111 VFS196633:VFS196643 VFS196645:VFS196647 VFS262169:VFS262179 VFS262181:VFS262183 VFS327705:VFS327715 VFS327717:VFS327719 VFS393241:VFS393251 VFS393253:VFS393255 VFS458777:VFS458787 VFS458789:VFS458791 VFS524313:VFS524323 VFS524325:VFS524327 VFS589849:VFS589859 VFS589861:VFS589863 VFS655385:VFS655395 VFS655397:VFS655399 VFS720921:VFS720931 VFS720933:VFS720935 VFS786457:VFS786467 VFS786469:VFS786471 VFS851993:VFS852003 VFS852005:VFS852007 VFS917529:VFS917539 VFS917541:VFS917543 VFS983065:VFS983075 VFS983077:VFS983079 VPO20:VPO31 VPO65561:VPO65571 VPO65573:VPO65575 VPO131097:VPO131107 VPO131109:VPO131111 VPO196633:VPO196643 VPO196645:VPO196647 VPO262169:VPO262179 VPO262181:VPO262183 VPO327705:VPO327715 VPO327717:VPO327719 VPO393241:VPO393251 VPO393253:VPO393255 VPO458777:VPO458787 VPO458789:VPO458791 VPO524313:VPO524323 VPO524325:VPO524327 VPO589849:VPO589859 VPO589861:VPO589863 VPO655385:VPO655395 VPO655397:VPO655399 VPO720921:VPO720931 VPO720933:VPO720935 VPO786457:VPO786467 VPO786469:VPO786471 VPO851993:VPO852003 VPO852005:VPO852007 VPO917529:VPO917539 VPO917541:VPO917543 VPO983065:VPO983075 VPO983077:VPO983079 VZK20:VZK31 VZK65561:VZK65571 VZK65573:VZK65575 VZK131097:VZK131107 VZK131109:VZK131111 VZK196633:VZK196643 VZK196645:VZK196647 VZK262169:VZK262179 VZK262181:VZK262183 VZK327705:VZK327715 VZK327717:VZK327719 VZK393241:VZK393251 VZK393253:VZK393255 VZK458777:VZK458787 VZK458789:VZK458791 VZK524313:VZK524323 VZK524325:VZK524327 VZK589849:VZK589859 VZK589861:VZK589863 VZK655385:VZK655395 VZK655397:VZK655399 VZK720921:VZK720931 VZK720933:VZK720935 VZK786457:VZK786467 VZK786469:VZK786471 VZK851993:VZK852003 VZK852005:VZK852007 VZK917529:VZK917539 VZK917541:VZK917543 VZK983065:VZK983075 VZK983077:VZK983079 WJG20:WJG31 WJG65561:WJG65571 WJG65573:WJG65575 WJG131097:WJG131107 WJG131109:WJG131111 WJG196633:WJG196643 WJG196645:WJG196647 WJG262169:WJG262179 WJG262181:WJG262183 WJG327705:WJG327715 WJG327717:WJG327719 WJG393241:WJG393251 WJG393253:WJG393255 WJG458777:WJG458787 WJG458789:WJG458791 WJG524313:WJG524323 WJG524325:WJG524327 WJG589849:WJG589859 WJG589861:WJG589863 WJG655385:WJG655395 WJG655397:WJG655399 WJG720921:WJG720931 WJG720933:WJG720935 WJG786457:WJG786467 WJG786469:WJG786471 WJG851993:WJG852003 WJG852005:WJG852007 WJG917529:WJG917539 WJG917541:WJG917543 WJG983065:WJG983075 WJG983077:WJG983079 WTC20:WTC31 WTC65561:WTC65571 WTC65573:WTC65575 WTC131097:WTC131107 WTC131109:WTC131111 WTC196633:WTC196643 WTC196645:WTC196647 WTC262169:WTC262179 WTC262181:WTC262183 WTC327705:WTC327715 WTC327717:WTC327719 WTC393241:WTC393251 WTC393253:WTC393255 WTC458777:WTC458787 WTC458789:WTC458791 WTC524313:WTC524323 WTC524325:WTC524327 WTC589849:WTC589859 WTC589861:WTC589863 WTC655385:WTC655395 WTC655397:WTC655399 WTC720921:WTC720931 WTC720933:WTC720935 WTC786457:WTC786467 WTC786469:WTC786471 WTC851993:WTC852003 WTC852005:WTC852007 WTC917529:WTC917539 WTC917541:WTC917543 WTC983065:WTC983075 WTC983077:WTC983079"/>
  </dataValidations>
  <pageMargins left="0.25" right="0.25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PACKING</vt:lpstr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cp:lastPrinted>2025-12-09T02:32:00Z</cp:lastPrinted>
  <dcterms:modified xsi:type="dcterms:W3CDTF">2025-12-09T06:26:15Z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