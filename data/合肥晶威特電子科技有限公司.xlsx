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385" windowHeight="8265"/>
  </bookViews>
  <sheets>
    <sheet name="INVOICE" sheetId="1" r:id="rId1"/>
    <sheet name="PACKING" sheetId="2" r:id="rId2"/>
  </sheets>
  <calcPr calcId="144525"/>
</workbook>
</file>

<file path=xl/comments1.xml><?xml version="1.0" encoding="utf-8"?>
<comments xmlns="http://schemas.openxmlformats.org/spreadsheetml/2006/main">
  <authors>
    <author>D000208</author>
  </authors>
  <commentList>
    <comment ref="K19" authorId="0">
      <text>
        <r>
          <rPr>
            <sz val="14"/>
            <rFont val="宋体"/>
            <charset val="134"/>
          </rPr>
          <t>若是集成电路，需提供晶圆制造地,非集成电路,无需晶圆制造地</t>
        </r>
      </text>
    </comment>
  </commentList>
</comments>
</file>

<file path=xl/sharedStrings.xml><?xml version="1.0" encoding="utf-8"?>
<sst xmlns="http://schemas.openxmlformats.org/spreadsheetml/2006/main" count="212" uniqueCount="95">
  <si>
    <t>COMMERCIAL INVOICE</t>
  </si>
  <si>
    <t>Shipper/Exporter</t>
  </si>
  <si>
    <t>No. &amp; Date of Invoice</t>
  </si>
  <si>
    <t>HeFei JingWeiTe Electronics Technology Co., Ltd
1st floor, standard workshop in Economic Development Zone, No. 3188
Yungu Road, Hefei Economic and Technological Development Zone,
Anhui Province
TEL :0086-551-63350092
FAX :0086-551-63350135</t>
  </si>
  <si>
    <t>JWT283725081201</t>
  </si>
  <si>
    <t>Bill To:</t>
  </si>
  <si>
    <t xml:space="preserve"> Payment Term</t>
  </si>
  <si>
    <r>
      <rPr>
        <sz val="10"/>
        <rFont val="Arial"/>
        <charset val="134"/>
      </rPr>
      <t xml:space="preserve">No. 8 Tangzhuang Road, Suzhou Industrial Park Jiangsu, China
</t>
    </r>
    <r>
      <rPr>
        <sz val="10"/>
        <rFont val="宋体"/>
        <charset val="134"/>
      </rPr>
      <t>中磊电子（苏州）有限公司</t>
    </r>
    <r>
      <rPr>
        <sz val="10"/>
        <rFont val="Arial"/>
        <charset val="134"/>
      </rPr>
      <t xml:space="preserve">
Sernet(Suzhou)Technologies Corporation</t>
    </r>
  </si>
  <si>
    <t>Ship To:</t>
  </si>
  <si>
    <t xml:space="preserve"> Trade Term</t>
  </si>
  <si>
    <t>CIF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</si>
  <si>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</si>
  <si>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</si>
  <si>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</si>
  <si>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</si>
  <si>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</si>
  <si>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</si>
  <si>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CN</t>
  </si>
  <si>
    <t>ITEM</t>
  </si>
  <si>
    <t>Part No.</t>
  </si>
  <si>
    <t>PO No.</t>
  </si>
  <si>
    <r>
      <rPr>
        <b/>
        <u/>
        <sz val="10"/>
        <rFont val="Arial"/>
        <charset val="134"/>
      </rPr>
      <t>Description of Goods</t>
    </r>
    <r>
      <rPr>
        <b/>
        <sz val="10"/>
        <rFont val="Arial"/>
        <charset val="134"/>
      </rPr>
      <t xml:space="preserve">
Electric Crystal</t>
    </r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</si>
  <si>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</si>
  <si>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</si>
  <si>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</si>
  <si>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</si>
  <si>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</si>
  <si>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</si>
  <si>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</si>
  <si>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</si>
  <si>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</si>
  <si>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</si>
  <si>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</si>
  <si>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1</t>
  </si>
  <si>
    <t>3712563BJW</t>
  </si>
  <si>
    <t>2250600398</t>
  </si>
  <si>
    <t>25.000MHz 20pF</t>
  </si>
  <si>
    <t>PCS</t>
  </si>
  <si>
    <t>USD</t>
  </si>
  <si>
    <t>CHINA</t>
  </si>
  <si>
    <t>晶威特</t>
  </si>
  <si>
    <t>境内自主品牌</t>
  </si>
  <si>
    <t>3225-4P</t>
  </si>
  <si>
    <t>2</t>
  </si>
  <si>
    <t>3712563CJW</t>
  </si>
  <si>
    <t>2250600152</t>
  </si>
  <si>
    <t>3</t>
  </si>
  <si>
    <t>37132618JW</t>
  </si>
  <si>
    <t>2250601212</t>
  </si>
  <si>
    <t>32.000MHz 6pF</t>
  </si>
  <si>
    <t>1612-4P</t>
  </si>
  <si>
    <t>4</t>
  </si>
  <si>
    <t>3713800NJW</t>
  </si>
  <si>
    <t>2250700288</t>
  </si>
  <si>
    <t>38.400MHz 10pF</t>
  </si>
  <si>
    <t>2520-4P</t>
  </si>
  <si>
    <t>5</t>
  </si>
  <si>
    <t>3715060LJW</t>
  </si>
  <si>
    <t>2250702624</t>
  </si>
  <si>
    <t>50.000MHz 10pF</t>
  </si>
  <si>
    <t>6</t>
  </si>
  <si>
    <t>3715060TJW</t>
  </si>
  <si>
    <t>2250500125</t>
  </si>
  <si>
    <t>7</t>
  </si>
  <si>
    <t>8</t>
  </si>
  <si>
    <t>37150615JW</t>
  </si>
  <si>
    <t>50.000MHz 19pF</t>
  </si>
  <si>
    <t>9</t>
  </si>
  <si>
    <t>37154602JW</t>
  </si>
  <si>
    <t>2230603028</t>
  </si>
  <si>
    <t xml:space="preserve">                  TOTAL</t>
  </si>
  <si>
    <t>报关行</t>
  </si>
  <si>
    <t>江苏众诚报关代理有限公司</t>
  </si>
  <si>
    <t>申报地海关</t>
  </si>
  <si>
    <t>关联备案号</t>
  </si>
  <si>
    <t>新帐册号T2358W000197（25.2.24开始）</t>
  </si>
  <si>
    <t>运输方式</t>
  </si>
  <si>
    <t>保税港区</t>
  </si>
  <si>
    <t>PACKING LIST</t>
  </si>
  <si>
    <t>No &amp; Date of Invoice</t>
  </si>
  <si>
    <t>Remarks:</t>
  </si>
  <si>
    <t>Port of Departure</t>
  </si>
  <si>
    <t>Port of Arrival</t>
  </si>
  <si>
    <t>CTNS</t>
  </si>
  <si>
    <t>Description of Goods</t>
  </si>
  <si>
    <t>Net WT</t>
  </si>
  <si>
    <t>Gross WT</t>
  </si>
  <si>
    <t>MEASUREMENT  L*W*H(CM)</t>
  </si>
  <si>
    <t>KGS</t>
  </si>
  <si>
    <t>19.5*12*20</t>
  </si>
  <si>
    <t>TOTAL</t>
  </si>
  <si>
    <t>0.04m³</t>
  </si>
  <si>
    <t>件数</t>
  </si>
  <si>
    <t>包装种类</t>
  </si>
  <si>
    <t>纸箱</t>
  </si>
</sst>
</file>

<file path=xl/styles.xml><?xml version="1.0" encoding="utf-8"?>
<styleSheet xmlns="http://schemas.openxmlformats.org/spreadsheetml/2006/main">
  <numFmts count="12">
    <numFmt numFmtId="176" formatCode="0_ "/>
    <numFmt numFmtId="177" formatCode="#,##0.00_ "/>
    <numFmt numFmtId="178" formatCode="_ * #,##0.00_ ;_ * \-#,##0.00_ ;_ * &quot;-&quot;??_ ;_ @_ "/>
    <numFmt numFmtId="179" formatCode="0.00_ "/>
    <numFmt numFmtId="180" formatCode="0.00000_);[Red]\(0.00000\)"/>
    <numFmt numFmtId="181" formatCode="yyyy/m/d;@"/>
    <numFmt numFmtId="182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3" formatCode="0.0000_);[Red]\(0.0000\)"/>
    <numFmt numFmtId="184" formatCode="0.000_ "/>
    <numFmt numFmtId="185" formatCode="0.00_);[Red]\(0.00\)"/>
  </numFmts>
  <fonts count="39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10"/>
      <color rgb="FFFF0000"/>
      <name val="Arial"/>
      <charset val="134"/>
    </font>
    <font>
      <sz val="10"/>
      <name val="新細明體"/>
      <charset val="136"/>
    </font>
    <font>
      <b/>
      <sz val="10"/>
      <name val="宋体"/>
      <charset val="136"/>
    </font>
    <font>
      <b/>
      <sz val="10"/>
      <name val="新細明體"/>
      <charset val="136"/>
    </font>
    <font>
      <sz val="18"/>
      <color theme="1"/>
      <name val="宋体"/>
      <charset val="134"/>
      <scheme val="minor"/>
    </font>
    <font>
      <b/>
      <sz val="18"/>
      <name val="Arial"/>
      <charset val="134"/>
    </font>
    <font>
      <b/>
      <u/>
      <sz val="10"/>
      <name val="Arial"/>
      <charset val="134"/>
    </font>
    <font>
      <sz val="10"/>
      <color theme="1"/>
      <name val="宋体"/>
      <charset val="134"/>
    </font>
    <font>
      <sz val="10"/>
      <color indexed="12"/>
      <name val="新細明體"/>
      <charset val="136"/>
    </font>
    <font>
      <b/>
      <sz val="10"/>
      <color rgb="FFFF0000"/>
      <name val="宋体"/>
      <charset val="134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name val="新細明體"/>
      <charset val="136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1" fillId="4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5" borderId="19" applyNumberFormat="0" applyFon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7" fillId="25" borderId="21" applyNumberFormat="0" applyAlignment="0" applyProtection="0">
      <alignment vertical="center"/>
    </xf>
    <xf numFmtId="0" fontId="36" fillId="25" borderId="16" applyNumberFormat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4" fillId="0" borderId="0"/>
    <xf numFmtId="0" fontId="32" fillId="1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35" fillId="0" borderId="0"/>
  </cellStyleXfs>
  <cellXfs count="165">
    <xf numFmtId="0" fontId="0" fillId="0" borderId="0" xfId="0">
      <alignment vertical="center"/>
    </xf>
    <xf numFmtId="0" fontId="1" fillId="0" borderId="1" xfId="31" applyFont="1" applyBorder="1" applyAlignment="1">
      <alignment horizontal="center" vertical="center"/>
    </xf>
    <xf numFmtId="0" fontId="1" fillId="0" borderId="2" xfId="31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1" fillId="2" borderId="1" xfId="31" applyFont="1" applyFill="1" applyBorder="1"/>
    <xf numFmtId="0" fontId="1" fillId="2" borderId="2" xfId="31" applyFont="1" applyFill="1" applyBorder="1"/>
    <xf numFmtId="0" fontId="3" fillId="0" borderId="2" xfId="31" applyFont="1" applyBorder="1"/>
    <xf numFmtId="0" fontId="4" fillId="0" borderId="4" xfId="31" applyFont="1" applyBorder="1"/>
    <xf numFmtId="0" fontId="5" fillId="3" borderId="3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3" fillId="3" borderId="3" xfId="0" applyFont="1" applyFill="1" applyBorder="1" applyAlignment="1"/>
    <xf numFmtId="0" fontId="3" fillId="0" borderId="0" xfId="31" applyFont="1" applyBorder="1"/>
    <xf numFmtId="181" fontId="3" fillId="3" borderId="3" xfId="0" applyNumberFormat="1" applyFont="1" applyFill="1" applyBorder="1" applyAlignment="1"/>
    <xf numFmtId="0" fontId="3" fillId="0" borderId="3" xfId="31" applyFont="1" applyBorder="1"/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0" borderId="6" xfId="31" applyFont="1" applyBorder="1"/>
    <xf numFmtId="0" fontId="3" fillId="0" borderId="7" xfId="31" applyFont="1" applyBorder="1"/>
    <xf numFmtId="0" fontId="1" fillId="2" borderId="1" xfId="50" applyFont="1" applyFill="1" applyBorder="1"/>
    <xf numFmtId="0" fontId="3" fillId="2" borderId="2" xfId="31" applyFont="1" applyFill="1" applyBorder="1"/>
    <xf numFmtId="0" fontId="3" fillId="2" borderId="4" xfId="31" applyFont="1" applyFill="1" applyBorder="1"/>
    <xf numFmtId="0" fontId="1" fillId="0" borderId="2" xfId="31" applyFont="1" applyBorder="1"/>
    <xf numFmtId="0" fontId="3" fillId="0" borderId="0" xfId="31" applyFont="1"/>
    <xf numFmtId="0" fontId="3" fillId="3" borderId="3" xfId="31" applyFont="1" applyFill="1" applyBorder="1" applyAlignment="1">
      <alignment horizontal="left" vertical="top" wrapText="1"/>
    </xf>
    <xf numFmtId="0" fontId="3" fillId="3" borderId="0" xfId="31" applyFont="1" applyFill="1" applyAlignment="1">
      <alignment horizontal="left" vertical="top" wrapText="1"/>
    </xf>
    <xf numFmtId="0" fontId="3" fillId="3" borderId="5" xfId="31" applyFont="1" applyFill="1" applyBorder="1" applyAlignment="1">
      <alignment horizontal="left" vertical="top" wrapText="1"/>
    </xf>
    <xf numFmtId="0" fontId="1" fillId="0" borderId="0" xfId="31" applyFont="1"/>
    <xf numFmtId="0" fontId="3" fillId="0" borderId="0" xfId="50" applyFont="1"/>
    <xf numFmtId="0" fontId="3" fillId="3" borderId="6" xfId="31" applyFont="1" applyFill="1" applyBorder="1" applyAlignment="1">
      <alignment horizontal="left" vertical="top" wrapText="1"/>
    </xf>
    <xf numFmtId="0" fontId="3" fillId="3" borderId="7" xfId="31" applyFont="1" applyFill="1" applyBorder="1" applyAlignment="1">
      <alignment horizontal="left" vertical="top" wrapText="1"/>
    </xf>
    <xf numFmtId="0" fontId="3" fillId="3" borderId="8" xfId="31" applyFont="1" applyFill="1" applyBorder="1" applyAlignment="1">
      <alignment horizontal="left" vertical="top" wrapText="1"/>
    </xf>
    <xf numFmtId="0" fontId="6" fillId="0" borderId="0" xfId="31" applyFont="1"/>
    <xf numFmtId="0" fontId="3" fillId="0" borderId="5" xfId="31" applyFont="1" applyBorder="1"/>
    <xf numFmtId="0" fontId="7" fillId="0" borderId="0" xfId="31" applyFont="1" applyBorder="1"/>
    <xf numFmtId="0" fontId="3" fillId="0" borderId="0" xfId="0" applyFont="1" applyFill="1" applyBorder="1" applyAlignment="1"/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" xfId="31" applyFont="1" applyBorder="1"/>
    <xf numFmtId="0" fontId="4" fillId="0" borderId="4" xfId="50" applyFont="1" applyBorder="1" applyAlignment="1"/>
    <xf numFmtId="179" fontId="3" fillId="0" borderId="0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1" fillId="0" borderId="0" xfId="31" applyFont="1" applyBorder="1"/>
    <xf numFmtId="0" fontId="4" fillId="0" borderId="5" xfId="31" applyFont="1" applyBorder="1"/>
    <xf numFmtId="0" fontId="8" fillId="0" borderId="5" xfId="31" applyFont="1" applyBorder="1" applyAlignment="1">
      <alignment horizontal="right"/>
    </xf>
    <xf numFmtId="181" fontId="3" fillId="0" borderId="6" xfId="0" applyNumberFormat="1" applyFont="1" applyFill="1" applyBorder="1" applyAlignment="1">
      <alignment horizontal="left"/>
    </xf>
    <xf numFmtId="181" fontId="3" fillId="0" borderId="8" xfId="0" applyNumberFormat="1" applyFont="1" applyFill="1" applyBorder="1" applyAlignment="1">
      <alignment horizontal="left"/>
    </xf>
    <xf numFmtId="0" fontId="1" fillId="2" borderId="3" xfId="50" applyFont="1" applyFill="1" applyBorder="1" applyAlignment="1">
      <alignment horizontal="center" vertical="center"/>
    </xf>
    <xf numFmtId="0" fontId="1" fillId="2" borderId="0" xfId="50" applyFont="1" applyFill="1" applyBorder="1" applyAlignment="1">
      <alignment horizontal="center" vertical="center"/>
    </xf>
    <xf numFmtId="0" fontId="1" fillId="2" borderId="0" xfId="31" applyFont="1" applyFill="1" applyBorder="1" applyAlignment="1">
      <alignment horizontal="center" vertical="center"/>
    </xf>
    <xf numFmtId="0" fontId="1" fillId="2" borderId="0" xfId="3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center" vertical="center" wrapText="1" shrinkToFit="1"/>
    </xf>
    <xf numFmtId="0" fontId="3" fillId="0" borderId="0" xfId="0" applyFont="1" applyFill="1" applyAlignment="1">
      <alignment horizontal="left" vertical="center" shrinkToFit="1"/>
    </xf>
    <xf numFmtId="176" fontId="3" fillId="0" borderId="0" xfId="0" applyNumberFormat="1" applyFont="1" applyFill="1" applyBorder="1" applyAlignment="1">
      <alignment horizontal="center" vertical="center" shrinkToFit="1"/>
    </xf>
    <xf numFmtId="184" fontId="3" fillId="0" borderId="0" xfId="0" applyNumberFormat="1" applyFont="1" applyFill="1" applyBorder="1" applyAlignment="1">
      <alignment horizontal="center" vertical="center" wrapText="1" shrinkToFit="1"/>
    </xf>
    <xf numFmtId="185" fontId="3" fillId="0" borderId="0" xfId="0" applyNumberFormat="1" applyFont="1" applyFill="1" applyBorder="1" applyAlignment="1">
      <alignment horizontal="center" vertical="center" wrapText="1" shrinkToFit="1"/>
    </xf>
    <xf numFmtId="0" fontId="3" fillId="0" borderId="0" xfId="0" applyFont="1" applyFill="1" applyBorder="1" applyAlignment="1">
      <alignment horizontal="left" vertical="center" shrinkToFit="1"/>
    </xf>
    <xf numFmtId="0" fontId="3" fillId="0" borderId="9" xfId="0" applyFont="1" applyFill="1" applyBorder="1" applyAlignment="1">
      <alignment horizontal="center" vertical="center" wrapText="1" shrinkToFit="1"/>
    </xf>
    <xf numFmtId="0" fontId="3" fillId="0" borderId="9" xfId="0" applyFont="1" applyFill="1" applyBorder="1" applyAlignment="1">
      <alignment horizontal="left" vertical="center" shrinkToFit="1"/>
    </xf>
    <xf numFmtId="176" fontId="3" fillId="0" borderId="9" xfId="0" applyNumberFormat="1" applyFont="1" applyFill="1" applyBorder="1" applyAlignment="1">
      <alignment horizontal="center" vertical="center" shrinkToFit="1"/>
    </xf>
    <xf numFmtId="184" fontId="3" fillId="0" borderId="9" xfId="0" applyNumberFormat="1" applyFont="1" applyFill="1" applyBorder="1" applyAlignment="1">
      <alignment horizontal="center" vertical="center" wrapText="1" shrinkToFit="1"/>
    </xf>
    <xf numFmtId="185" fontId="3" fillId="0" borderId="9" xfId="0" applyNumberFormat="1" applyFont="1" applyFill="1" applyBorder="1" applyAlignment="1">
      <alignment horizontal="center" vertical="center" wrapText="1" shrinkToFit="1"/>
    </xf>
    <xf numFmtId="176" fontId="1" fillId="3" borderId="10" xfId="31" applyNumberFormat="1" applyFont="1" applyFill="1" applyBorder="1" applyAlignment="1">
      <alignment horizontal="center"/>
    </xf>
    <xf numFmtId="0" fontId="1" fillId="0" borderId="10" xfId="31" applyFont="1" applyBorder="1"/>
    <xf numFmtId="0" fontId="1" fillId="0" borderId="0" xfId="31" applyFont="1" applyFill="1" applyBorder="1" applyAlignment="1">
      <alignment horizontal="left"/>
    </xf>
    <xf numFmtId="0" fontId="1" fillId="0" borderId="0" xfId="31" applyFont="1" applyFill="1" applyBorder="1" applyAlignment="1">
      <alignment horizontal="center"/>
    </xf>
    <xf numFmtId="184" fontId="1" fillId="3" borderId="0" xfId="31" applyNumberFormat="1" applyFont="1" applyFill="1" applyBorder="1" applyAlignment="1">
      <alignment horizontal="center"/>
    </xf>
    <xf numFmtId="0" fontId="1" fillId="3" borderId="0" xfId="31" applyFont="1" applyFill="1" applyBorder="1" applyAlignment="1">
      <alignment horizontal="center"/>
    </xf>
    <xf numFmtId="185" fontId="1" fillId="3" borderId="0" xfId="31" applyNumberFormat="1" applyFont="1" applyFill="1" applyBorder="1" applyAlignment="1">
      <alignment horizontal="center"/>
    </xf>
    <xf numFmtId="0" fontId="0" fillId="0" borderId="3" xfId="0" applyBorder="1">
      <alignment vertical="center"/>
    </xf>
    <xf numFmtId="0" fontId="5" fillId="3" borderId="0" xfId="31" applyFont="1" applyFill="1" applyAlignment="1">
      <alignment horizontal="center" vertical="center"/>
    </xf>
    <xf numFmtId="0" fontId="3" fillId="3" borderId="0" xfId="31" applyFont="1" applyFill="1"/>
    <xf numFmtId="0" fontId="5" fillId="3" borderId="0" xfId="31" applyFont="1" applyFill="1"/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1" fillId="0" borderId="4" xfId="31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9" fillId="0" borderId="5" xfId="0" applyFont="1" applyFill="1" applyBorder="1" applyAlignment="1"/>
    <xf numFmtId="0" fontId="3" fillId="0" borderId="8" xfId="31" applyFont="1" applyBorder="1"/>
    <xf numFmtId="0" fontId="3" fillId="0" borderId="0" xfId="31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3" fillId="0" borderId="11" xfId="0" applyFont="1" applyFill="1" applyBorder="1" applyAlignment="1">
      <alignment horizontal="center" vertical="center" wrapText="1"/>
    </xf>
    <xf numFmtId="185" fontId="1" fillId="3" borderId="5" xfId="31" applyNumberFormat="1" applyFont="1" applyFill="1" applyBorder="1" applyAlignment="1">
      <alignment horizont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12" fillId="0" borderId="0" xfId="0" applyFont="1" applyFill="1">
      <alignment vertical="center"/>
    </xf>
    <xf numFmtId="0" fontId="12" fillId="0" borderId="0" xfId="0" applyFont="1">
      <alignment vertical="center"/>
    </xf>
    <xf numFmtId="0" fontId="13" fillId="0" borderId="1" xfId="50" applyFont="1" applyBorder="1" applyAlignment="1">
      <alignment horizontal="center"/>
    </xf>
    <xf numFmtId="0" fontId="13" fillId="0" borderId="2" xfId="50" applyFont="1" applyBorder="1" applyAlignment="1">
      <alignment horizontal="center"/>
    </xf>
    <xf numFmtId="0" fontId="1" fillId="2" borderId="2" xfId="50" applyFont="1" applyFill="1" applyBorder="1"/>
    <xf numFmtId="0" fontId="3" fillId="0" borderId="2" xfId="50" applyFont="1" applyBorder="1"/>
    <xf numFmtId="0" fontId="3" fillId="2" borderId="2" xfId="50" applyFont="1" applyFill="1" applyBorder="1"/>
    <xf numFmtId="0" fontId="3" fillId="2" borderId="0" xfId="50" applyFont="1" applyFill="1" applyBorder="1"/>
    <xf numFmtId="49" fontId="3" fillId="2" borderId="0" xfId="50" applyNumberFormat="1" applyFont="1" applyFill="1" applyBorder="1" applyAlignment="1">
      <alignment horizontal="center"/>
    </xf>
    <xf numFmtId="49" fontId="3" fillId="0" borderId="0" xfId="50" applyNumberFormat="1" applyFont="1" applyBorder="1" applyAlignment="1">
      <alignment horizontal="center"/>
    </xf>
    <xf numFmtId="181" fontId="3" fillId="2" borderId="0" xfId="0" applyNumberFormat="1" applyFont="1" applyFill="1" applyBorder="1" applyAlignment="1"/>
    <xf numFmtId="181" fontId="3" fillId="0" borderId="0" xfId="0" applyNumberFormat="1" applyFont="1" applyFill="1" applyBorder="1" applyAlignment="1">
      <alignment horizontal="left"/>
    </xf>
    <xf numFmtId="0" fontId="3" fillId="0" borderId="3" xfId="50" applyFont="1" applyBorder="1"/>
    <xf numFmtId="0" fontId="3" fillId="0" borderId="0" xfId="50" applyFont="1" applyBorder="1"/>
    <xf numFmtId="0" fontId="3" fillId="0" borderId="6" xfId="50" applyFont="1" applyBorder="1"/>
    <xf numFmtId="0" fontId="3" fillId="0" borderId="7" xfId="50" applyFont="1" applyBorder="1"/>
    <xf numFmtId="0" fontId="3" fillId="2" borderId="4" xfId="50" applyFont="1" applyFill="1" applyBorder="1"/>
    <xf numFmtId="0" fontId="1" fillId="0" borderId="1" xfId="50" applyFont="1" applyBorder="1"/>
    <xf numFmtId="0" fontId="3" fillId="3" borderId="0" xfId="31" applyFont="1" applyFill="1" applyAlignment="1">
      <alignment horizontal="left" vertical="top"/>
    </xf>
    <xf numFmtId="0" fontId="3" fillId="3" borderId="5" xfId="31" applyFont="1" applyFill="1" applyBorder="1" applyAlignment="1">
      <alignment horizontal="left" vertical="top"/>
    </xf>
    <xf numFmtId="0" fontId="3" fillId="3" borderId="3" xfId="31" applyFont="1" applyFill="1" applyBorder="1" applyAlignment="1">
      <alignment horizontal="left" vertical="top"/>
    </xf>
    <xf numFmtId="0" fontId="3" fillId="0" borderId="3" xfId="50" applyFont="1" applyBorder="1" applyAlignment="1">
      <alignment horizontal="center"/>
    </xf>
    <xf numFmtId="0" fontId="3" fillId="0" borderId="0" xfId="50" applyFont="1" applyBorder="1" applyAlignment="1">
      <alignment horizontal="center"/>
    </xf>
    <xf numFmtId="0" fontId="3" fillId="0" borderId="4" xfId="50" applyFont="1" applyBorder="1"/>
    <xf numFmtId="0" fontId="3" fillId="2" borderId="0" xfId="0" applyFont="1" applyFill="1" applyBorder="1" applyAlignment="1"/>
    <xf numFmtId="0" fontId="1" fillId="0" borderId="0" xfId="50" applyFont="1" applyBorder="1"/>
    <xf numFmtId="0" fontId="3" fillId="0" borderId="3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5" fillId="0" borderId="0" xfId="50" applyFont="1" applyBorder="1"/>
    <xf numFmtId="0" fontId="3" fillId="0" borderId="6" xfId="0" applyFont="1" applyFill="1" applyBorder="1" applyAlignment="1"/>
    <xf numFmtId="0" fontId="3" fillId="0" borderId="7" xfId="0" applyFont="1" applyFill="1" applyBorder="1" applyAlignment="1"/>
    <xf numFmtId="0" fontId="5" fillId="0" borderId="6" xfId="0" applyFont="1" applyFill="1" applyBorder="1" applyAlignment="1"/>
    <xf numFmtId="0" fontId="3" fillId="0" borderId="8" xfId="50" applyFont="1" applyBorder="1" applyAlignment="1"/>
    <xf numFmtId="0" fontId="1" fillId="0" borderId="3" xfId="50" applyFont="1" applyBorder="1"/>
    <xf numFmtId="0" fontId="3" fillId="0" borderId="8" xfId="0" applyFont="1" applyFill="1" applyBorder="1" applyAlignment="1">
      <alignment horizontal="center"/>
    </xf>
    <xf numFmtId="0" fontId="5" fillId="3" borderId="6" xfId="50" applyFont="1" applyFill="1" applyBorder="1"/>
    <xf numFmtId="0" fontId="3" fillId="3" borderId="7" xfId="50" applyFont="1" applyFill="1" applyBorder="1"/>
    <xf numFmtId="0" fontId="1" fillId="0" borderId="3" xfId="50" applyFont="1" applyBorder="1" applyAlignment="1">
      <alignment horizontal="center" vertical="center"/>
    </xf>
    <xf numFmtId="0" fontId="14" fillId="0" borderId="0" xfId="50" applyFont="1" applyBorder="1" applyAlignment="1">
      <alignment horizontal="center" vertical="center" wrapText="1"/>
    </xf>
    <xf numFmtId="177" fontId="3" fillId="0" borderId="0" xfId="0" applyNumberFormat="1" applyFont="1" applyFill="1" applyBorder="1" applyAlignment="1">
      <alignment horizontal="center" vertical="center" wrapText="1" shrinkToFit="1"/>
    </xf>
    <xf numFmtId="180" fontId="3" fillId="0" borderId="0" xfId="0" applyNumberFormat="1" applyFont="1" applyFill="1" applyBorder="1" applyAlignment="1">
      <alignment horizontal="center" vertical="center" wrapText="1" shrinkToFit="1"/>
    </xf>
    <xf numFmtId="0" fontId="3" fillId="0" borderId="0" xfId="0" applyNumberFormat="1" applyFont="1" applyFill="1" applyBorder="1" applyAlignment="1">
      <alignment horizontal="center" vertical="center" wrapText="1" shrinkToFit="1"/>
    </xf>
    <xf numFmtId="183" fontId="3" fillId="0" borderId="0" xfId="0" applyNumberFormat="1" applyFont="1" applyFill="1" applyBorder="1" applyAlignment="1">
      <alignment horizontal="center" vertical="center" wrapText="1" shrinkToFit="1"/>
    </xf>
    <xf numFmtId="0" fontId="3" fillId="0" borderId="12" xfId="50" applyFont="1" applyBorder="1"/>
    <xf numFmtId="0" fontId="3" fillId="0" borderId="13" xfId="50" applyFont="1" applyBorder="1"/>
    <xf numFmtId="0" fontId="3" fillId="0" borderId="13" xfId="50" applyFont="1" applyBorder="1" applyAlignment="1">
      <alignment horizontal="left"/>
    </xf>
    <xf numFmtId="184" fontId="1" fillId="3" borderId="13" xfId="50" applyNumberFormat="1" applyFont="1" applyFill="1" applyBorder="1" applyAlignment="1">
      <alignment horizontal="center"/>
    </xf>
    <xf numFmtId="0" fontId="1" fillId="0" borderId="13" xfId="50" applyFont="1" applyFill="1" applyBorder="1"/>
    <xf numFmtId="183" fontId="1" fillId="0" borderId="13" xfId="50" applyNumberFormat="1" applyFont="1" applyBorder="1" applyAlignment="1">
      <alignment horizontal="center"/>
    </xf>
    <xf numFmtId="0" fontId="15" fillId="0" borderId="0" xfId="0" applyFont="1" applyFill="1" applyBorder="1" applyAlignment="1">
      <alignment horizontal="left" vertical="center"/>
    </xf>
    <xf numFmtId="0" fontId="13" fillId="0" borderId="4" xfId="50" applyFont="1" applyBorder="1" applyAlignment="1">
      <alignment horizontal="center"/>
    </xf>
    <xf numFmtId="0" fontId="9" fillId="0" borderId="2" xfId="0" applyFont="1" applyFill="1" applyBorder="1" applyAlignment="1"/>
    <xf numFmtId="0" fontId="9" fillId="0" borderId="0" xfId="0" applyFont="1" applyFill="1" applyAlignment="1"/>
    <xf numFmtId="0" fontId="9" fillId="0" borderId="7" xfId="0" applyFont="1" applyFill="1" applyBorder="1" applyAlignment="1">
      <alignment vertical="center"/>
    </xf>
    <xf numFmtId="0" fontId="16" fillId="0" borderId="8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5" xfId="0" applyFont="1" applyFill="1" applyBorder="1" applyAlignment="1">
      <alignment vertical="center"/>
    </xf>
    <xf numFmtId="0" fontId="16" fillId="0" borderId="0" xfId="0" applyFont="1" applyFill="1" applyAlignment="1">
      <alignment vertical="center"/>
    </xf>
    <xf numFmtId="0" fontId="16" fillId="0" borderId="5" xfId="0" applyFont="1" applyFill="1" applyBorder="1" applyAlignment="1">
      <alignment vertical="center"/>
    </xf>
    <xf numFmtId="0" fontId="9" fillId="0" borderId="0" xfId="0" applyFont="1" applyFill="1" applyBorder="1" applyAlignment="1"/>
    <xf numFmtId="0" fontId="4" fillId="0" borderId="7" xfId="31" applyFont="1" applyBorder="1"/>
    <xf numFmtId="0" fontId="9" fillId="0" borderId="7" xfId="0" applyFont="1" applyFill="1" applyBorder="1" applyAlignment="1"/>
    <xf numFmtId="0" fontId="11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 shrinkToFit="1"/>
    </xf>
    <xf numFmtId="185" fontId="1" fillId="3" borderId="13" xfId="50" applyNumberFormat="1" applyFont="1" applyFill="1" applyBorder="1" applyAlignment="1">
      <alignment horizontal="center"/>
    </xf>
    <xf numFmtId="0" fontId="11" fillId="0" borderId="7" xfId="0" applyFont="1" applyFill="1" applyBorder="1" applyAlignment="1"/>
    <xf numFmtId="179" fontId="15" fillId="0" borderId="0" xfId="0" applyNumberFormat="1" applyFont="1" applyFill="1" applyBorder="1" applyAlignment="1">
      <alignment horizontal="left" vertical="center"/>
    </xf>
    <xf numFmtId="179" fontId="17" fillId="3" borderId="0" xfId="0" applyNumberFormat="1" applyFont="1" applyFill="1" applyBorder="1" applyAlignment="1">
      <alignment horizontal="left" vertical="center"/>
    </xf>
    <xf numFmtId="179" fontId="17" fillId="0" borderId="0" xfId="0" applyNumberFormat="1" applyFont="1" applyFill="1" applyBorder="1" applyAlignment="1">
      <alignment horizontal="left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一般_OMRON海運出口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一般_OMRON" xfId="50"/>
    <cellStyle name="常规_Sheet1_1" xfId="51"/>
    <cellStyle name="常规_啟德一般貿易" xf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38"/>
  <sheetViews>
    <sheetView tabSelected="1" view="pageBreakPreview" zoomScaleNormal="100" zoomScaleSheetLayoutView="100" workbookViewId="0">
      <selection activeCell="L20" sqref="L20:N28"/>
    </sheetView>
  </sheetViews>
  <sheetFormatPr defaultColWidth="9" defaultRowHeight="22.5"/>
  <cols>
    <col min="1" max="1" width="6.93333333333333" style="94" customWidth="1"/>
    <col min="2" max="2" width="13.7166666666667" style="94" customWidth="1"/>
    <col min="3" max="3" width="11.7833333333333" style="94" customWidth="1"/>
    <col min="4" max="4" width="15.5" style="94" customWidth="1"/>
    <col min="5" max="5" width="10.65" style="94" customWidth="1"/>
    <col min="6" max="6" width="9" style="94"/>
    <col min="7" max="7" width="8.38333333333333" style="94" customWidth="1"/>
    <col min="8" max="10" width="9" style="94"/>
    <col min="11" max="11" width="5.84166666666667" style="94" customWidth="1"/>
    <col min="12" max="12" width="9" style="94"/>
    <col min="13" max="13" width="14.025" style="94" customWidth="1"/>
    <col min="14" max="14" width="9" style="94"/>
    <col min="15" max="15" width="11.1666666666667" style="94" customWidth="1"/>
    <col min="16" max="16384" width="9" style="94"/>
  </cols>
  <sheetData>
    <row r="1" ht="23.25" spans="1:15">
      <c r="A1" s="95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143"/>
    </row>
    <row r="2" ht="13.5" spans="1:15">
      <c r="A2" s="21" t="s">
        <v>1</v>
      </c>
      <c r="B2" s="97"/>
      <c r="C2" s="98"/>
      <c r="D2" s="8"/>
      <c r="E2" s="21" t="s">
        <v>2</v>
      </c>
      <c r="F2" s="99"/>
      <c r="G2" s="99"/>
      <c r="H2" s="98"/>
      <c r="I2" s="98"/>
      <c r="J2" s="144"/>
      <c r="K2" s="144"/>
      <c r="L2" s="144"/>
      <c r="M2" s="144"/>
      <c r="N2" s="144"/>
      <c r="O2" s="82"/>
    </row>
    <row r="3" spans="1:15">
      <c r="A3" s="9" t="s">
        <v>3</v>
      </c>
      <c r="B3" s="10"/>
      <c r="C3" s="10"/>
      <c r="D3" s="11"/>
      <c r="E3" s="12" t="s">
        <v>4</v>
      </c>
      <c r="F3" s="100"/>
      <c r="G3" s="101"/>
      <c r="H3" s="102"/>
      <c r="I3" s="106"/>
      <c r="J3" s="145"/>
      <c r="K3" s="145"/>
      <c r="L3" s="145"/>
      <c r="M3" s="145"/>
      <c r="N3" s="145"/>
      <c r="O3" s="82"/>
    </row>
    <row r="4" ht="13.5" spans="1:15">
      <c r="A4" s="9"/>
      <c r="B4" s="10"/>
      <c r="C4" s="10"/>
      <c r="D4" s="11"/>
      <c r="E4" s="14">
        <v>45881</v>
      </c>
      <c r="F4" s="103"/>
      <c r="G4" s="103"/>
      <c r="H4" s="104"/>
      <c r="I4" s="106"/>
      <c r="J4" s="145"/>
      <c r="K4" s="145"/>
      <c r="L4" s="145"/>
      <c r="M4" s="145"/>
      <c r="N4" s="145"/>
      <c r="O4" s="82"/>
    </row>
    <row r="5" ht="13.5" spans="1:15">
      <c r="A5" s="9"/>
      <c r="B5" s="10"/>
      <c r="C5" s="10"/>
      <c r="D5" s="11"/>
      <c r="E5" s="105"/>
      <c r="F5" s="106"/>
      <c r="G5" s="106"/>
      <c r="H5" s="106"/>
      <c r="I5" s="106"/>
      <c r="J5" s="145"/>
      <c r="K5" s="145"/>
      <c r="L5" s="145"/>
      <c r="M5" s="145"/>
      <c r="N5" s="145"/>
      <c r="O5" s="82"/>
    </row>
    <row r="6" ht="43" customHeight="1" spans="1:15">
      <c r="A6" s="16"/>
      <c r="B6" s="17"/>
      <c r="C6" s="17"/>
      <c r="D6" s="18"/>
      <c r="E6" s="107"/>
      <c r="F6" s="108"/>
      <c r="G6" s="108"/>
      <c r="H6" s="108"/>
      <c r="I6" s="108"/>
      <c r="J6" s="146"/>
      <c r="K6" s="146"/>
      <c r="L6" s="146"/>
      <c r="M6" s="146"/>
      <c r="N6" s="146"/>
      <c r="O6" s="147"/>
    </row>
    <row r="7" ht="13.5" spans="1:15">
      <c r="A7" s="21" t="s">
        <v>5</v>
      </c>
      <c r="B7" s="97"/>
      <c r="C7" s="99"/>
      <c r="D7" s="109"/>
      <c r="E7" s="110" t="s">
        <v>6</v>
      </c>
      <c r="F7" s="98"/>
      <c r="G7" s="98"/>
      <c r="H7" s="98"/>
      <c r="I7" s="98"/>
      <c r="J7" s="148"/>
      <c r="K7" s="149"/>
      <c r="L7" s="149"/>
      <c r="M7" s="149"/>
      <c r="N7" s="149"/>
      <c r="O7" s="150"/>
    </row>
    <row r="8" ht="13.5" spans="1:15">
      <c r="A8" s="26" t="s">
        <v>7</v>
      </c>
      <c r="B8" s="111"/>
      <c r="C8" s="111"/>
      <c r="D8" s="112"/>
      <c r="E8" s="105"/>
      <c r="F8" s="106"/>
      <c r="G8" s="106"/>
      <c r="H8" s="106"/>
      <c r="I8" s="106"/>
      <c r="J8" s="149"/>
      <c r="K8" s="149"/>
      <c r="L8" s="149"/>
      <c r="M8" s="149"/>
      <c r="N8" s="149"/>
      <c r="O8" s="150"/>
    </row>
    <row r="9" ht="13.5" spans="1:15">
      <c r="A9" s="113"/>
      <c r="B9" s="111"/>
      <c r="C9" s="111"/>
      <c r="D9" s="112"/>
      <c r="E9" s="114"/>
      <c r="F9" s="115"/>
      <c r="G9" s="115"/>
      <c r="H9" s="115"/>
      <c r="I9" s="115"/>
      <c r="J9" s="151"/>
      <c r="K9" s="151"/>
      <c r="L9" s="151"/>
      <c r="M9" s="151"/>
      <c r="N9" s="151"/>
      <c r="O9" s="152"/>
    </row>
    <row r="10" ht="13.5" spans="1:15">
      <c r="A10" s="113"/>
      <c r="B10" s="111"/>
      <c r="C10" s="111"/>
      <c r="D10" s="112"/>
      <c r="E10" s="105"/>
      <c r="F10" s="106"/>
      <c r="G10" s="106"/>
      <c r="H10" s="106"/>
      <c r="I10" s="106"/>
      <c r="J10" s="151"/>
      <c r="K10" s="151"/>
      <c r="L10" s="151"/>
      <c r="M10" s="151"/>
      <c r="N10" s="151"/>
      <c r="O10" s="152"/>
    </row>
    <row r="11" ht="13.5" spans="1:15">
      <c r="A11" s="21" t="s">
        <v>8</v>
      </c>
      <c r="B11" s="98"/>
      <c r="C11" s="98"/>
      <c r="D11" s="116"/>
      <c r="E11" s="21" t="s">
        <v>9</v>
      </c>
      <c r="F11" s="99"/>
      <c r="G11" s="99"/>
      <c r="H11" s="99"/>
      <c r="I11" s="99"/>
      <c r="J11" s="98"/>
      <c r="K11" s="98"/>
      <c r="L11" s="98"/>
      <c r="M11" s="98"/>
      <c r="N11" s="98"/>
      <c r="O11" s="116"/>
    </row>
    <row r="12" ht="13.5" spans="1:15">
      <c r="A12" s="26" t="s">
        <v>7</v>
      </c>
      <c r="B12" s="27"/>
      <c r="C12" s="27"/>
      <c r="D12" s="28"/>
      <c r="E12" s="12" t="s">
        <v>10</v>
      </c>
      <c r="F12" s="117"/>
      <c r="G12" s="117"/>
      <c r="H12" s="117"/>
      <c r="I12" s="117"/>
      <c r="J12" s="153"/>
      <c r="K12" s="153"/>
      <c r="L12" s="153"/>
      <c r="M12" s="153"/>
      <c r="N12" s="153"/>
      <c r="O12" s="82"/>
    </row>
    <row r="13" ht="32" customHeight="1" spans="1:15">
      <c r="A13" s="31"/>
      <c r="B13" s="32"/>
      <c r="C13" s="32"/>
      <c r="D13" s="33"/>
      <c r="E13" s="107"/>
      <c r="F13" s="108"/>
      <c r="G13" s="108"/>
      <c r="H13" s="108"/>
      <c r="I13" s="154"/>
      <c r="J13" s="153"/>
      <c r="K13" s="153"/>
      <c r="L13" s="153"/>
      <c r="M13" s="153"/>
      <c r="N13" s="153"/>
      <c r="O13" s="147"/>
    </row>
    <row r="14" ht="13.5" spans="1:15">
      <c r="A14" s="110" t="s">
        <v>11</v>
      </c>
      <c r="B14" s="98"/>
      <c r="C14" s="110" t="s">
        <v>12</v>
      </c>
      <c r="D14" s="116"/>
      <c r="E14" s="118" t="s">
        <v>13</v>
      </c>
      <c r="F14" s="25"/>
      <c r="G14" s="25"/>
      <c r="H14" s="25"/>
      <c r="I14" s="30"/>
      <c r="J14" s="144"/>
      <c r="K14" s="144"/>
      <c r="L14" s="144"/>
      <c r="M14" s="144"/>
      <c r="N14" s="144"/>
      <c r="O14" s="82"/>
    </row>
    <row r="15" ht="13.5" spans="1:15">
      <c r="A15" s="119"/>
      <c r="B15" s="120"/>
      <c r="C15" s="119"/>
      <c r="D15" s="120"/>
      <c r="E15" s="121"/>
      <c r="F15" s="106"/>
      <c r="G15" s="106"/>
      <c r="H15" s="106"/>
      <c r="I15" s="30"/>
      <c r="J15" s="153"/>
      <c r="K15" s="153"/>
      <c r="L15" s="153"/>
      <c r="M15" s="153"/>
      <c r="N15" s="153"/>
      <c r="O15" s="82"/>
    </row>
    <row r="16" ht="13.5" spans="1:15">
      <c r="A16" s="122"/>
      <c r="B16" s="123"/>
      <c r="C16" s="124"/>
      <c r="D16" s="125"/>
      <c r="E16" s="121"/>
      <c r="F16" s="37"/>
      <c r="G16" s="106"/>
      <c r="H16" s="106"/>
      <c r="I16" s="30"/>
      <c r="J16" s="153"/>
      <c r="K16" s="153"/>
      <c r="L16" s="153"/>
      <c r="M16" s="153"/>
      <c r="N16" s="153"/>
      <c r="O16" s="82"/>
    </row>
    <row r="17" ht="13.5" spans="1:15">
      <c r="A17" s="110" t="s">
        <v>14</v>
      </c>
      <c r="B17" s="116"/>
      <c r="C17" s="126" t="s">
        <v>15</v>
      </c>
      <c r="D17" s="48"/>
      <c r="E17" s="121"/>
      <c r="F17" s="37"/>
      <c r="G17" s="30"/>
      <c r="H17" s="30"/>
      <c r="I17" s="30"/>
      <c r="J17" s="153"/>
      <c r="K17" s="153"/>
      <c r="L17" s="153"/>
      <c r="M17" s="153"/>
      <c r="N17" s="153"/>
      <c r="O17" s="82"/>
    </row>
    <row r="18" ht="13.5" spans="1:15">
      <c r="A18" s="43"/>
      <c r="B18" s="127"/>
      <c r="C18" s="49"/>
      <c r="D18" s="50"/>
      <c r="E18" s="128" t="s">
        <v>16</v>
      </c>
      <c r="F18" s="129" t="s">
        <v>17</v>
      </c>
      <c r="G18" s="108"/>
      <c r="H18" s="108"/>
      <c r="I18" s="108"/>
      <c r="J18" s="155"/>
      <c r="K18" s="153"/>
      <c r="L18" s="153"/>
      <c r="M18" s="153"/>
      <c r="N18" s="153"/>
      <c r="O18" s="82"/>
    </row>
    <row r="19" ht="48" customHeight="1" spans="1:15">
      <c r="A19" s="130" t="s">
        <v>18</v>
      </c>
      <c r="B19" s="52" t="s">
        <v>19</v>
      </c>
      <c r="C19" s="52" t="s">
        <v>20</v>
      </c>
      <c r="D19" s="131" t="s">
        <v>21</v>
      </c>
      <c r="E19" s="52" t="s">
        <v>22</v>
      </c>
      <c r="F19" s="52" t="s">
        <v>23</v>
      </c>
      <c r="G19" s="52" t="s">
        <v>24</v>
      </c>
      <c r="H19" s="52" t="s">
        <v>25</v>
      </c>
      <c r="I19" s="52" t="s">
        <v>26</v>
      </c>
      <c r="J19" s="156" t="s">
        <v>27</v>
      </c>
      <c r="K19" s="156" t="s">
        <v>28</v>
      </c>
      <c r="L19" s="157" t="s">
        <v>29</v>
      </c>
      <c r="M19" s="157" t="s">
        <v>30</v>
      </c>
      <c r="N19" s="157" t="s">
        <v>31</v>
      </c>
      <c r="O19" s="158" t="s">
        <v>32</v>
      </c>
    </row>
    <row r="20" s="93" customFormat="1" spans="1:15">
      <c r="A20" s="55" t="s">
        <v>33</v>
      </c>
      <c r="B20" s="56" t="s">
        <v>34</v>
      </c>
      <c r="C20" s="56" t="s">
        <v>35</v>
      </c>
      <c r="D20" s="56" t="s">
        <v>36</v>
      </c>
      <c r="E20" s="56">
        <v>27000</v>
      </c>
      <c r="F20" s="132" t="s">
        <v>37</v>
      </c>
      <c r="G20" s="133">
        <v>0.0215</v>
      </c>
      <c r="H20" s="134" t="s">
        <v>38</v>
      </c>
      <c r="I20" s="60">
        <f t="shared" ref="I20:I22" si="0">ROUND(E20*G20,2)</f>
        <v>580.5</v>
      </c>
      <c r="J20" s="56" t="s">
        <v>39</v>
      </c>
      <c r="K20" s="56"/>
      <c r="L20" s="159" t="s">
        <v>40</v>
      </c>
      <c r="M20" s="159" t="s">
        <v>41</v>
      </c>
      <c r="N20" s="56" t="s">
        <v>42</v>
      </c>
      <c r="O20" s="56">
        <f>ROUND(E20/3000*0.16,2)</f>
        <v>1.44</v>
      </c>
    </row>
    <row r="21" s="93" customFormat="1" spans="1:15">
      <c r="A21" s="55" t="s">
        <v>43</v>
      </c>
      <c r="B21" s="56" t="s">
        <v>44</v>
      </c>
      <c r="C21" s="56" t="s">
        <v>45</v>
      </c>
      <c r="D21" s="56" t="s">
        <v>36</v>
      </c>
      <c r="E21" s="56">
        <v>9000</v>
      </c>
      <c r="F21" s="132" t="s">
        <v>37</v>
      </c>
      <c r="G21" s="135">
        <v>0.0215</v>
      </c>
      <c r="H21" s="134" t="s">
        <v>38</v>
      </c>
      <c r="I21" s="60">
        <f t="shared" ref="I21:I34" si="1">ROUND(E21*G21,2)</f>
        <v>193.5</v>
      </c>
      <c r="J21" s="56" t="s">
        <v>39</v>
      </c>
      <c r="K21" s="56"/>
      <c r="L21" s="159" t="s">
        <v>40</v>
      </c>
      <c r="M21" s="159" t="s">
        <v>41</v>
      </c>
      <c r="N21" s="56" t="s">
        <v>42</v>
      </c>
      <c r="O21" s="56">
        <f t="shared" ref="O21:O28" si="2">ROUND(E21/3000*0.16,2)</f>
        <v>0.48</v>
      </c>
    </row>
    <row r="22" s="93" customFormat="1" spans="1:15">
      <c r="A22" s="55" t="s">
        <v>46</v>
      </c>
      <c r="B22" s="56" t="s">
        <v>47</v>
      </c>
      <c r="C22" s="56" t="s">
        <v>48</v>
      </c>
      <c r="D22" s="56" t="s">
        <v>49</v>
      </c>
      <c r="E22" s="56">
        <v>24000</v>
      </c>
      <c r="F22" s="132" t="s">
        <v>37</v>
      </c>
      <c r="G22" s="135">
        <v>0.07002</v>
      </c>
      <c r="H22" s="134" t="s">
        <v>38</v>
      </c>
      <c r="I22" s="60">
        <f t="shared" si="1"/>
        <v>1680.48</v>
      </c>
      <c r="J22" s="56" t="s">
        <v>39</v>
      </c>
      <c r="K22" s="56"/>
      <c r="L22" s="159" t="s">
        <v>40</v>
      </c>
      <c r="M22" s="159" t="s">
        <v>41</v>
      </c>
      <c r="N22" s="56" t="s">
        <v>50</v>
      </c>
      <c r="O22" s="56">
        <f t="shared" si="2"/>
        <v>1.28</v>
      </c>
    </row>
    <row r="23" s="93" customFormat="1" spans="1:15">
      <c r="A23" s="55" t="s">
        <v>51</v>
      </c>
      <c r="B23" s="56" t="s">
        <v>52</v>
      </c>
      <c r="C23" s="56" t="s">
        <v>53</v>
      </c>
      <c r="D23" s="56" t="s">
        <v>54</v>
      </c>
      <c r="E23" s="56">
        <v>3000</v>
      </c>
      <c r="F23" s="132" t="s">
        <v>37</v>
      </c>
      <c r="G23" s="135">
        <v>0.02952</v>
      </c>
      <c r="H23" s="134" t="s">
        <v>38</v>
      </c>
      <c r="I23" s="60">
        <f t="shared" si="1"/>
        <v>88.56</v>
      </c>
      <c r="J23" s="56" t="s">
        <v>39</v>
      </c>
      <c r="K23" s="56"/>
      <c r="L23" s="159" t="s">
        <v>40</v>
      </c>
      <c r="M23" s="159" t="s">
        <v>41</v>
      </c>
      <c r="N23" s="56" t="s">
        <v>55</v>
      </c>
      <c r="O23" s="56">
        <f t="shared" si="2"/>
        <v>0.16</v>
      </c>
    </row>
    <row r="24" s="93" customFormat="1" spans="1:15">
      <c r="A24" s="55" t="s">
        <v>56</v>
      </c>
      <c r="B24" s="56" t="s">
        <v>57</v>
      </c>
      <c r="C24" s="56" t="s">
        <v>58</v>
      </c>
      <c r="D24" s="56" t="s">
        <v>59</v>
      </c>
      <c r="E24" s="56">
        <v>6000</v>
      </c>
      <c r="F24" s="132" t="s">
        <v>37</v>
      </c>
      <c r="G24" s="135">
        <v>0.0225</v>
      </c>
      <c r="H24" s="134" t="s">
        <v>38</v>
      </c>
      <c r="I24" s="60">
        <f t="shared" si="1"/>
        <v>135</v>
      </c>
      <c r="J24" s="56" t="s">
        <v>39</v>
      </c>
      <c r="K24" s="56"/>
      <c r="L24" s="159" t="s">
        <v>40</v>
      </c>
      <c r="M24" s="159" t="s">
        <v>41</v>
      </c>
      <c r="N24" s="56" t="s">
        <v>42</v>
      </c>
      <c r="O24" s="56">
        <f t="shared" si="2"/>
        <v>0.32</v>
      </c>
    </row>
    <row r="25" s="93" customFormat="1" spans="1:15">
      <c r="A25" s="55" t="s">
        <v>60</v>
      </c>
      <c r="B25" s="56" t="s">
        <v>61</v>
      </c>
      <c r="C25" s="56" t="s">
        <v>62</v>
      </c>
      <c r="D25" s="56" t="s">
        <v>59</v>
      </c>
      <c r="E25" s="56">
        <v>30000</v>
      </c>
      <c r="F25" s="132" t="s">
        <v>37</v>
      </c>
      <c r="G25" s="135">
        <v>0.0225</v>
      </c>
      <c r="H25" s="134" t="s">
        <v>38</v>
      </c>
      <c r="I25" s="60">
        <f t="shared" si="1"/>
        <v>675</v>
      </c>
      <c r="J25" s="56" t="s">
        <v>39</v>
      </c>
      <c r="K25" s="56"/>
      <c r="L25" s="159" t="s">
        <v>40</v>
      </c>
      <c r="M25" s="159" t="s">
        <v>41</v>
      </c>
      <c r="N25" s="56" t="s">
        <v>42</v>
      </c>
      <c r="O25" s="56">
        <f t="shared" si="2"/>
        <v>1.6</v>
      </c>
    </row>
    <row r="26" s="93" customFormat="1" spans="1:15">
      <c r="A26" s="55" t="s">
        <v>63</v>
      </c>
      <c r="B26" s="56" t="s">
        <v>61</v>
      </c>
      <c r="C26" s="56" t="s">
        <v>62</v>
      </c>
      <c r="D26" s="56" t="s">
        <v>59</v>
      </c>
      <c r="E26" s="56">
        <v>21000</v>
      </c>
      <c r="F26" s="132" t="s">
        <v>37</v>
      </c>
      <c r="G26" s="135">
        <v>0.0225</v>
      </c>
      <c r="H26" s="134" t="s">
        <v>38</v>
      </c>
      <c r="I26" s="60">
        <f t="shared" si="1"/>
        <v>472.5</v>
      </c>
      <c r="J26" s="56" t="s">
        <v>39</v>
      </c>
      <c r="K26" s="56"/>
      <c r="L26" s="159" t="s">
        <v>40</v>
      </c>
      <c r="M26" s="159" t="s">
        <v>41</v>
      </c>
      <c r="N26" s="56" t="s">
        <v>42</v>
      </c>
      <c r="O26" s="56">
        <f t="shared" si="2"/>
        <v>1.12</v>
      </c>
    </row>
    <row r="27" s="93" customFormat="1" spans="1:15">
      <c r="A27" s="55" t="s">
        <v>64</v>
      </c>
      <c r="B27" s="56" t="s">
        <v>65</v>
      </c>
      <c r="C27" s="56" t="s">
        <v>48</v>
      </c>
      <c r="D27" s="56" t="s">
        <v>66</v>
      </c>
      <c r="E27" s="56">
        <v>3000</v>
      </c>
      <c r="F27" s="132" t="s">
        <v>37</v>
      </c>
      <c r="G27" s="135">
        <v>0.0225</v>
      </c>
      <c r="H27" s="134" t="s">
        <v>38</v>
      </c>
      <c r="I27" s="60">
        <f t="shared" si="1"/>
        <v>67.5</v>
      </c>
      <c r="J27" s="56" t="s">
        <v>39</v>
      </c>
      <c r="K27" s="56"/>
      <c r="L27" s="159" t="s">
        <v>40</v>
      </c>
      <c r="M27" s="159" t="s">
        <v>41</v>
      </c>
      <c r="N27" s="56" t="s">
        <v>42</v>
      </c>
      <c r="O27" s="56">
        <f t="shared" si="2"/>
        <v>0.16</v>
      </c>
    </row>
    <row r="28" s="93" customFormat="1" spans="1:15">
      <c r="A28" s="55" t="s">
        <v>67</v>
      </c>
      <c r="B28" s="56" t="s">
        <v>68</v>
      </c>
      <c r="C28" s="56" t="s">
        <v>69</v>
      </c>
      <c r="D28" s="56" t="s">
        <v>66</v>
      </c>
      <c r="E28" s="56">
        <v>3000</v>
      </c>
      <c r="F28" s="132" t="s">
        <v>37</v>
      </c>
      <c r="G28" s="135">
        <v>0.125</v>
      </c>
      <c r="H28" s="134" t="s">
        <v>38</v>
      </c>
      <c r="I28" s="60">
        <f t="shared" si="1"/>
        <v>375</v>
      </c>
      <c r="J28" s="56" t="s">
        <v>39</v>
      </c>
      <c r="K28" s="56"/>
      <c r="L28" s="159" t="s">
        <v>40</v>
      </c>
      <c r="M28" s="159" t="s">
        <v>41</v>
      </c>
      <c r="N28" s="56" t="s">
        <v>55</v>
      </c>
      <c r="O28" s="56">
        <f t="shared" si="2"/>
        <v>0.16</v>
      </c>
    </row>
    <row r="29" s="93" customFormat="1" spans="1:15">
      <c r="A29" s="55"/>
      <c r="B29" s="56"/>
      <c r="C29" s="56"/>
      <c r="D29" s="56"/>
      <c r="E29" s="56"/>
      <c r="F29" s="132"/>
      <c r="G29" s="135"/>
      <c r="H29" s="134"/>
      <c r="I29" s="60"/>
      <c r="J29" s="56"/>
      <c r="K29" s="56"/>
      <c r="L29" s="159"/>
      <c r="M29" s="159"/>
      <c r="N29" s="56"/>
      <c r="O29" s="56"/>
    </row>
    <row r="30" s="93" customFormat="1" spans="1:15">
      <c r="A30" s="55"/>
      <c r="B30" s="56"/>
      <c r="C30" s="56"/>
      <c r="D30" s="56"/>
      <c r="E30" s="56"/>
      <c r="F30" s="132"/>
      <c r="G30" s="135"/>
      <c r="H30" s="134"/>
      <c r="I30" s="60"/>
      <c r="J30" s="56"/>
      <c r="K30" s="56"/>
      <c r="L30" s="159"/>
      <c r="M30" s="159"/>
      <c r="N30" s="56"/>
      <c r="O30" s="56"/>
    </row>
    <row r="31" s="93" customFormat="1" spans="1:15">
      <c r="A31" s="55"/>
      <c r="B31" s="56"/>
      <c r="C31" s="56"/>
      <c r="D31" s="56"/>
      <c r="E31" s="56"/>
      <c r="F31" s="132"/>
      <c r="G31" s="135"/>
      <c r="H31" s="134"/>
      <c r="I31" s="60"/>
      <c r="J31" s="56"/>
      <c r="K31" s="56"/>
      <c r="L31" s="159"/>
      <c r="M31" s="159"/>
      <c r="N31" s="56"/>
      <c r="O31" s="56"/>
    </row>
    <row r="32" s="93" customFormat="1" spans="1:15">
      <c r="A32" s="55"/>
      <c r="B32" s="56"/>
      <c r="C32" s="56"/>
      <c r="D32" s="56"/>
      <c r="E32" s="56"/>
      <c r="F32" s="132"/>
      <c r="G32" s="135"/>
      <c r="H32" s="134"/>
      <c r="I32" s="60"/>
      <c r="J32" s="56"/>
      <c r="K32" s="56"/>
      <c r="L32" s="159"/>
      <c r="M32" s="159"/>
      <c r="N32" s="56"/>
      <c r="O32" s="56"/>
    </row>
    <row r="33" ht="13.5" spans="1:15">
      <c r="A33" s="136"/>
      <c r="B33" s="137"/>
      <c r="C33" s="138" t="s">
        <v>70</v>
      </c>
      <c r="D33" s="138"/>
      <c r="E33" s="139">
        <f>SUM(E20:E32)</f>
        <v>126000</v>
      </c>
      <c r="F33" s="140"/>
      <c r="G33" s="141"/>
      <c r="H33" s="141"/>
      <c r="I33" s="160">
        <f>SUM(I20:I32)</f>
        <v>4268.04</v>
      </c>
      <c r="J33" s="161"/>
      <c r="K33" s="161"/>
      <c r="L33" s="161"/>
      <c r="M33" s="161"/>
      <c r="N33" s="161"/>
      <c r="O33" s="160">
        <f>SUM(O20:O32)</f>
        <v>6.72</v>
      </c>
    </row>
    <row r="35" spans="8:9">
      <c r="H35" s="142" t="s">
        <v>71</v>
      </c>
      <c r="I35" s="162" t="s">
        <v>72</v>
      </c>
    </row>
    <row r="36" spans="8:9">
      <c r="H36" s="142" t="s">
        <v>73</v>
      </c>
      <c r="I36" s="142">
        <v>2358</v>
      </c>
    </row>
    <row r="37" spans="8:9">
      <c r="H37" s="142" t="s">
        <v>74</v>
      </c>
      <c r="I37" s="163" t="s">
        <v>75</v>
      </c>
    </row>
    <row r="38" spans="8:9">
      <c r="H38" s="142" t="s">
        <v>76</v>
      </c>
      <c r="I38" s="164" t="s">
        <v>77</v>
      </c>
    </row>
  </sheetData>
  <mergeCells count="9">
    <mergeCell ref="A1:O1"/>
    <mergeCell ref="E9:I9"/>
    <mergeCell ref="A15:B15"/>
    <mergeCell ref="C15:D15"/>
    <mergeCell ref="C18:D18"/>
    <mergeCell ref="C33:D33"/>
    <mergeCell ref="A3:D6"/>
    <mergeCell ref="A8:D10"/>
    <mergeCell ref="A12:D13"/>
  </mergeCells>
  <pageMargins left="0.156944444444444" right="0.156944444444444" top="1" bottom="0.314583333333333" header="0.5" footer="0.118055555555556"/>
  <pageSetup paperSize="9" scale="67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1"/>
  <sheetViews>
    <sheetView topLeftCell="A23" workbookViewId="0">
      <selection activeCell="I37" sqref="I37"/>
    </sheetView>
  </sheetViews>
  <sheetFormatPr defaultColWidth="9" defaultRowHeight="13.5"/>
  <cols>
    <col min="2" max="2" width="10.875" customWidth="1"/>
    <col min="3" max="3" width="12.125" customWidth="1"/>
    <col min="5" max="5" width="7.375" customWidth="1"/>
    <col min="6" max="6" width="10.25"/>
  </cols>
  <sheetData>
    <row r="1" spans="1:10">
      <c r="A1" s="1" t="s">
        <v>78</v>
      </c>
      <c r="B1" s="2"/>
      <c r="C1" s="2"/>
      <c r="D1" s="2"/>
      <c r="E1" s="2"/>
      <c r="F1" s="2"/>
      <c r="G1" s="2"/>
      <c r="H1" s="2"/>
      <c r="I1" s="2"/>
      <c r="J1" s="80"/>
    </row>
    <row r="2" spans="1:10">
      <c r="A2" s="3"/>
      <c r="B2" s="4"/>
      <c r="C2" s="4"/>
      <c r="D2" s="4"/>
      <c r="E2" s="4"/>
      <c r="F2" s="4"/>
      <c r="G2" s="4"/>
      <c r="H2" s="4"/>
      <c r="I2" s="4"/>
      <c r="J2" s="81"/>
    </row>
    <row r="3" spans="1:10">
      <c r="A3" s="5" t="s">
        <v>1</v>
      </c>
      <c r="B3" s="6"/>
      <c r="C3" s="7"/>
      <c r="D3" s="7"/>
      <c r="E3" s="8"/>
      <c r="F3" s="6" t="s">
        <v>79</v>
      </c>
      <c r="G3" s="7"/>
      <c r="H3" s="7"/>
      <c r="I3" s="7"/>
      <c r="J3" s="82"/>
    </row>
    <row r="4" spans="1:10">
      <c r="A4" s="9" t="str">
        <f>INVOICE!A3</f>
        <v>HeFei JingWeiTe Electronics Technology Co., Ltd
1st floor, standard workshop in Economic Development Zone, No. 3188
Yungu Road, Hefei Economic and Technological Development Zone,
Anhui Province
TEL :0086-551-63350092
FAX :0086-551-63350135</v>
      </c>
      <c r="B4" s="10"/>
      <c r="C4" s="10"/>
      <c r="D4" s="10"/>
      <c r="E4" s="11"/>
      <c r="F4" s="12" t="str">
        <f>INVOICE!E3</f>
        <v>JWT283725081201</v>
      </c>
      <c r="G4" s="13"/>
      <c r="H4" s="13"/>
      <c r="I4" s="13"/>
      <c r="J4" s="82"/>
    </row>
    <row r="5" spans="1:10">
      <c r="A5" s="9"/>
      <c r="B5" s="10"/>
      <c r="C5" s="10"/>
      <c r="D5" s="10"/>
      <c r="E5" s="11"/>
      <c r="F5" s="14">
        <f>INVOICE!E4</f>
        <v>45881</v>
      </c>
      <c r="G5" s="13"/>
      <c r="H5" s="13"/>
      <c r="I5" s="13"/>
      <c r="J5" s="82"/>
    </row>
    <row r="6" spans="1:10">
      <c r="A6" s="9"/>
      <c r="B6" s="10"/>
      <c r="C6" s="10"/>
      <c r="D6" s="10"/>
      <c r="E6" s="11"/>
      <c r="F6" s="15"/>
      <c r="G6" s="13"/>
      <c r="H6" s="13"/>
      <c r="I6" s="13"/>
      <c r="J6" s="82"/>
    </row>
    <row r="7" ht="58" customHeight="1" spans="1:10">
      <c r="A7" s="16"/>
      <c r="B7" s="17"/>
      <c r="C7" s="17"/>
      <c r="D7" s="17"/>
      <c r="E7" s="18"/>
      <c r="F7" s="19"/>
      <c r="G7" s="20"/>
      <c r="H7" s="20"/>
      <c r="I7" s="20"/>
      <c r="J7" s="83"/>
    </row>
    <row r="8" spans="1:10">
      <c r="A8" s="21" t="s">
        <v>5</v>
      </c>
      <c r="B8" s="6"/>
      <c r="C8" s="22"/>
      <c r="D8" s="22"/>
      <c r="E8" s="23"/>
      <c r="F8" s="24" t="s">
        <v>80</v>
      </c>
      <c r="G8" s="25"/>
      <c r="H8" s="25"/>
      <c r="I8" s="25"/>
      <c r="J8" s="82"/>
    </row>
    <row r="9" spans="1:10">
      <c r="A9" s="26" t="str">
        <f>INVOICE!A8</f>
        <v>No. 8 Tangzhuang Road, Suzhou Industrial Park Jiangsu, China
中磊电子（苏州）有限公司
Sernet(Suzhou)Technologies Corporation</v>
      </c>
      <c r="B9" s="27"/>
      <c r="C9" s="27"/>
      <c r="D9" s="27"/>
      <c r="E9" s="28"/>
      <c r="F9" s="29"/>
      <c r="G9" s="30"/>
      <c r="H9" s="30"/>
      <c r="I9" s="30"/>
      <c r="J9" s="82"/>
    </row>
    <row r="10" spans="1:10">
      <c r="A10" s="26"/>
      <c r="B10" s="27"/>
      <c r="C10" s="27"/>
      <c r="D10" s="27"/>
      <c r="E10" s="28"/>
      <c r="F10" s="29"/>
      <c r="G10" s="25"/>
      <c r="H10" s="13"/>
      <c r="I10" s="30"/>
      <c r="J10" s="82"/>
    </row>
    <row r="11" spans="1:10">
      <c r="A11" s="26"/>
      <c r="B11" s="27"/>
      <c r="C11" s="27"/>
      <c r="D11" s="27"/>
      <c r="E11" s="28"/>
      <c r="F11" s="29"/>
      <c r="G11" s="25"/>
      <c r="H11" s="13"/>
      <c r="I11" s="30"/>
      <c r="J11" s="82"/>
    </row>
    <row r="12" ht="18" customHeight="1" spans="1:10">
      <c r="A12" s="31"/>
      <c r="B12" s="32"/>
      <c r="C12" s="32"/>
      <c r="D12" s="32"/>
      <c r="E12" s="33"/>
      <c r="F12" s="13"/>
      <c r="G12" s="34"/>
      <c r="H12" s="34"/>
      <c r="I12" s="25"/>
      <c r="J12" s="82"/>
    </row>
    <row r="13" ht="16.5" spans="1:10">
      <c r="A13" s="21" t="s">
        <v>8</v>
      </c>
      <c r="B13" s="29"/>
      <c r="C13" s="25"/>
      <c r="D13" s="25"/>
      <c r="E13" s="35"/>
      <c r="F13" s="36"/>
      <c r="G13" s="37"/>
      <c r="H13" s="13"/>
      <c r="I13" s="25"/>
      <c r="J13" s="82"/>
    </row>
    <row r="14" ht="20" customHeight="1" spans="1:10">
      <c r="A14" s="26" t="str">
        <f>INVOICE!A12</f>
        <v>No. 8 Tangzhuang Road, Suzhou Industrial Park Jiangsu, China
中磊电子（苏州）有限公司
Sernet(Suzhou)Technologies Corporation</v>
      </c>
      <c r="B14" s="27"/>
      <c r="C14" s="27"/>
      <c r="D14" s="27"/>
      <c r="E14" s="28"/>
      <c r="F14" s="36"/>
      <c r="G14" s="37"/>
      <c r="H14" s="13"/>
      <c r="I14" s="25"/>
      <c r="J14" s="82"/>
    </row>
    <row r="15" ht="15" customHeight="1" spans="1:10">
      <c r="A15" s="26"/>
      <c r="B15" s="27"/>
      <c r="C15" s="27"/>
      <c r="D15" s="27"/>
      <c r="E15" s="28"/>
      <c r="F15" s="25"/>
      <c r="G15" s="25"/>
      <c r="H15" s="25"/>
      <c r="I15" s="25"/>
      <c r="J15" s="82"/>
    </row>
    <row r="16" ht="23" customHeight="1" spans="1:10">
      <c r="A16" s="31"/>
      <c r="B16" s="32"/>
      <c r="C16" s="32"/>
      <c r="D16" s="32"/>
      <c r="E16" s="33"/>
      <c r="F16" s="38"/>
      <c r="G16" s="38"/>
      <c r="H16" s="39"/>
      <c r="I16" s="84"/>
      <c r="J16" s="82"/>
    </row>
    <row r="17" spans="1:10">
      <c r="A17" s="40" t="s">
        <v>81</v>
      </c>
      <c r="B17" s="24"/>
      <c r="C17" s="8"/>
      <c r="D17" s="24" t="s">
        <v>82</v>
      </c>
      <c r="E17" s="41"/>
      <c r="F17" s="38"/>
      <c r="G17" s="38"/>
      <c r="H17" s="42"/>
      <c r="I17" s="25"/>
      <c r="J17" s="82"/>
    </row>
    <row r="18" spans="1:10">
      <c r="A18" s="43"/>
      <c r="B18" s="44"/>
      <c r="C18" s="45"/>
      <c r="D18" s="43"/>
      <c r="E18" s="45"/>
      <c r="F18" s="38"/>
      <c r="G18" s="38"/>
      <c r="H18" s="42"/>
      <c r="I18" s="25"/>
      <c r="J18" s="82"/>
    </row>
    <row r="19" spans="1:10">
      <c r="A19" s="40" t="s">
        <v>14</v>
      </c>
      <c r="B19" s="46"/>
      <c r="C19" s="47"/>
      <c r="D19" s="24" t="s">
        <v>15</v>
      </c>
      <c r="E19" s="48"/>
      <c r="F19" s="13"/>
      <c r="G19" s="25"/>
      <c r="H19" s="25"/>
      <c r="I19" s="25"/>
      <c r="J19" s="82"/>
    </row>
    <row r="20" spans="1:10">
      <c r="A20" s="43"/>
      <c r="B20" s="44"/>
      <c r="C20" s="45"/>
      <c r="D20" s="49"/>
      <c r="E20" s="50"/>
      <c r="F20" s="20"/>
      <c r="G20" s="20"/>
      <c r="H20" s="20"/>
      <c r="I20" s="20"/>
      <c r="J20" s="82"/>
    </row>
    <row r="21" spans="1:10">
      <c r="A21" s="51" t="s">
        <v>83</v>
      </c>
      <c r="B21" s="52" t="s">
        <v>20</v>
      </c>
      <c r="C21" s="52" t="s">
        <v>19</v>
      </c>
      <c r="D21" s="52" t="s">
        <v>84</v>
      </c>
      <c r="E21" s="52"/>
      <c r="F21" s="53" t="s">
        <v>22</v>
      </c>
      <c r="G21" s="53" t="s">
        <v>23</v>
      </c>
      <c r="H21" s="54" t="s">
        <v>85</v>
      </c>
      <c r="I21" s="54" t="s">
        <v>86</v>
      </c>
      <c r="J21" s="85" t="s">
        <v>87</v>
      </c>
    </row>
    <row r="22" spans="1:10">
      <c r="A22" s="51"/>
      <c r="B22" s="52"/>
      <c r="C22" s="52"/>
      <c r="D22" s="52"/>
      <c r="E22" s="52"/>
      <c r="F22" s="53"/>
      <c r="G22" s="53"/>
      <c r="H22" s="54" t="s">
        <v>88</v>
      </c>
      <c r="I22" s="54" t="s">
        <v>88</v>
      </c>
      <c r="J22" s="86"/>
    </row>
    <row r="23" ht="18" customHeight="1" spans="1:10">
      <c r="A23" s="55" t="s">
        <v>33</v>
      </c>
      <c r="B23" s="56" t="s">
        <v>35</v>
      </c>
      <c r="C23" s="56" t="s">
        <v>34</v>
      </c>
      <c r="D23" s="57" t="s">
        <v>36</v>
      </c>
      <c r="E23" s="57"/>
      <c r="F23" s="58">
        <v>27000</v>
      </c>
      <c r="G23" s="59" t="s">
        <v>37</v>
      </c>
      <c r="H23" s="60">
        <f>F23/3000*0.16</f>
        <v>1.44</v>
      </c>
      <c r="I23" s="60">
        <f>F23/3000*0.2</f>
        <v>1.8</v>
      </c>
      <c r="J23" s="87" t="s">
        <v>89</v>
      </c>
    </row>
    <row r="24" ht="18" customHeight="1" spans="1:10">
      <c r="A24" s="55" t="s">
        <v>43</v>
      </c>
      <c r="B24" s="56" t="s">
        <v>45</v>
      </c>
      <c r="C24" s="56" t="s">
        <v>44</v>
      </c>
      <c r="D24" s="57" t="s">
        <v>36</v>
      </c>
      <c r="E24" s="57"/>
      <c r="F24" s="58">
        <v>9000</v>
      </c>
      <c r="G24" s="59" t="s">
        <v>37</v>
      </c>
      <c r="H24" s="60">
        <f t="shared" ref="H24:H37" si="0">F24/3000*0.16</f>
        <v>0.48</v>
      </c>
      <c r="I24" s="60">
        <f t="shared" ref="I24:I37" si="1">F24/3000*0.2</f>
        <v>0.6</v>
      </c>
      <c r="J24" s="87" t="s">
        <v>89</v>
      </c>
    </row>
    <row r="25" ht="18" customHeight="1" spans="1:10">
      <c r="A25" s="55" t="s">
        <v>46</v>
      </c>
      <c r="B25" s="56" t="s">
        <v>48</v>
      </c>
      <c r="C25" s="56" t="s">
        <v>47</v>
      </c>
      <c r="D25" s="57" t="s">
        <v>49</v>
      </c>
      <c r="E25" s="57"/>
      <c r="F25" s="58">
        <v>24000</v>
      </c>
      <c r="G25" s="59" t="s">
        <v>37</v>
      </c>
      <c r="H25" s="60">
        <f t="shared" si="0"/>
        <v>1.28</v>
      </c>
      <c r="I25" s="60">
        <f t="shared" si="1"/>
        <v>1.6</v>
      </c>
      <c r="J25" s="87" t="s">
        <v>89</v>
      </c>
    </row>
    <row r="26" ht="18" customHeight="1" spans="1:10">
      <c r="A26" s="55" t="s">
        <v>51</v>
      </c>
      <c r="B26" s="56" t="s">
        <v>53</v>
      </c>
      <c r="C26" s="56" t="s">
        <v>52</v>
      </c>
      <c r="D26" s="57" t="s">
        <v>54</v>
      </c>
      <c r="E26" s="57"/>
      <c r="F26" s="58">
        <v>3000</v>
      </c>
      <c r="G26" s="59" t="s">
        <v>37</v>
      </c>
      <c r="H26" s="60">
        <f t="shared" si="0"/>
        <v>0.16</v>
      </c>
      <c r="I26" s="60">
        <f t="shared" si="1"/>
        <v>0.2</v>
      </c>
      <c r="J26" s="87" t="s">
        <v>89</v>
      </c>
    </row>
    <row r="27" ht="18" customHeight="1" spans="1:10">
      <c r="A27" s="55" t="s">
        <v>56</v>
      </c>
      <c r="B27" s="56" t="s">
        <v>58</v>
      </c>
      <c r="C27" s="56" t="s">
        <v>57</v>
      </c>
      <c r="D27" s="57" t="s">
        <v>59</v>
      </c>
      <c r="E27" s="57"/>
      <c r="F27" s="58">
        <v>6000</v>
      </c>
      <c r="G27" s="59" t="s">
        <v>37</v>
      </c>
      <c r="H27" s="60">
        <f t="shared" si="0"/>
        <v>0.32</v>
      </c>
      <c r="I27" s="60">
        <f t="shared" si="1"/>
        <v>0.4</v>
      </c>
      <c r="J27" s="87" t="s">
        <v>89</v>
      </c>
    </row>
    <row r="28" ht="18" customHeight="1" spans="1:10">
      <c r="A28" s="55" t="s">
        <v>60</v>
      </c>
      <c r="B28" s="56" t="s">
        <v>62</v>
      </c>
      <c r="C28" s="56" t="s">
        <v>61</v>
      </c>
      <c r="D28" s="57" t="s">
        <v>59</v>
      </c>
      <c r="E28" s="57"/>
      <c r="F28" s="58">
        <v>30000</v>
      </c>
      <c r="G28" s="59" t="s">
        <v>37</v>
      </c>
      <c r="H28" s="60">
        <f t="shared" si="0"/>
        <v>1.6</v>
      </c>
      <c r="I28" s="60">
        <f t="shared" si="1"/>
        <v>2</v>
      </c>
      <c r="J28" s="87" t="s">
        <v>89</v>
      </c>
    </row>
    <row r="29" ht="18" customHeight="1" spans="1:10">
      <c r="A29" s="55" t="s">
        <v>63</v>
      </c>
      <c r="B29" s="56" t="s">
        <v>62</v>
      </c>
      <c r="C29" s="56" t="s">
        <v>61</v>
      </c>
      <c r="D29" s="57" t="s">
        <v>59</v>
      </c>
      <c r="E29" s="57"/>
      <c r="F29" s="58">
        <v>21000</v>
      </c>
      <c r="G29" s="59" t="s">
        <v>37</v>
      </c>
      <c r="H29" s="60">
        <f t="shared" si="0"/>
        <v>1.12</v>
      </c>
      <c r="I29" s="60">
        <f t="shared" si="1"/>
        <v>1.4</v>
      </c>
      <c r="J29" s="87" t="s">
        <v>89</v>
      </c>
    </row>
    <row r="30" ht="18" customHeight="1" spans="1:10">
      <c r="A30" s="55" t="s">
        <v>64</v>
      </c>
      <c r="B30" s="56" t="s">
        <v>48</v>
      </c>
      <c r="C30" s="56" t="s">
        <v>65</v>
      </c>
      <c r="D30" s="57" t="s">
        <v>66</v>
      </c>
      <c r="E30" s="57"/>
      <c r="F30" s="58">
        <v>3000</v>
      </c>
      <c r="G30" s="59" t="s">
        <v>37</v>
      </c>
      <c r="H30" s="60">
        <f t="shared" si="0"/>
        <v>0.16</v>
      </c>
      <c r="I30" s="60">
        <f t="shared" si="1"/>
        <v>0.2</v>
      </c>
      <c r="J30" s="87" t="s">
        <v>89</v>
      </c>
    </row>
    <row r="31" ht="18" customHeight="1" spans="1:12">
      <c r="A31" s="55" t="s">
        <v>67</v>
      </c>
      <c r="B31" s="56" t="s">
        <v>69</v>
      </c>
      <c r="C31" s="56" t="s">
        <v>68</v>
      </c>
      <c r="D31" s="61" t="s">
        <v>66</v>
      </c>
      <c r="E31" s="61"/>
      <c r="F31" s="58">
        <v>3000</v>
      </c>
      <c r="G31" s="59" t="s">
        <v>37</v>
      </c>
      <c r="H31" s="60">
        <f t="shared" si="0"/>
        <v>0.16</v>
      </c>
      <c r="I31" s="60">
        <f t="shared" si="1"/>
        <v>0.2</v>
      </c>
      <c r="J31" s="87" t="s">
        <v>89</v>
      </c>
      <c r="L31" s="88"/>
    </row>
    <row r="32" ht="18" customHeight="1" spans="1:12">
      <c r="A32" s="55"/>
      <c r="B32" s="56"/>
      <c r="C32" s="56"/>
      <c r="D32" s="61"/>
      <c r="E32" s="61"/>
      <c r="F32" s="58"/>
      <c r="G32" s="59"/>
      <c r="H32" s="60"/>
      <c r="I32" s="60"/>
      <c r="J32" s="87"/>
      <c r="L32" s="88"/>
    </row>
    <row r="33" ht="18" customHeight="1" spans="1:12">
      <c r="A33" s="55"/>
      <c r="B33" s="56"/>
      <c r="C33" s="56"/>
      <c r="D33" s="61"/>
      <c r="E33" s="61"/>
      <c r="F33" s="58"/>
      <c r="G33" s="59"/>
      <c r="H33" s="60"/>
      <c r="I33" s="60"/>
      <c r="J33" s="87"/>
      <c r="L33" s="88"/>
    </row>
    <row r="34" ht="18" customHeight="1" spans="1:12">
      <c r="A34" s="55"/>
      <c r="B34" s="56"/>
      <c r="C34" s="56"/>
      <c r="D34" s="61"/>
      <c r="E34" s="61"/>
      <c r="F34" s="58"/>
      <c r="G34" s="59"/>
      <c r="H34" s="60"/>
      <c r="I34" s="60"/>
      <c r="J34" s="87"/>
      <c r="L34" s="88"/>
    </row>
    <row r="35" ht="18" customHeight="1" spans="1:12">
      <c r="A35" s="55"/>
      <c r="B35" s="56"/>
      <c r="C35" s="56"/>
      <c r="D35" s="61"/>
      <c r="E35" s="61"/>
      <c r="F35" s="58"/>
      <c r="G35" s="59"/>
      <c r="H35" s="60"/>
      <c r="I35" s="60"/>
      <c r="J35" s="87"/>
      <c r="L35" s="88"/>
    </row>
    <row r="36" ht="18" customHeight="1" spans="1:12">
      <c r="A36" s="56"/>
      <c r="B36" s="56"/>
      <c r="C36" s="62"/>
      <c r="D36" s="63"/>
      <c r="E36" s="63"/>
      <c r="F36" s="64"/>
      <c r="G36" s="65"/>
      <c r="H36" s="66"/>
      <c r="I36" s="66"/>
      <c r="J36" s="89"/>
      <c r="K36" s="88"/>
      <c r="L36" s="88"/>
    </row>
    <row r="37" spans="1:10">
      <c r="A37" s="67">
        <v>9</v>
      </c>
      <c r="B37" s="68"/>
      <c r="C37" s="46"/>
      <c r="D37" s="69"/>
      <c r="E37" s="70" t="s">
        <v>90</v>
      </c>
      <c r="F37" s="71">
        <f>SUM(F23:F36)</f>
        <v>126000</v>
      </c>
      <c r="G37" s="72"/>
      <c r="H37" s="73">
        <f>SUM(H23:H36)</f>
        <v>6.72</v>
      </c>
      <c r="I37" s="73">
        <f>SUM(I23:I36)</f>
        <v>8.4</v>
      </c>
      <c r="J37" s="90" t="s">
        <v>91</v>
      </c>
    </row>
    <row r="38" spans="1:10">
      <c r="A38" s="74"/>
      <c r="E38" s="75" t="s">
        <v>92</v>
      </c>
      <c r="F38" s="76">
        <v>9</v>
      </c>
      <c r="J38" s="91"/>
    </row>
    <row r="39" spans="1:10">
      <c r="A39" s="74"/>
      <c r="E39" s="75" t="s">
        <v>93</v>
      </c>
      <c r="F39" s="77" t="s">
        <v>94</v>
      </c>
      <c r="J39" s="91"/>
    </row>
    <row r="40" spans="1:10">
      <c r="A40" s="74"/>
      <c r="E40" s="75"/>
      <c r="F40" s="77"/>
      <c r="J40" s="91"/>
    </row>
    <row r="41" spans="1:10">
      <c r="A41" s="78"/>
      <c r="B41" s="79"/>
      <c r="C41" s="79"/>
      <c r="D41" s="79"/>
      <c r="E41" s="79"/>
      <c r="F41" s="79"/>
      <c r="G41" s="79"/>
      <c r="H41" s="79"/>
      <c r="I41" s="79"/>
      <c r="J41" s="92"/>
    </row>
  </sheetData>
  <mergeCells count="31">
    <mergeCell ref="A1:J1"/>
    <mergeCell ref="F16:G16"/>
    <mergeCell ref="F17:G17"/>
    <mergeCell ref="A18:C18"/>
    <mergeCell ref="D18:E18"/>
    <mergeCell ref="F18:G18"/>
    <mergeCell ref="A20:C20"/>
    <mergeCell ref="D20:E20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A21:A22"/>
    <mergeCell ref="B21:B22"/>
    <mergeCell ref="C21:C22"/>
    <mergeCell ref="F21:F22"/>
    <mergeCell ref="G21:G22"/>
    <mergeCell ref="J21:J22"/>
    <mergeCell ref="D21:E22"/>
    <mergeCell ref="A4:E7"/>
    <mergeCell ref="A9:E12"/>
    <mergeCell ref="A14:E16"/>
  </mergeCells>
  <pageMargins left="0.75" right="0.75" top="1" bottom="1" header="0.5" footer="0.5"/>
  <pageSetup paperSize="9" scale="93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A000427</cp:lastModifiedBy>
  <dcterms:created xsi:type="dcterms:W3CDTF">2025-07-17T08:11:00Z</dcterms:created>
  <dcterms:modified xsi:type="dcterms:W3CDTF">2025-08-14T03:39:15Z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2052-10.8.2.6837</vt:lpwstr>
  </property>
</Properties>
</file>