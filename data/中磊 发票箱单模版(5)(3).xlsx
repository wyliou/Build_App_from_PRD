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codeName="ThisWorkbook"/>
  <xr:revisionPtr revIDLastSave="1" documentId="11_9A5AFD53A6CEAE6229ED176D53AF2B9C244F1A19" xr6:coauthVersionLast="47" xr6:coauthVersionMax="47" xr10:uidLastSave="{CD061EE5-0EEF-47FD-AF6C-0D009159204B}"/>
  <bookViews>
    <workbookView xWindow="0" yWindow="0" windowWidth="20490" windowHeight="7860" xr2:uid="{00000000-000D-0000-FFFF-FFFF00000000}"/>
  </bookViews>
  <sheets>
    <sheet name="INVOICE" sheetId="1" r:id="rId1"/>
    <sheet name="PACK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2" l="1"/>
  <c r="H40" i="2"/>
  <c r="F40" i="2"/>
  <c r="A15" i="2"/>
  <c r="A14" i="2"/>
  <c r="A10" i="2"/>
  <c r="A9" i="2"/>
  <c r="F5" i="2"/>
  <c r="F4" i="2"/>
  <c r="A4" i="2"/>
  <c r="E27" i="1"/>
  <c r="I26" i="1"/>
  <c r="I25" i="1"/>
  <c r="I24" i="1"/>
  <c r="I23" i="1"/>
  <c r="I22" i="1"/>
  <c r="I21" i="1"/>
  <c r="I20" i="1"/>
  <c r="I27" i="1" s="1"/>
</calcChain>
</file>

<file path=xl/sharedStrings.xml><?xml version="1.0" encoding="utf-8"?>
<sst xmlns="http://schemas.openxmlformats.org/spreadsheetml/2006/main" count="193" uniqueCount="75">
  <si>
    <t>COMMERCIAL INVOICE</t>
  </si>
  <si>
    <t>Shipper/Exporter</t>
  </si>
  <si>
    <t>No. &amp; Date of Invoice</t>
  </si>
  <si>
    <t>Express Electronics Trading Limited</t>
  </si>
  <si>
    <t>YX20251215</t>
  </si>
  <si>
    <t xml:space="preserve">2/F., Harbour View 1, No. 12 Science Park East Avenue, Phase II Hong Kong Science Park,     Shatin, N.T. </t>
  </si>
  <si>
    <t>Bill To:</t>
  </si>
  <si>
    <t xml:space="preserve"> Payment Term</t>
  </si>
  <si>
    <t>Sernet (Suzhou) Technologies Corporation</t>
  </si>
  <si>
    <t>T/T</t>
  </si>
  <si>
    <t>NO.8 Tangzhuang Road,Suzhou Industrial Park,Su Zhou</t>
  </si>
  <si>
    <t>Ship To:</t>
  </si>
  <si>
    <t xml:space="preserve"> Trade Term</t>
  </si>
  <si>
    <t>DDU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</si>
  <si>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</si>
  <si>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</si>
  <si>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</si>
  <si>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</si>
  <si>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</si>
  <si>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</si>
  <si>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中国香港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</si>
  <si>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</si>
  <si>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</si>
  <si>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</si>
  <si>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</si>
  <si>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</si>
  <si>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</si>
  <si>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</si>
  <si>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</si>
  <si>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</si>
  <si>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</si>
  <si>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</si>
  <si>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</si>
  <si>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</si>
  <si>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</si>
  <si>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1</t>
  </si>
  <si>
    <t>490DPY10</t>
  </si>
  <si>
    <t>BARE  PCB</t>
  </si>
  <si>
    <t>PCS</t>
  </si>
  <si>
    <t>USD</t>
  </si>
  <si>
    <t>中国</t>
  </si>
  <si>
    <t>/</t>
  </si>
  <si>
    <t>无品牌</t>
  </si>
  <si>
    <t>无型号</t>
  </si>
  <si>
    <t>490DLF00</t>
  </si>
  <si>
    <t xml:space="preserve">                  TOTAL</t>
  </si>
  <si>
    <t>报关行</t>
  </si>
  <si>
    <t>苏州伟中报关有限公司</t>
  </si>
  <si>
    <t>申报地海关</t>
  </si>
  <si>
    <t>关联备案号</t>
  </si>
  <si>
    <t>新账册号T2358W000210</t>
  </si>
  <si>
    <t>运输方式</t>
  </si>
  <si>
    <t>保税港区</t>
  </si>
  <si>
    <t>PACKING LIST</t>
  </si>
  <si>
    <t>No &amp; Date of Invoice</t>
  </si>
  <si>
    <t>Remarks:</t>
  </si>
  <si>
    <t>Port of Departure</t>
  </si>
  <si>
    <t>Port of Arrival</t>
  </si>
  <si>
    <t>PALLET</t>
  </si>
  <si>
    <t>Net WT</t>
  </si>
  <si>
    <t>Gross WT</t>
  </si>
  <si>
    <t>MEASUREMENT  L*W*H(CM)</t>
  </si>
  <si>
    <t>KGS</t>
  </si>
  <si>
    <t>1.2*1*0.82M</t>
  </si>
  <si>
    <t>1.2*1*0.71M</t>
  </si>
  <si>
    <t>1.2*1*0.98M</t>
  </si>
  <si>
    <t>1.2*1*0.78M</t>
  </si>
  <si>
    <t>7 Pallets</t>
  </si>
  <si>
    <t>TOTAL</t>
  </si>
  <si>
    <t>7.28m³</t>
  </si>
  <si>
    <t>件数</t>
  </si>
  <si>
    <t>包装种类</t>
  </si>
  <si>
    <t>其他包装（99）</t>
  </si>
  <si>
    <t>托盘材质</t>
  </si>
  <si>
    <t>塑料托盘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</si>
</sst>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9" formatCode="0.000_ "/>
    <numFmt numFmtId="181" formatCode="0.00_ "/>
    <numFmt numFmtId="182" formatCode="yyyy/m/d;@"/>
    <numFmt numFmtId="183" formatCode="0_ "/>
    <numFmt numFmtId="184" formatCode="0.00_);[Red]\(0.00\)"/>
    <numFmt numFmtId="185" formatCode="#,##0.00_ "/>
    <numFmt numFmtId="186" formatCode="0.0000_);[Red]\(0.0000\)"/>
  </numFmts>
  <fonts count="29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2"/>
      <name val="宋体"/>
      <charset val="136"/>
      <scheme val="minor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color rgb="FF000000"/>
      <name val="宋体"/>
      <scheme val="minor"/>
    </font>
    <font>
      <sz val="12"/>
      <name val="宋体"/>
      <charset val="134"/>
      <scheme val="minor"/>
    </font>
    <font>
      <sz val="10"/>
      <name val="新細明體"/>
      <charset val="136"/>
    </font>
    <font>
      <b/>
      <sz val="10"/>
      <name val="宋体"/>
      <charset val="136"/>
    </font>
    <font>
      <b/>
      <sz val="10"/>
      <name val="新細明體"/>
      <charset val="136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b/>
      <sz val="11"/>
      <color rgb="FF000000"/>
      <name val="Times New Roman"/>
      <charset val="134"/>
    </font>
    <font>
      <sz val="11"/>
      <color theme="1"/>
      <name val="Times New Roman"/>
      <charset val="134"/>
    </font>
    <font>
      <b/>
      <sz val="11"/>
      <color rgb="FF000000"/>
      <name val="Times New Roman"/>
    </font>
    <font>
      <sz val="12"/>
      <color rgb="FF000000"/>
      <name val="Calibri"/>
      <charset val="134"/>
    </font>
    <font>
      <sz val="10"/>
      <color indexed="12"/>
      <name val="新細明體"/>
      <charset val="136"/>
    </font>
    <font>
      <sz val="9"/>
      <name val="Geneva"/>
    </font>
    <font>
      <sz val="12"/>
      <name val="宋体"/>
      <charset val="134"/>
    </font>
    <font>
      <sz val="12"/>
      <name val="新細明體"/>
      <charset val="136"/>
    </font>
    <font>
      <sz val="11"/>
      <color theme="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8" fillId="0" borderId="0">
      <alignment vertical="center"/>
    </xf>
  </cellStyleXfs>
  <cellXfs count="174">
    <xf numFmtId="0" fontId="0" fillId="0" borderId="0" xfId="0">
      <alignment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1" fillId="0" borderId="1" xfId="2" applyFont="1" applyBorder="1"/>
    <xf numFmtId="0" fontId="1" fillId="0" borderId="2" xfId="2" applyFont="1" applyBorder="1"/>
    <xf numFmtId="0" fontId="3" fillId="0" borderId="2" xfId="2" applyFont="1" applyBorder="1"/>
    <xf numFmtId="0" fontId="4" fillId="0" borderId="4" xfId="2" applyFont="1" applyBorder="1"/>
    <xf numFmtId="0" fontId="5" fillId="0" borderId="3" xfId="0" applyFont="1" applyBorder="1" applyAlignment="1"/>
    <xf numFmtId="0" fontId="3" fillId="0" borderId="0" xfId="2" applyFont="1" applyAlignment="1">
      <alignment horizontal="left"/>
    </xf>
    <xf numFmtId="0" fontId="3" fillId="0" borderId="0" xfId="2" applyFont="1"/>
    <xf numFmtId="0" fontId="3" fillId="0" borderId="5" xfId="2" applyFont="1" applyBorder="1"/>
    <xf numFmtId="0" fontId="3" fillId="0" borderId="3" xfId="0" applyFont="1" applyBorder="1" applyAlignment="1"/>
    <xf numFmtId="182" fontId="3" fillId="0" borderId="3" xfId="0" applyNumberFormat="1" applyFont="1" applyBorder="1" applyAlignment="1">
      <alignment horizontal="left" vertical="top"/>
    </xf>
    <xf numFmtId="0" fontId="3" fillId="0" borderId="3" xfId="2" applyFont="1" applyBorder="1"/>
    <xf numFmtId="0" fontId="3" fillId="0" borderId="6" xfId="4" applyFont="1" applyBorder="1" applyAlignment="1">
      <alignment horizontal="left"/>
    </xf>
    <xf numFmtId="0" fontId="3" fillId="0" borderId="7" xfId="4" applyFont="1" applyBorder="1"/>
    <xf numFmtId="0" fontId="3" fillId="0" borderId="7" xfId="6" applyFont="1" applyBorder="1"/>
    <xf numFmtId="0" fontId="3" fillId="0" borderId="8" xfId="6" applyFont="1" applyBorder="1"/>
    <xf numFmtId="0" fontId="3" fillId="0" borderId="6" xfId="2" applyFont="1" applyBorder="1"/>
    <xf numFmtId="0" fontId="3" fillId="0" borderId="7" xfId="2" applyFont="1" applyBorder="1"/>
    <xf numFmtId="0" fontId="1" fillId="0" borderId="1" xfId="4" applyFont="1" applyBorder="1"/>
    <xf numFmtId="0" fontId="3" fillId="0" borderId="4" xfId="2" applyFont="1" applyBorder="1"/>
    <xf numFmtId="0" fontId="3" fillId="0" borderId="3" xfId="2" applyFont="1" applyBorder="1" applyAlignment="1">
      <alignment horizontal="left"/>
    </xf>
    <xf numFmtId="0" fontId="1" fillId="0" borderId="0" xfId="2" applyFont="1"/>
    <xf numFmtId="0" fontId="3" fillId="0" borderId="0" xfId="4" applyFo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2" applyFont="1" applyBorder="1"/>
    <xf numFmtId="0" fontId="6" fillId="0" borderId="0" xfId="2" applyFont="1"/>
    <xf numFmtId="0" fontId="7" fillId="0" borderId="0" xfId="2" applyFont="1"/>
    <xf numFmtId="0" fontId="3" fillId="0" borderId="0" xfId="0" applyFont="1" applyAlignment="1"/>
    <xf numFmtId="0" fontId="3" fillId="0" borderId="5" xfId="2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4" xfId="4" applyFont="1" applyBorder="1"/>
    <xf numFmtId="181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4" fillId="0" borderId="5" xfId="2" applyFont="1" applyBorder="1"/>
    <xf numFmtId="0" fontId="8" fillId="0" borderId="5" xfId="2" applyFont="1" applyBorder="1" applyAlignment="1">
      <alignment horizontal="right"/>
    </xf>
    <xf numFmtId="0" fontId="1" fillId="0" borderId="9" xfId="2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83" fontId="12" fillId="0" borderId="9" xfId="0" applyNumberFormat="1" applyFont="1" applyBorder="1" applyAlignment="1">
      <alignment horizontal="center" vertical="center" shrinkToFit="1"/>
    </xf>
    <xf numFmtId="179" fontId="12" fillId="0" borderId="9" xfId="0" applyNumberFormat="1" applyFont="1" applyBorder="1" applyAlignment="1">
      <alignment horizontal="center" vertical="center" wrapText="1" shrinkToFit="1"/>
    </xf>
    <xf numFmtId="184" fontId="12" fillId="0" borderId="9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81" fontId="14" fillId="0" borderId="9" xfId="0" applyNumberFormat="1" applyFont="1" applyBorder="1" applyAlignment="1">
      <alignment horizontal="center" vertical="center"/>
    </xf>
    <xf numFmtId="0" fontId="3" fillId="0" borderId="10" xfId="5" applyFont="1" applyBorder="1" applyAlignment="1">
      <alignment horizontal="center" vertical="center" wrapText="1" shrinkToFit="1"/>
    </xf>
    <xf numFmtId="0" fontId="3" fillId="0" borderId="11" xfId="5" applyFont="1" applyBorder="1" applyAlignment="1">
      <alignment horizontal="center" vertical="center" wrapText="1" shrinkToFit="1"/>
    </xf>
    <xf numFmtId="0" fontId="3" fillId="0" borderId="11" xfId="2" applyFont="1" applyBorder="1" applyAlignment="1">
      <alignment horizontal="center" vertical="center" wrapText="1" shrinkToFit="1"/>
    </xf>
    <xf numFmtId="179" fontId="4" fillId="0" borderId="11" xfId="2" applyNumberFormat="1" applyFont="1" applyBorder="1" applyAlignment="1">
      <alignment horizontal="center" vertical="center" wrapText="1" shrinkToFit="1"/>
    </xf>
    <xf numFmtId="184" fontId="3" fillId="0" borderId="11" xfId="2" applyNumberFormat="1" applyFont="1" applyBorder="1" applyAlignment="1">
      <alignment horizontal="center" vertical="center" wrapText="1" shrinkToFit="1"/>
    </xf>
    <xf numFmtId="183" fontId="1" fillId="0" borderId="3" xfId="2" applyNumberFormat="1" applyFont="1" applyBorder="1" applyAlignment="1">
      <alignment horizontal="center"/>
    </xf>
    <xf numFmtId="0" fontId="1" fillId="0" borderId="0" xfId="2" applyFont="1" applyAlignment="1">
      <alignment horizontal="left"/>
    </xf>
    <xf numFmtId="0" fontId="1" fillId="0" borderId="0" xfId="2" applyFont="1" applyAlignment="1">
      <alignment horizontal="center"/>
    </xf>
    <xf numFmtId="179" fontId="1" fillId="0" borderId="0" xfId="2" applyNumberFormat="1" applyFont="1" applyAlignment="1">
      <alignment horizontal="center"/>
    </xf>
    <xf numFmtId="184" fontId="1" fillId="0" borderId="0" xfId="2" applyNumberFormat="1" applyFont="1" applyAlignment="1">
      <alignment horizontal="center"/>
    </xf>
    <xf numFmtId="0" fontId="0" fillId="0" borderId="3" xfId="0" applyBorder="1">
      <alignment vertical="center"/>
    </xf>
    <xf numFmtId="0" fontId="5" fillId="0" borderId="0" xfId="2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5" fillId="0" borderId="0" xfId="2" applyFont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5" fillId="0" borderId="0" xfId="2" applyFont="1" applyAlignment="1">
      <alignment horizontal="left" vertical="top"/>
    </xf>
    <xf numFmtId="0" fontId="3" fillId="0" borderId="3" xfId="4" applyFont="1" applyBorder="1"/>
    <xf numFmtId="0" fontId="2" fillId="0" borderId="5" xfId="0" applyFont="1" applyBorder="1">
      <alignment vertical="center"/>
    </xf>
    <xf numFmtId="0" fontId="15" fillId="0" borderId="5" xfId="0" applyFont="1" applyBorder="1" applyAlignment="1"/>
    <xf numFmtId="0" fontId="3" fillId="0" borderId="0" xfId="2" applyFont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184" fontId="1" fillId="0" borderId="11" xfId="2" applyNumberFormat="1" applyFont="1" applyBorder="1" applyAlignment="1">
      <alignment horizontal="center" vertical="center" wrapText="1" shrinkToFit="1"/>
    </xf>
    <xf numFmtId="184" fontId="1" fillId="0" borderId="12" xfId="2" applyNumberFormat="1" applyFont="1" applyBorder="1" applyAlignment="1">
      <alignment horizontal="center" vertical="center" wrapText="1" shrinkToFit="1"/>
    </xf>
    <xf numFmtId="184" fontId="1" fillId="0" borderId="5" xfId="2" applyNumberFormat="1" applyFont="1" applyBorder="1" applyAlignment="1">
      <alignment horizont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>
      <alignment vertical="center"/>
    </xf>
    <xf numFmtId="0" fontId="1" fillId="2" borderId="1" xfId="4" applyFont="1" applyFill="1" applyBorder="1"/>
    <xf numFmtId="0" fontId="1" fillId="2" borderId="2" xfId="4" applyFont="1" applyFill="1" applyBorder="1"/>
    <xf numFmtId="0" fontId="3" fillId="0" borderId="2" xfId="4" applyFont="1" applyBorder="1"/>
    <xf numFmtId="0" fontId="3" fillId="2" borderId="2" xfId="4" applyFont="1" applyFill="1" applyBorder="1"/>
    <xf numFmtId="0" fontId="3" fillId="0" borderId="5" xfId="4" applyFont="1" applyBorder="1"/>
    <xf numFmtId="49" fontId="3" fillId="0" borderId="0" xfId="4" applyNumberFormat="1" applyFont="1" applyAlignment="1">
      <alignment horizontal="center"/>
    </xf>
    <xf numFmtId="182" fontId="3" fillId="0" borderId="0" xfId="0" applyNumberFormat="1" applyFont="1" applyAlignment="1"/>
    <xf numFmtId="182" fontId="3" fillId="0" borderId="0" xfId="0" applyNumberFormat="1" applyFont="1" applyAlignment="1">
      <alignment horizontal="left"/>
    </xf>
    <xf numFmtId="0" fontId="3" fillId="0" borderId="7" xfId="4" applyFont="1" applyBorder="1" applyAlignment="1">
      <alignment horizontal="left"/>
    </xf>
    <xf numFmtId="0" fontId="3" fillId="0" borderId="8" xfId="4" applyFont="1" applyBorder="1"/>
    <xf numFmtId="0" fontId="3" fillId="0" borderId="6" xfId="4" applyFont="1" applyBorder="1"/>
    <xf numFmtId="0" fontId="1" fillId="0" borderId="2" xfId="4" applyFont="1" applyBorder="1"/>
    <xf numFmtId="0" fontId="3" fillId="0" borderId="4" xfId="4" applyFont="1" applyBorder="1"/>
    <xf numFmtId="0" fontId="1" fillId="0" borderId="5" xfId="2" applyFont="1" applyBorder="1" applyAlignment="1">
      <alignment horizontal="left"/>
    </xf>
    <xf numFmtId="0" fontId="3" fillId="0" borderId="6" xfId="4" applyFont="1" applyBorder="1" applyAlignment="1">
      <alignment wrapText="1"/>
    </xf>
    <xf numFmtId="0" fontId="3" fillId="0" borderId="7" xfId="4" applyFont="1" applyBorder="1" applyAlignment="1">
      <alignment wrapText="1"/>
    </xf>
    <xf numFmtId="0" fontId="1" fillId="0" borderId="0" xfId="4" applyFont="1"/>
    <xf numFmtId="0" fontId="5" fillId="0" borderId="6" xfId="0" applyFont="1" applyBorder="1" applyAlignment="1"/>
    <xf numFmtId="0" fontId="5" fillId="0" borderId="0" xfId="4" applyFont="1"/>
    <xf numFmtId="0" fontId="1" fillId="0" borderId="3" xfId="4" applyFont="1" applyBorder="1"/>
    <xf numFmtId="0" fontId="3" fillId="0" borderId="8" xfId="0" applyFont="1" applyBorder="1" applyAlignment="1">
      <alignment horizontal="center"/>
    </xf>
    <xf numFmtId="0" fontId="1" fillId="0" borderId="3" xfId="4" applyFont="1" applyBorder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0" borderId="0" xfId="4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shrinkToFit="1"/>
    </xf>
    <xf numFmtId="0" fontId="20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183" fontId="5" fillId="0" borderId="9" xfId="0" applyNumberFormat="1" applyFont="1" applyBorder="1" applyAlignment="1">
      <alignment horizontal="center" vertical="center" shrinkToFit="1"/>
    </xf>
    <xf numFmtId="185" fontId="5" fillId="0" borderId="9" xfId="0" applyNumberFormat="1" applyFont="1" applyBorder="1" applyAlignment="1">
      <alignment horizontal="center" vertical="center" wrapText="1" shrinkToFit="1"/>
    </xf>
    <xf numFmtId="186" fontId="5" fillId="0" borderId="9" xfId="0" applyNumberFormat="1" applyFont="1" applyBorder="1" applyAlignment="1">
      <alignment horizontal="center" vertical="center" wrapText="1" shrinkToFit="1"/>
    </xf>
    <xf numFmtId="0" fontId="22" fillId="0" borderId="9" xfId="0" applyFont="1" applyBorder="1" applyAlignment="1">
      <alignment horizontal="center" vertical="center"/>
    </xf>
    <xf numFmtId="0" fontId="3" fillId="0" borderId="13" xfId="4" applyFont="1" applyBorder="1"/>
    <xf numFmtId="0" fontId="3" fillId="0" borderId="14" xfId="4" applyFont="1" applyBorder="1"/>
    <xf numFmtId="179" fontId="1" fillId="0" borderId="14" xfId="4" applyNumberFormat="1" applyFont="1" applyBorder="1" applyAlignment="1">
      <alignment horizontal="center"/>
    </xf>
    <xf numFmtId="0" fontId="1" fillId="0" borderId="14" xfId="4" applyFont="1" applyBorder="1"/>
    <xf numFmtId="186" fontId="1" fillId="0" borderId="14" xfId="4" applyNumberFormat="1" applyFont="1" applyBorder="1" applyAlignment="1">
      <alignment horizont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left" vertical="center"/>
    </xf>
    <xf numFmtId="0" fontId="15" fillId="0" borderId="2" xfId="0" applyFont="1" applyBorder="1" applyAlignment="1"/>
    <xf numFmtId="0" fontId="15" fillId="0" borderId="0" xfId="0" applyFont="1" applyAlignment="1"/>
    <xf numFmtId="0" fontId="15" fillId="0" borderId="7" xfId="0" applyFont="1" applyBorder="1">
      <alignment vertical="center"/>
    </xf>
    <xf numFmtId="0" fontId="24" fillId="0" borderId="8" xfId="0" applyFont="1" applyBorder="1">
      <alignment vertical="center"/>
    </xf>
    <xf numFmtId="0" fontId="15" fillId="0" borderId="2" xfId="0" applyFont="1" applyBorder="1">
      <alignment vertical="center"/>
    </xf>
    <xf numFmtId="0" fontId="15" fillId="0" borderId="0" xfId="0" applyFont="1">
      <alignment vertical="center"/>
    </xf>
    <xf numFmtId="0" fontId="15" fillId="0" borderId="5" xfId="0" applyFont="1" applyBorder="1">
      <alignment vertical="center"/>
    </xf>
    <xf numFmtId="0" fontId="24" fillId="0" borderId="0" xfId="0" applyFont="1">
      <alignment vertical="center"/>
    </xf>
    <xf numFmtId="0" fontId="24" fillId="0" borderId="5" xfId="0" applyFont="1" applyBorder="1">
      <alignment vertical="center"/>
    </xf>
    <xf numFmtId="0" fontId="4" fillId="0" borderId="7" xfId="2" applyFont="1" applyBorder="1" applyAlignment="1">
      <alignment wrapText="1"/>
    </xf>
    <xf numFmtId="0" fontId="15" fillId="0" borderId="0" xfId="0" applyFont="1" applyAlignment="1">
      <alignment wrapText="1"/>
    </xf>
    <xf numFmtId="0" fontId="24" fillId="0" borderId="8" xfId="0" applyFont="1" applyBorder="1" applyAlignment="1">
      <alignment vertical="center" wrapText="1"/>
    </xf>
    <xf numFmtId="0" fontId="15" fillId="0" borderId="7" xfId="0" applyFont="1" applyBorder="1" applyAlignment="1"/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184" fontId="5" fillId="0" borderId="9" xfId="0" applyNumberFormat="1" applyFont="1" applyBorder="1" applyAlignment="1">
      <alignment horizontal="center" vertical="center" wrapText="1" shrinkToFit="1"/>
    </xf>
    <xf numFmtId="0" fontId="5" fillId="0" borderId="9" xfId="4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 shrinkToFit="1"/>
    </xf>
    <xf numFmtId="184" fontId="1" fillId="0" borderId="14" xfId="4" applyNumberFormat="1" applyFont="1" applyBorder="1" applyAlignment="1">
      <alignment horizontal="center"/>
    </xf>
    <xf numFmtId="0" fontId="17" fillId="0" borderId="7" xfId="0" applyFont="1" applyBorder="1" applyAlignment="1"/>
    <xf numFmtId="0" fontId="19" fillId="0" borderId="1" xfId="4" applyFont="1" applyBorder="1" applyAlignment="1">
      <alignment horizontal="center"/>
    </xf>
    <xf numFmtId="0" fontId="19" fillId="0" borderId="2" xfId="4" applyFont="1" applyBorder="1" applyAlignment="1">
      <alignment horizontal="center"/>
    </xf>
    <xf numFmtId="0" fontId="19" fillId="0" borderId="4" xfId="4" applyFont="1" applyBorder="1" applyAlignment="1">
      <alignment horizontal="center"/>
    </xf>
    <xf numFmtId="0" fontId="3" fillId="0" borderId="3" xfId="4" applyFont="1" applyBorder="1" applyAlignment="1">
      <alignment horizontal="center"/>
    </xf>
    <xf numFmtId="0" fontId="3" fillId="0" borderId="0" xfId="4" applyFont="1" applyAlignment="1">
      <alignment horizontal="center"/>
    </xf>
    <xf numFmtId="0" fontId="3" fillId="0" borderId="6" xfId="2" applyFont="1" applyBorder="1" applyAlignment="1">
      <alignment horizontal="left" vertical="top" wrapText="1"/>
    </xf>
    <xf numFmtId="0" fontId="3" fillId="0" borderId="7" xfId="2" applyFont="1" applyBorder="1" applyAlignment="1">
      <alignment horizontal="left" vertical="top" wrapText="1"/>
    </xf>
    <xf numFmtId="0" fontId="3" fillId="0" borderId="8" xfId="2" applyFont="1" applyBorder="1" applyAlignment="1">
      <alignment horizontal="left" vertical="top" wrapText="1"/>
    </xf>
    <xf numFmtId="0" fontId="5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82" fontId="3" fillId="0" borderId="6" xfId="0" applyNumberFormat="1" applyFont="1" applyBorder="1" applyAlignment="1">
      <alignment horizontal="left"/>
    </xf>
    <xf numFmtId="182" fontId="3" fillId="0" borderId="8" xfId="0" applyNumberFormat="1" applyFont="1" applyBorder="1" applyAlignment="1">
      <alignment horizontal="left"/>
    </xf>
    <xf numFmtId="0" fontId="3" fillId="0" borderId="14" xfId="4" applyFont="1" applyBorder="1" applyAlignment="1">
      <alignment horizontal="left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1" fillId="0" borderId="1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2" fillId="0" borderId="9" xfId="0" applyFont="1" applyBorder="1" applyAlignment="1">
      <alignment horizontal="center" vertical="center" shrinkToFit="1"/>
    </xf>
    <xf numFmtId="0" fontId="1" fillId="0" borderId="9" xfId="4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1" fillId="0" borderId="9" xfId="2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3" fillId="0" borderId="3" xfId="4" applyFont="1" applyBorder="1" applyAlignment="1">
      <alignment horizontal="left" vertical="top" wrapText="1"/>
    </xf>
    <xf numFmtId="0" fontId="3" fillId="0" borderId="0" xfId="4" applyFont="1" applyAlignment="1">
      <alignment horizontal="left" vertical="top" wrapText="1"/>
    </xf>
    <xf numFmtId="0" fontId="3" fillId="0" borderId="5" xfId="4" applyFont="1" applyBorder="1" applyAlignment="1">
      <alignment horizontal="left" vertical="top" wrapText="1"/>
    </xf>
    <xf numFmtId="0" fontId="3" fillId="0" borderId="3" xfId="2" applyFont="1" applyBorder="1" applyAlignment="1">
      <alignment vertical="top" wrapText="1"/>
    </xf>
    <xf numFmtId="0" fontId="3" fillId="0" borderId="0" xfId="2" applyFont="1" applyAlignment="1">
      <alignment vertical="top" wrapText="1"/>
    </xf>
    <xf numFmtId="0" fontId="3" fillId="0" borderId="5" xfId="2" applyFont="1" applyBorder="1" applyAlignment="1">
      <alignment vertical="top" wrapText="1"/>
    </xf>
  </cellXfs>
  <cellStyles count="8">
    <cellStyle name="一般" xfId="0" builtinId="0"/>
    <cellStyle name="一般_OMRON" xfId="4" xr:uid="{00000000-0005-0000-0000-000034000000}"/>
    <cellStyle name="一般_OMRON海運出口" xfId="2" xr:uid="{00000000-0005-0000-0000-000020000000}"/>
    <cellStyle name="常规 2" xfId="7" xr:uid="{00000000-0005-0000-0000-000037000000}"/>
    <cellStyle name="常规_3-31" xfId="3" xr:uid="{00000000-0005-0000-0000-000022000000}"/>
    <cellStyle name="常规_Sheet1_1" xfId="5" xr:uid="{00000000-0005-0000-0000-000035000000}"/>
    <cellStyle name="常规_Sheet2" xfId="1" xr:uid="{00000000-0005-0000-0000-00001E000000}"/>
    <cellStyle name="常规_啟德一般貿易" xfId="6" xr:uid="{00000000-0005-0000-0000-000036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390525</xdr:colOff>
      <xdr:row>27</xdr:row>
      <xdr:rowOff>76200</xdr:rowOff>
    </xdr:from>
    <xdr:to>
      <xdr:col>13</xdr:col>
      <xdr:colOff>676275</xdr:colOff>
      <xdr:row>31</xdr:row>
      <xdr:rowOff>171450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810750" y="11198225"/>
          <a:ext cx="971550" cy="981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371475</xdr:colOff>
      <xdr:row>41</xdr:row>
      <xdr:rowOff>95250</xdr:rowOff>
    </xdr:from>
    <xdr:to>
      <xdr:col>8</xdr:col>
      <xdr:colOff>628650</xdr:colOff>
      <xdr:row>47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810250" y="9537700"/>
          <a:ext cx="971550" cy="981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2"/>
  <sheetViews>
    <sheetView tabSelected="1" view="pageBreakPreview" zoomScaleNormal="100" workbookViewId="0">
      <selection sqref="A1:O1"/>
    </sheetView>
  </sheetViews>
  <sheetFormatPr defaultColWidth="9" defaultRowHeight="22.5"/>
  <cols>
    <col min="1" max="1" width="9" style="77"/>
    <col min="2" max="2" width="12.5" style="77" customWidth="1"/>
    <col min="3" max="3" width="19" style="77" customWidth="1"/>
    <col min="4" max="4" width="10.5" style="77" customWidth="1"/>
    <col min="5" max="5" width="9.375" style="77"/>
    <col min="6" max="8" width="9" style="77"/>
    <col min="9" max="10" width="9.125" style="77"/>
    <col min="11" max="13" width="9" style="77"/>
    <col min="14" max="14" width="12.25" style="77"/>
    <col min="15" max="16384" width="9" style="77"/>
  </cols>
  <sheetData>
    <row r="1" spans="1:15" ht="23.25">
      <c r="A1" s="137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9"/>
    </row>
    <row r="2" spans="1:15" ht="13.5">
      <c r="A2" s="78" t="s">
        <v>1</v>
      </c>
      <c r="B2" s="79"/>
      <c r="C2" s="80"/>
      <c r="D2" s="6"/>
      <c r="E2" s="78" t="s">
        <v>2</v>
      </c>
      <c r="F2" s="81"/>
      <c r="G2" s="81"/>
      <c r="H2" s="80"/>
      <c r="I2" s="80"/>
      <c r="J2" s="116"/>
      <c r="K2" s="116"/>
      <c r="L2" s="116"/>
      <c r="M2" s="116"/>
      <c r="N2" s="116"/>
      <c r="O2" s="68"/>
    </row>
    <row r="3" spans="1:15">
      <c r="A3" s="7" t="s">
        <v>3</v>
      </c>
      <c r="B3" s="8"/>
      <c r="C3" s="24"/>
      <c r="D3" s="82"/>
      <c r="E3" s="11" t="s">
        <v>4</v>
      </c>
      <c r="F3" s="24"/>
      <c r="G3" s="83"/>
      <c r="H3" s="83"/>
      <c r="I3" s="24"/>
      <c r="J3" s="117"/>
      <c r="K3" s="117"/>
      <c r="L3" s="117"/>
      <c r="M3" s="117"/>
      <c r="N3" s="117"/>
      <c r="O3" s="68"/>
    </row>
    <row r="4" spans="1:15">
      <c r="A4" s="150" t="s">
        <v>5</v>
      </c>
      <c r="B4" s="151"/>
      <c r="C4" s="151"/>
      <c r="D4" s="152"/>
      <c r="E4" s="12">
        <v>46008</v>
      </c>
      <c r="F4" s="84"/>
      <c r="G4" s="84"/>
      <c r="H4" s="85"/>
      <c r="I4" s="24"/>
      <c r="J4" s="117"/>
      <c r="K4" s="117"/>
      <c r="L4" s="117"/>
      <c r="M4" s="117"/>
      <c r="N4" s="117"/>
      <c r="O4" s="68"/>
    </row>
    <row r="5" spans="1:15">
      <c r="A5" s="150"/>
      <c r="B5" s="151"/>
      <c r="C5" s="151"/>
      <c r="D5" s="152"/>
      <c r="E5" s="66"/>
      <c r="F5" s="24"/>
      <c r="G5" s="24"/>
      <c r="H5" s="24"/>
      <c r="I5" s="24"/>
      <c r="J5" s="117"/>
      <c r="K5" s="117"/>
      <c r="L5" s="117"/>
      <c r="M5" s="117"/>
      <c r="N5" s="117"/>
      <c r="O5" s="68"/>
    </row>
    <row r="6" spans="1:15">
      <c r="A6" s="14"/>
      <c r="B6" s="86"/>
      <c r="C6" s="15"/>
      <c r="D6" s="87"/>
      <c r="E6" s="88"/>
      <c r="F6" s="15"/>
      <c r="G6" s="15"/>
      <c r="H6" s="15"/>
      <c r="I6" s="15"/>
      <c r="J6" s="118"/>
      <c r="K6" s="118"/>
      <c r="L6" s="118"/>
      <c r="M6" s="118"/>
      <c r="N6" s="118"/>
      <c r="O6" s="119"/>
    </row>
    <row r="7" spans="1:15">
      <c r="A7" s="20" t="s">
        <v>6</v>
      </c>
      <c r="B7" s="89"/>
      <c r="C7" s="80"/>
      <c r="D7" s="90"/>
      <c r="E7" s="20" t="s">
        <v>7</v>
      </c>
      <c r="F7" s="80"/>
      <c r="G7" s="80"/>
      <c r="H7" s="80"/>
      <c r="I7" s="80"/>
      <c r="J7" s="120"/>
      <c r="K7" s="121"/>
      <c r="L7" s="121"/>
      <c r="M7" s="121"/>
      <c r="N7" s="121"/>
      <c r="O7" s="122"/>
    </row>
    <row r="8" spans="1:15">
      <c r="A8" s="22" t="s">
        <v>8</v>
      </c>
      <c r="B8" s="8"/>
      <c r="C8" s="55"/>
      <c r="D8" s="91"/>
      <c r="E8" s="66" t="s">
        <v>9</v>
      </c>
      <c r="F8" s="24"/>
      <c r="G8" s="24"/>
      <c r="H8" s="24"/>
      <c r="I8" s="24"/>
      <c r="J8" s="121"/>
      <c r="K8" s="121"/>
      <c r="L8" s="121"/>
      <c r="M8" s="121"/>
      <c r="N8" s="121"/>
      <c r="O8" s="122"/>
    </row>
    <row r="9" spans="1:15">
      <c r="A9" s="150" t="s">
        <v>10</v>
      </c>
      <c r="B9" s="151"/>
      <c r="C9" s="151"/>
      <c r="D9" s="152"/>
      <c r="E9" s="140"/>
      <c r="F9" s="141"/>
      <c r="G9" s="141"/>
      <c r="H9" s="141"/>
      <c r="I9" s="141"/>
      <c r="J9" s="123"/>
      <c r="K9" s="123"/>
      <c r="L9" s="123"/>
      <c r="M9" s="123"/>
      <c r="N9" s="123"/>
      <c r="O9" s="124"/>
    </row>
    <row r="10" spans="1:15">
      <c r="A10" s="150"/>
      <c r="B10" s="151"/>
      <c r="C10" s="151"/>
      <c r="D10" s="152"/>
      <c r="E10" s="66"/>
      <c r="F10" s="24"/>
      <c r="G10" s="24"/>
      <c r="H10" s="24"/>
      <c r="I10" s="24"/>
      <c r="J10" s="123"/>
      <c r="K10" s="123"/>
      <c r="L10" s="123"/>
      <c r="M10" s="123"/>
      <c r="N10" s="123"/>
      <c r="O10" s="124"/>
    </row>
    <row r="11" spans="1:15">
      <c r="A11" s="20" t="s">
        <v>11</v>
      </c>
      <c r="B11" s="80"/>
      <c r="C11" s="80"/>
      <c r="D11" s="90"/>
      <c r="E11" s="20" t="s">
        <v>12</v>
      </c>
      <c r="F11" s="80"/>
      <c r="G11" s="80"/>
      <c r="H11" s="80"/>
      <c r="I11" s="80"/>
      <c r="J11" s="80"/>
      <c r="K11" s="80"/>
      <c r="L11" s="80"/>
      <c r="M11" s="80"/>
      <c r="N11" s="80"/>
      <c r="O11" s="90"/>
    </row>
    <row r="12" spans="1:15">
      <c r="A12" s="22" t="s">
        <v>8</v>
      </c>
      <c r="B12" s="8"/>
      <c r="C12" s="8"/>
      <c r="D12" s="82"/>
      <c r="E12" s="66" t="s">
        <v>13</v>
      </c>
      <c r="F12" s="30"/>
      <c r="G12" s="30"/>
      <c r="H12" s="30"/>
      <c r="I12" s="30"/>
      <c r="J12" s="117"/>
      <c r="K12" s="117"/>
      <c r="L12" s="117"/>
      <c r="M12" s="117"/>
      <c r="N12" s="117"/>
      <c r="O12" s="68"/>
    </row>
    <row r="13" spans="1:15" s="76" customFormat="1" ht="27.95" customHeight="1">
      <c r="A13" s="142" t="s">
        <v>10</v>
      </c>
      <c r="B13" s="143"/>
      <c r="C13" s="143"/>
      <c r="D13" s="144"/>
      <c r="E13" s="92"/>
      <c r="F13" s="93"/>
      <c r="G13" s="93"/>
      <c r="H13" s="93"/>
      <c r="I13" s="125"/>
      <c r="J13" s="126"/>
      <c r="K13" s="126"/>
      <c r="L13" s="126"/>
      <c r="M13" s="126"/>
      <c r="N13" s="126"/>
      <c r="O13" s="127"/>
    </row>
    <row r="14" spans="1:15">
      <c r="A14" s="20" t="s">
        <v>14</v>
      </c>
      <c r="B14" s="80"/>
      <c r="C14" s="20" t="s">
        <v>15</v>
      </c>
      <c r="D14" s="90"/>
      <c r="E14" s="94" t="s">
        <v>16</v>
      </c>
      <c r="F14" s="9"/>
      <c r="G14" s="9"/>
      <c r="H14" s="9"/>
      <c r="I14" s="24"/>
      <c r="J14" s="116"/>
      <c r="K14" s="116"/>
      <c r="L14" s="116"/>
      <c r="M14" s="116"/>
      <c r="N14" s="116"/>
      <c r="O14" s="68"/>
    </row>
    <row r="15" spans="1:15">
      <c r="A15" s="145"/>
      <c r="B15" s="146"/>
      <c r="C15" s="145"/>
      <c r="D15" s="146"/>
      <c r="E15" s="66"/>
      <c r="F15" s="24"/>
      <c r="G15" s="24"/>
      <c r="H15" s="24"/>
      <c r="I15" s="24"/>
      <c r="J15" s="117"/>
      <c r="K15" s="117"/>
      <c r="L15" s="117"/>
      <c r="M15" s="117"/>
      <c r="N15" s="117"/>
      <c r="O15" s="68"/>
    </row>
    <row r="16" spans="1:15" ht="14.1" customHeight="1">
      <c r="A16" s="25"/>
      <c r="B16" s="26"/>
      <c r="C16" s="95"/>
      <c r="D16" s="87"/>
      <c r="E16" s="96"/>
      <c r="F16" s="30"/>
      <c r="G16" s="24"/>
      <c r="H16" s="24"/>
      <c r="I16" s="24"/>
      <c r="J16" s="117"/>
      <c r="K16" s="117"/>
      <c r="L16" s="117"/>
      <c r="M16" s="117"/>
      <c r="N16" s="117"/>
      <c r="O16" s="68"/>
    </row>
    <row r="17" spans="1:15">
      <c r="A17" s="20" t="s">
        <v>17</v>
      </c>
      <c r="B17" s="90"/>
      <c r="C17" s="97" t="s">
        <v>18</v>
      </c>
      <c r="D17" s="37"/>
      <c r="E17" s="96"/>
      <c r="F17" s="30"/>
      <c r="G17" s="24"/>
      <c r="H17" s="24"/>
      <c r="I17" s="24"/>
      <c r="J17" s="117"/>
      <c r="K17" s="117"/>
      <c r="L17" s="117"/>
      <c r="M17" s="117"/>
      <c r="N17" s="117"/>
      <c r="O17" s="68"/>
    </row>
    <row r="18" spans="1:15">
      <c r="A18" s="35"/>
      <c r="B18" s="98"/>
      <c r="C18" s="147"/>
      <c r="D18" s="148"/>
      <c r="E18" s="15" t="s">
        <v>19</v>
      </c>
      <c r="F18" s="15" t="s">
        <v>20</v>
      </c>
      <c r="G18" s="15"/>
      <c r="H18" s="15"/>
      <c r="I18" s="15"/>
      <c r="J18" s="128"/>
      <c r="K18" s="117"/>
      <c r="L18" s="117"/>
      <c r="M18" s="117"/>
      <c r="N18" s="117"/>
      <c r="O18" s="68"/>
    </row>
    <row r="19" spans="1:15" ht="25.5">
      <c r="A19" s="99" t="s">
        <v>21</v>
      </c>
      <c r="B19" s="100" t="s">
        <v>22</v>
      </c>
      <c r="C19" s="100" t="s">
        <v>23</v>
      </c>
      <c r="D19" s="101" t="s">
        <v>24</v>
      </c>
      <c r="E19" s="100" t="s">
        <v>25</v>
      </c>
      <c r="F19" s="100" t="s">
        <v>26</v>
      </c>
      <c r="G19" s="100" t="s">
        <v>27</v>
      </c>
      <c r="H19" s="100" t="s">
        <v>28</v>
      </c>
      <c r="I19" s="100" t="s">
        <v>29</v>
      </c>
      <c r="J19" s="129" t="s">
        <v>30</v>
      </c>
      <c r="K19" s="129" t="s">
        <v>31</v>
      </c>
      <c r="L19" s="130" t="s">
        <v>32</v>
      </c>
      <c r="M19" s="130" t="s">
        <v>33</v>
      </c>
      <c r="N19" s="130" t="s">
        <v>34</v>
      </c>
      <c r="O19" s="131"/>
    </row>
    <row r="20" spans="1:15" ht="62.1" customHeight="1">
      <c r="A20" s="102" t="s">
        <v>35</v>
      </c>
      <c r="B20" s="103" t="s">
        <v>36</v>
      </c>
      <c r="C20" s="104">
        <v>2250901736</v>
      </c>
      <c r="D20" s="102" t="s">
        <v>37</v>
      </c>
      <c r="E20" s="105">
        <v>5350</v>
      </c>
      <c r="F20" s="106" t="s">
        <v>38</v>
      </c>
      <c r="G20" s="107">
        <v>2.2997999999999998</v>
      </c>
      <c r="H20" s="102" t="s">
        <v>39</v>
      </c>
      <c r="I20" s="132">
        <f t="shared" ref="I20:I26" si="0">ROUND(G20*E20,2)</f>
        <v>12303.93</v>
      </c>
      <c r="J20" s="102" t="s">
        <v>40</v>
      </c>
      <c r="K20" s="133" t="s">
        <v>41</v>
      </c>
      <c r="L20" s="102" t="s">
        <v>42</v>
      </c>
      <c r="M20" s="102" t="s">
        <v>42</v>
      </c>
      <c r="N20" s="102" t="s">
        <v>43</v>
      </c>
      <c r="O20" s="134"/>
    </row>
    <row r="21" spans="1:15" ht="62.1" customHeight="1">
      <c r="A21" s="102">
        <v>2</v>
      </c>
      <c r="B21" s="103" t="s">
        <v>36</v>
      </c>
      <c r="C21" s="104">
        <v>2250902021</v>
      </c>
      <c r="D21" s="102" t="s">
        <v>37</v>
      </c>
      <c r="E21" s="105">
        <v>2</v>
      </c>
      <c r="F21" s="106" t="s">
        <v>38</v>
      </c>
      <c r="G21" s="107">
        <v>2.2997999999999998</v>
      </c>
      <c r="H21" s="102" t="s">
        <v>39</v>
      </c>
      <c r="I21" s="132">
        <f t="shared" si="0"/>
        <v>4.5999999999999996</v>
      </c>
      <c r="J21" s="102" t="s">
        <v>40</v>
      </c>
      <c r="K21" s="133" t="s">
        <v>41</v>
      </c>
      <c r="L21" s="102" t="s">
        <v>42</v>
      </c>
      <c r="M21" s="102" t="s">
        <v>42</v>
      </c>
      <c r="N21" s="102" t="s">
        <v>43</v>
      </c>
      <c r="O21" s="134"/>
    </row>
    <row r="22" spans="1:15" ht="62.1" customHeight="1">
      <c r="A22" s="102">
        <v>3</v>
      </c>
      <c r="B22" s="103" t="s">
        <v>36</v>
      </c>
      <c r="C22" s="104">
        <v>2251000514</v>
      </c>
      <c r="D22" s="102" t="s">
        <v>37</v>
      </c>
      <c r="E22" s="105">
        <v>6200</v>
      </c>
      <c r="F22" s="106" t="s">
        <v>38</v>
      </c>
      <c r="G22" s="107">
        <v>2.2997999999999998</v>
      </c>
      <c r="H22" s="102" t="s">
        <v>39</v>
      </c>
      <c r="I22" s="132">
        <f t="shared" si="0"/>
        <v>14258.76</v>
      </c>
      <c r="J22" s="102" t="s">
        <v>40</v>
      </c>
      <c r="K22" s="133" t="s">
        <v>41</v>
      </c>
      <c r="L22" s="102" t="s">
        <v>42</v>
      </c>
      <c r="M22" s="102" t="s">
        <v>42</v>
      </c>
      <c r="N22" s="102" t="s">
        <v>43</v>
      </c>
      <c r="O22" s="134"/>
    </row>
    <row r="23" spans="1:15" ht="62.1" customHeight="1">
      <c r="A23" s="102">
        <v>4</v>
      </c>
      <c r="B23" s="103" t="s">
        <v>36</v>
      </c>
      <c r="C23" s="104">
        <v>2251002419</v>
      </c>
      <c r="D23" s="102" t="s">
        <v>37</v>
      </c>
      <c r="E23" s="105">
        <v>2248</v>
      </c>
      <c r="F23" s="106" t="s">
        <v>38</v>
      </c>
      <c r="G23" s="107">
        <v>2.2997999999999998</v>
      </c>
      <c r="H23" s="102" t="s">
        <v>39</v>
      </c>
      <c r="I23" s="132">
        <f t="shared" si="0"/>
        <v>5169.95</v>
      </c>
      <c r="J23" s="102" t="s">
        <v>40</v>
      </c>
      <c r="K23" s="133" t="s">
        <v>41</v>
      </c>
      <c r="L23" s="102" t="s">
        <v>42</v>
      </c>
      <c r="M23" s="102" t="s">
        <v>42</v>
      </c>
      <c r="N23" s="102" t="s">
        <v>43</v>
      </c>
      <c r="O23" s="134"/>
    </row>
    <row r="24" spans="1:15" ht="62.1" customHeight="1">
      <c r="A24" s="102">
        <v>5</v>
      </c>
      <c r="B24" s="103" t="s">
        <v>44</v>
      </c>
      <c r="C24" s="104">
        <v>2250801236</v>
      </c>
      <c r="D24" s="102" t="s">
        <v>37</v>
      </c>
      <c r="E24" s="105">
        <v>15885</v>
      </c>
      <c r="F24" s="106" t="s">
        <v>38</v>
      </c>
      <c r="G24" s="107">
        <v>1.8620000000000001</v>
      </c>
      <c r="H24" s="102" t="s">
        <v>39</v>
      </c>
      <c r="I24" s="132">
        <f t="shared" si="0"/>
        <v>29577.87</v>
      </c>
      <c r="J24" s="102" t="s">
        <v>40</v>
      </c>
      <c r="K24" s="133" t="s">
        <v>41</v>
      </c>
      <c r="L24" s="102" t="s">
        <v>42</v>
      </c>
      <c r="M24" s="102" t="s">
        <v>42</v>
      </c>
      <c r="N24" s="102" t="s">
        <v>43</v>
      </c>
      <c r="O24" s="134"/>
    </row>
    <row r="25" spans="1:15" ht="62.1" customHeight="1">
      <c r="A25" s="102">
        <v>6</v>
      </c>
      <c r="B25" s="108" t="s">
        <v>44</v>
      </c>
      <c r="C25" s="104">
        <v>2250801894</v>
      </c>
      <c r="D25" s="102" t="s">
        <v>37</v>
      </c>
      <c r="E25" s="105">
        <v>2</v>
      </c>
      <c r="F25" s="106" t="s">
        <v>38</v>
      </c>
      <c r="G25" s="107">
        <v>1.8620000000000001</v>
      </c>
      <c r="H25" s="102" t="s">
        <v>39</v>
      </c>
      <c r="I25" s="132">
        <f t="shared" si="0"/>
        <v>3.72</v>
      </c>
      <c r="J25" s="102" t="s">
        <v>40</v>
      </c>
      <c r="K25" s="133" t="s">
        <v>41</v>
      </c>
      <c r="L25" s="102" t="s">
        <v>42</v>
      </c>
      <c r="M25" s="102" t="s">
        <v>42</v>
      </c>
      <c r="N25" s="102" t="s">
        <v>43</v>
      </c>
      <c r="O25" s="134"/>
    </row>
    <row r="26" spans="1:15" ht="62.1" customHeight="1">
      <c r="A26" s="102">
        <v>7</v>
      </c>
      <c r="B26" s="108" t="s">
        <v>44</v>
      </c>
      <c r="C26" s="104">
        <v>2250802215</v>
      </c>
      <c r="D26" s="102" t="s">
        <v>37</v>
      </c>
      <c r="E26" s="105">
        <v>15701</v>
      </c>
      <c r="F26" s="106" t="s">
        <v>38</v>
      </c>
      <c r="G26" s="107">
        <v>1.8620000000000001</v>
      </c>
      <c r="H26" s="102" t="s">
        <v>39</v>
      </c>
      <c r="I26" s="132">
        <f t="shared" si="0"/>
        <v>29235.26</v>
      </c>
      <c r="J26" s="102" t="s">
        <v>40</v>
      </c>
      <c r="K26" s="133" t="s">
        <v>41</v>
      </c>
      <c r="L26" s="102" t="s">
        <v>42</v>
      </c>
      <c r="M26" s="102" t="s">
        <v>42</v>
      </c>
      <c r="N26" s="102" t="s">
        <v>43</v>
      </c>
      <c r="O26" s="134"/>
    </row>
    <row r="27" spans="1:15">
      <c r="A27" s="109"/>
      <c r="B27" s="110"/>
      <c r="C27" s="149" t="s">
        <v>45</v>
      </c>
      <c r="D27" s="149"/>
      <c r="E27" s="111">
        <f>SUM(E20:E26)</f>
        <v>45388</v>
      </c>
      <c r="F27" s="112"/>
      <c r="G27" s="113"/>
      <c r="H27" s="113"/>
      <c r="I27" s="135">
        <f>SUM(I20:I26)</f>
        <v>90554.09</v>
      </c>
      <c r="J27" s="136"/>
      <c r="K27" s="136"/>
      <c r="L27" s="136"/>
      <c r="M27" s="136"/>
      <c r="N27" s="136"/>
      <c r="O27" s="135"/>
    </row>
    <row r="29" spans="1:15" ht="15.75">
      <c r="A29" s="114" t="s">
        <v>46</v>
      </c>
      <c r="B29" s="114" t="s">
        <v>47</v>
      </c>
    </row>
    <row r="30" spans="1:15" ht="15.75">
      <c r="A30" s="114" t="s">
        <v>48</v>
      </c>
      <c r="C30" s="115">
        <v>2358</v>
      </c>
    </row>
    <row r="31" spans="1:15" ht="15.75">
      <c r="A31" s="114" t="s">
        <v>49</v>
      </c>
      <c r="B31" s="114" t="s">
        <v>50</v>
      </c>
    </row>
    <row r="32" spans="1:15" ht="15.75">
      <c r="A32" s="114" t="s">
        <v>51</v>
      </c>
      <c r="B32" s="114" t="s">
        <v>52</v>
      </c>
    </row>
  </sheetData>
  <mergeCells count="9">
    <mergeCell ref="C18:D18"/>
    <mergeCell ref="C27:D27"/>
    <mergeCell ref="A4:D5"/>
    <mergeCell ref="A9:D10"/>
    <mergeCell ref="A1:O1"/>
    <mergeCell ref="E9:I9"/>
    <mergeCell ref="A13:D13"/>
    <mergeCell ref="A15:B15"/>
    <mergeCell ref="C15:D15"/>
  </mergeCells>
  <pageMargins left="0.75" right="0.75" top="1" bottom="1" header="0.5" footer="0.5"/>
  <pageSetup paperSize="9" scale="5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7"/>
  <sheetViews>
    <sheetView view="pageBreakPreview" topLeftCell="A25" zoomScaleNormal="100" workbookViewId="0">
      <selection activeCell="F40" sqref="F40"/>
    </sheetView>
  </sheetViews>
  <sheetFormatPr defaultColWidth="9" defaultRowHeight="13.5"/>
  <cols>
    <col min="2" max="2" width="14.125" customWidth="1"/>
    <col min="3" max="3" width="11.125" customWidth="1"/>
    <col min="6" max="6" width="10.125"/>
    <col min="8" max="8" width="9.375"/>
    <col min="10" max="10" width="10.875" customWidth="1"/>
  </cols>
  <sheetData>
    <row r="1" spans="1:10">
      <c r="A1" s="153" t="s">
        <v>53</v>
      </c>
      <c r="B1" s="154"/>
      <c r="C1" s="154"/>
      <c r="D1" s="154"/>
      <c r="E1" s="154"/>
      <c r="F1" s="154"/>
      <c r="G1" s="154"/>
      <c r="H1" s="154"/>
      <c r="I1" s="154"/>
      <c r="J1" s="155"/>
    </row>
    <row r="2" spans="1:10">
      <c r="A2" s="1"/>
      <c r="B2" s="2"/>
      <c r="C2" s="2"/>
      <c r="D2" s="2"/>
      <c r="E2" s="2"/>
      <c r="F2" s="2"/>
      <c r="G2" s="2"/>
      <c r="H2" s="2"/>
      <c r="I2" s="2"/>
      <c r="J2" s="67"/>
    </row>
    <row r="3" spans="1:10">
      <c r="A3" s="3" t="s">
        <v>1</v>
      </c>
      <c r="B3" s="4"/>
      <c r="C3" s="5"/>
      <c r="D3" s="5"/>
      <c r="E3" s="6"/>
      <c r="F3" s="4" t="s">
        <v>54</v>
      </c>
      <c r="G3" s="5"/>
      <c r="H3" s="5"/>
      <c r="I3" s="5"/>
      <c r="J3" s="68"/>
    </row>
    <row r="4" spans="1:10">
      <c r="A4" s="7" t="str">
        <f>INVOICE!A3</f>
        <v>Express Electronics Trading Limited</v>
      </c>
      <c r="B4" s="8"/>
      <c r="C4" s="9"/>
      <c r="D4" s="9"/>
      <c r="E4" s="10"/>
      <c r="F4" s="11" t="str">
        <f>INVOICE!E3</f>
        <v>YX20251215</v>
      </c>
      <c r="G4" s="9"/>
      <c r="H4" s="9"/>
      <c r="I4" s="9"/>
      <c r="J4" s="68"/>
    </row>
    <row r="5" spans="1:10">
      <c r="A5" s="168"/>
      <c r="B5" s="169"/>
      <c r="C5" s="169"/>
      <c r="D5" s="169"/>
      <c r="E5" s="170"/>
      <c r="F5" s="12">
        <f>INVOICE!E4</f>
        <v>46008</v>
      </c>
      <c r="G5" s="9"/>
      <c r="H5" s="9"/>
      <c r="I5" s="9"/>
      <c r="J5" s="68"/>
    </row>
    <row r="6" spans="1:10">
      <c r="A6" s="168"/>
      <c r="B6" s="169"/>
      <c r="C6" s="169"/>
      <c r="D6" s="169"/>
      <c r="E6" s="170"/>
      <c r="F6" s="13"/>
      <c r="G6" s="9"/>
      <c r="H6" s="9"/>
      <c r="I6" s="9"/>
      <c r="J6" s="68"/>
    </row>
    <row r="7" spans="1:10">
      <c r="A7" s="14"/>
      <c r="B7" s="15"/>
      <c r="C7" s="16"/>
      <c r="D7" s="16"/>
      <c r="E7" s="17"/>
      <c r="F7" s="18"/>
      <c r="G7" s="19"/>
      <c r="H7" s="19"/>
      <c r="I7" s="19"/>
      <c r="J7" s="27"/>
    </row>
    <row r="8" spans="1:10">
      <c r="A8" s="20" t="s">
        <v>6</v>
      </c>
      <c r="B8" s="4"/>
      <c r="C8" s="5"/>
      <c r="D8" s="5"/>
      <c r="E8" s="21"/>
      <c r="F8" s="4" t="s">
        <v>55</v>
      </c>
      <c r="G8" s="9"/>
      <c r="H8" s="9"/>
      <c r="I8" s="9"/>
      <c r="J8" s="68"/>
    </row>
    <row r="9" spans="1:10">
      <c r="A9" s="22" t="str">
        <f>INVOICE!A8</f>
        <v>Sernet (Suzhou) Technologies Corporation</v>
      </c>
      <c r="B9" s="8"/>
      <c r="C9" s="9"/>
      <c r="D9" s="9"/>
      <c r="E9" s="10"/>
      <c r="F9" s="23"/>
      <c r="G9" s="24"/>
      <c r="H9" s="24"/>
      <c r="I9" s="24"/>
      <c r="J9" s="68"/>
    </row>
    <row r="10" spans="1:10">
      <c r="A10" s="171" t="str">
        <f>INVOICE!A9</f>
        <v>NO.8 Tangzhuang Road,Suzhou Industrial Park,Su Zhou</v>
      </c>
      <c r="B10" s="172"/>
      <c r="C10" s="172"/>
      <c r="D10" s="172"/>
      <c r="E10" s="173"/>
      <c r="F10" s="23"/>
      <c r="G10" s="9"/>
      <c r="H10" s="9"/>
      <c r="I10" s="24"/>
      <c r="J10" s="68"/>
    </row>
    <row r="11" spans="1:10">
      <c r="A11" s="171"/>
      <c r="B11" s="172"/>
      <c r="C11" s="172"/>
      <c r="D11" s="172"/>
      <c r="E11" s="173"/>
      <c r="F11" s="23"/>
      <c r="G11" s="9"/>
      <c r="H11" s="9"/>
      <c r="I11" s="24"/>
      <c r="J11" s="68"/>
    </row>
    <row r="12" spans="1:10">
      <c r="A12" s="25"/>
      <c r="B12" s="26"/>
      <c r="C12" s="19"/>
      <c r="D12" s="19"/>
      <c r="E12" s="27"/>
      <c r="F12" s="9"/>
      <c r="G12" s="28"/>
      <c r="H12" s="28"/>
      <c r="I12" s="9"/>
      <c r="J12" s="68"/>
    </row>
    <row r="13" spans="1:10" ht="16.5">
      <c r="A13" s="20" t="s">
        <v>11</v>
      </c>
      <c r="B13" s="23"/>
      <c r="C13" s="9"/>
      <c r="D13" s="9"/>
      <c r="E13" s="10"/>
      <c r="F13" s="29"/>
      <c r="G13" s="30"/>
      <c r="H13" s="9"/>
      <c r="I13" s="9"/>
      <c r="J13" s="68"/>
    </row>
    <row r="14" spans="1:10" ht="16.5">
      <c r="A14" s="22" t="str">
        <f>INVOICE!A12</f>
        <v>Sernet (Suzhou) Technologies Corporation</v>
      </c>
      <c r="B14" s="8"/>
      <c r="C14" s="8"/>
      <c r="D14" s="8"/>
      <c r="E14" s="10"/>
      <c r="F14" s="29"/>
      <c r="G14" s="30"/>
      <c r="H14" s="9"/>
      <c r="I14" s="9"/>
      <c r="J14" s="68"/>
    </row>
    <row r="15" spans="1:10">
      <c r="A15" s="22" t="str">
        <f>INVOICE!A13</f>
        <v>NO.8 Tangzhuang Road,Suzhou Industrial Park,Su Zhou</v>
      </c>
      <c r="B15" s="8"/>
      <c r="C15" s="9"/>
      <c r="D15" s="9"/>
      <c r="E15" s="31"/>
      <c r="F15" s="9"/>
      <c r="G15" s="9"/>
      <c r="H15" s="9"/>
      <c r="I15" s="9"/>
      <c r="J15" s="68"/>
    </row>
    <row r="16" spans="1:10">
      <c r="A16" s="18"/>
      <c r="B16" s="19"/>
      <c r="C16" s="19"/>
      <c r="D16" s="19"/>
      <c r="E16" s="27"/>
      <c r="F16" s="156"/>
      <c r="G16" s="156"/>
      <c r="H16" s="32"/>
      <c r="I16" s="69"/>
      <c r="J16" s="68"/>
    </row>
    <row r="17" spans="1:10">
      <c r="A17" s="3" t="s">
        <v>56</v>
      </c>
      <c r="B17" s="4"/>
      <c r="C17" s="6"/>
      <c r="D17" s="4" t="s">
        <v>57</v>
      </c>
      <c r="E17" s="33"/>
      <c r="F17" s="156"/>
      <c r="G17" s="156"/>
      <c r="H17" s="34"/>
      <c r="I17" s="9"/>
      <c r="J17" s="68"/>
    </row>
    <row r="18" spans="1:10">
      <c r="A18" s="157"/>
      <c r="B18" s="158"/>
      <c r="C18" s="159"/>
      <c r="D18" s="157"/>
      <c r="E18" s="159"/>
      <c r="F18" s="156"/>
      <c r="G18" s="156"/>
      <c r="H18" s="34"/>
      <c r="I18" s="9"/>
      <c r="J18" s="68"/>
    </row>
    <row r="19" spans="1:10">
      <c r="A19" s="3" t="s">
        <v>17</v>
      </c>
      <c r="B19" s="23"/>
      <c r="C19" s="36"/>
      <c r="D19" s="4" t="s">
        <v>18</v>
      </c>
      <c r="E19" s="37"/>
      <c r="F19" s="9"/>
      <c r="G19" s="9"/>
      <c r="H19" s="9"/>
      <c r="I19" s="9"/>
      <c r="J19" s="68"/>
    </row>
    <row r="20" spans="1:10">
      <c r="A20" s="157"/>
      <c r="B20" s="158"/>
      <c r="C20" s="159"/>
      <c r="D20" s="147"/>
      <c r="E20" s="148"/>
      <c r="F20" s="19"/>
      <c r="G20" s="19"/>
      <c r="H20" s="19"/>
      <c r="I20" s="19"/>
      <c r="J20" s="68"/>
    </row>
    <row r="21" spans="1:10">
      <c r="A21" s="161" t="s">
        <v>58</v>
      </c>
      <c r="B21" s="161" t="s">
        <v>23</v>
      </c>
      <c r="C21" s="161" t="s">
        <v>22</v>
      </c>
      <c r="D21" s="161" t="s">
        <v>24</v>
      </c>
      <c r="E21" s="161"/>
      <c r="F21" s="164" t="s">
        <v>25</v>
      </c>
      <c r="G21" s="164" t="s">
        <v>26</v>
      </c>
      <c r="H21" s="38" t="s">
        <v>59</v>
      </c>
      <c r="I21" s="38" t="s">
        <v>60</v>
      </c>
      <c r="J21" s="165" t="s">
        <v>61</v>
      </c>
    </row>
    <row r="22" spans="1:10">
      <c r="A22" s="161"/>
      <c r="B22" s="161"/>
      <c r="C22" s="161"/>
      <c r="D22" s="161"/>
      <c r="E22" s="161"/>
      <c r="F22" s="164"/>
      <c r="G22" s="164"/>
      <c r="H22" s="38" t="s">
        <v>62</v>
      </c>
      <c r="I22" s="38" t="s">
        <v>62</v>
      </c>
      <c r="J22" s="166"/>
    </row>
    <row r="23" spans="1:10" ht="24.95" customHeight="1">
      <c r="A23" s="162">
        <v>1</v>
      </c>
      <c r="B23" s="39">
        <v>2250901736</v>
      </c>
      <c r="C23" s="40" t="s">
        <v>36</v>
      </c>
      <c r="D23" s="160" t="s">
        <v>37</v>
      </c>
      <c r="E23" s="160"/>
      <c r="F23" s="41">
        <v>5250</v>
      </c>
      <c r="G23" s="42" t="s">
        <v>38</v>
      </c>
      <c r="H23" s="43">
        <v>682.5</v>
      </c>
      <c r="I23" s="43">
        <v>710.5</v>
      </c>
      <c r="J23" s="167" t="s">
        <v>63</v>
      </c>
    </row>
    <row r="24" spans="1:10" ht="24.95" customHeight="1">
      <c r="A24" s="162"/>
      <c r="B24" s="39">
        <v>2251000514</v>
      </c>
      <c r="C24" s="40" t="s">
        <v>36</v>
      </c>
      <c r="D24" s="160" t="s">
        <v>37</v>
      </c>
      <c r="E24" s="160"/>
      <c r="F24" s="41">
        <v>750</v>
      </c>
      <c r="G24" s="42" t="s">
        <v>38</v>
      </c>
      <c r="H24" s="43">
        <v>97.5</v>
      </c>
      <c r="I24" s="43">
        <v>101.5</v>
      </c>
      <c r="J24" s="167"/>
    </row>
    <row r="25" spans="1:10" ht="24.95" customHeight="1">
      <c r="A25" s="162">
        <v>2</v>
      </c>
      <c r="B25" s="40">
        <v>2251000514</v>
      </c>
      <c r="C25" s="40" t="s">
        <v>36</v>
      </c>
      <c r="D25" s="160" t="s">
        <v>37</v>
      </c>
      <c r="E25" s="160"/>
      <c r="F25" s="41">
        <v>5400</v>
      </c>
      <c r="G25" s="42" t="s">
        <v>38</v>
      </c>
      <c r="H25" s="43">
        <v>702</v>
      </c>
      <c r="I25" s="43">
        <v>730.8</v>
      </c>
      <c r="J25" s="167" t="s">
        <v>63</v>
      </c>
    </row>
    <row r="26" spans="1:10" ht="24.95" customHeight="1">
      <c r="A26" s="162"/>
      <c r="B26" s="40">
        <v>2251002419</v>
      </c>
      <c r="C26" s="40" t="s">
        <v>36</v>
      </c>
      <c r="D26" s="160" t="s">
        <v>37</v>
      </c>
      <c r="E26" s="160"/>
      <c r="F26" s="41">
        <v>600</v>
      </c>
      <c r="G26" s="42" t="s">
        <v>38</v>
      </c>
      <c r="H26" s="43">
        <v>78</v>
      </c>
      <c r="I26" s="43">
        <v>81.2</v>
      </c>
      <c r="J26" s="167"/>
    </row>
    <row r="27" spans="1:10" ht="24.95" customHeight="1">
      <c r="A27" s="163">
        <v>3</v>
      </c>
      <c r="B27" s="45">
        <v>2250801236</v>
      </c>
      <c r="C27" s="46" t="s">
        <v>44</v>
      </c>
      <c r="D27" s="160" t="s">
        <v>37</v>
      </c>
      <c r="E27" s="160"/>
      <c r="F27" s="41">
        <v>85</v>
      </c>
      <c r="G27" s="42" t="s">
        <v>38</v>
      </c>
      <c r="H27" s="43">
        <v>8.93</v>
      </c>
      <c r="I27" s="43">
        <v>9.9250000000000007</v>
      </c>
      <c r="J27" s="167" t="s">
        <v>64</v>
      </c>
    </row>
    <row r="28" spans="1:10" ht="24.95" customHeight="1">
      <c r="A28" s="163"/>
      <c r="B28" s="47">
        <v>2250801894</v>
      </c>
      <c r="C28" s="46" t="s">
        <v>44</v>
      </c>
      <c r="D28" s="160" t="s">
        <v>37</v>
      </c>
      <c r="E28" s="160"/>
      <c r="F28" s="41">
        <v>2</v>
      </c>
      <c r="G28" s="42" t="s">
        <v>38</v>
      </c>
      <c r="H28" s="43">
        <v>0.21</v>
      </c>
      <c r="I28" s="43">
        <v>1.21</v>
      </c>
      <c r="J28" s="167"/>
    </row>
    <row r="29" spans="1:10" ht="24.95" customHeight="1">
      <c r="A29" s="163"/>
      <c r="B29" s="40">
        <v>2250802215</v>
      </c>
      <c r="C29" s="46" t="s">
        <v>44</v>
      </c>
      <c r="D29" s="160" t="s">
        <v>37</v>
      </c>
      <c r="E29" s="160"/>
      <c r="F29" s="46">
        <v>1501</v>
      </c>
      <c r="G29" s="42" t="s">
        <v>38</v>
      </c>
      <c r="H29" s="48">
        <v>157.6</v>
      </c>
      <c r="I29" s="43">
        <v>173.6</v>
      </c>
      <c r="J29" s="167"/>
    </row>
    <row r="30" spans="1:10" ht="24.95" customHeight="1">
      <c r="A30" s="163"/>
      <c r="B30" s="40">
        <v>2250901736</v>
      </c>
      <c r="C30" s="40" t="s">
        <v>36</v>
      </c>
      <c r="D30" s="160" t="s">
        <v>37</v>
      </c>
      <c r="E30" s="160"/>
      <c r="F30" s="41">
        <v>100</v>
      </c>
      <c r="G30" s="42" t="s">
        <v>38</v>
      </c>
      <c r="H30" s="48">
        <v>13</v>
      </c>
      <c r="I30" s="43">
        <v>14</v>
      </c>
      <c r="J30" s="167"/>
    </row>
    <row r="31" spans="1:10" ht="24.95" customHeight="1">
      <c r="A31" s="163"/>
      <c r="B31" s="40">
        <v>2250902021</v>
      </c>
      <c r="C31" s="40" t="s">
        <v>36</v>
      </c>
      <c r="D31" s="160" t="s">
        <v>37</v>
      </c>
      <c r="E31" s="160"/>
      <c r="F31" s="41">
        <v>2</v>
      </c>
      <c r="G31" s="42" t="s">
        <v>38</v>
      </c>
      <c r="H31" s="43">
        <v>0.26</v>
      </c>
      <c r="I31" s="43">
        <v>1.26</v>
      </c>
      <c r="J31" s="167"/>
    </row>
    <row r="32" spans="1:10" ht="24.95" customHeight="1">
      <c r="A32" s="163"/>
      <c r="B32" s="39">
        <v>2251000514</v>
      </c>
      <c r="C32" s="40" t="s">
        <v>36</v>
      </c>
      <c r="D32" s="160" t="s">
        <v>37</v>
      </c>
      <c r="E32" s="160"/>
      <c r="F32" s="41">
        <v>50</v>
      </c>
      <c r="G32" s="42" t="s">
        <v>38</v>
      </c>
      <c r="H32" s="43">
        <v>6.5</v>
      </c>
      <c r="I32" s="43">
        <v>7.5</v>
      </c>
      <c r="J32" s="167"/>
    </row>
    <row r="33" spans="1:10" ht="24.95" customHeight="1">
      <c r="A33" s="163"/>
      <c r="B33" s="39">
        <v>2251002419</v>
      </c>
      <c r="C33" s="40" t="s">
        <v>36</v>
      </c>
      <c r="D33" s="160" t="s">
        <v>37</v>
      </c>
      <c r="E33" s="160"/>
      <c r="F33" s="41">
        <v>1648</v>
      </c>
      <c r="G33" s="42" t="s">
        <v>38</v>
      </c>
      <c r="H33" s="43">
        <v>214.24</v>
      </c>
      <c r="I33" s="43">
        <v>223.24</v>
      </c>
      <c r="J33" s="167"/>
    </row>
    <row r="34" spans="1:10" ht="24.95" customHeight="1">
      <c r="A34" s="44">
        <v>4</v>
      </c>
      <c r="B34" s="39">
        <v>2250801236</v>
      </c>
      <c r="C34" s="40" t="s">
        <v>44</v>
      </c>
      <c r="D34" s="160" t="s">
        <v>37</v>
      </c>
      <c r="E34" s="160"/>
      <c r="F34" s="41">
        <v>8000</v>
      </c>
      <c r="G34" s="42" t="s">
        <v>38</v>
      </c>
      <c r="H34" s="43">
        <v>840</v>
      </c>
      <c r="I34" s="43">
        <v>879.2</v>
      </c>
      <c r="J34" s="70" t="s">
        <v>65</v>
      </c>
    </row>
    <row r="35" spans="1:10" ht="24.95" customHeight="1">
      <c r="A35" s="163">
        <v>5</v>
      </c>
      <c r="B35" s="39">
        <v>2250801236</v>
      </c>
      <c r="C35" s="40" t="s">
        <v>44</v>
      </c>
      <c r="D35" s="160" t="s">
        <v>37</v>
      </c>
      <c r="E35" s="160"/>
      <c r="F35" s="41">
        <v>7800</v>
      </c>
      <c r="G35" s="42" t="s">
        <v>38</v>
      </c>
      <c r="H35" s="43">
        <v>819</v>
      </c>
      <c r="I35" s="43">
        <v>857.22</v>
      </c>
      <c r="J35" s="167" t="s">
        <v>65</v>
      </c>
    </row>
    <row r="36" spans="1:10" ht="24.95" customHeight="1">
      <c r="A36" s="163"/>
      <c r="B36" s="39">
        <v>2250802215</v>
      </c>
      <c r="C36" s="40" t="s">
        <v>44</v>
      </c>
      <c r="D36" s="160" t="s">
        <v>37</v>
      </c>
      <c r="E36" s="160"/>
      <c r="F36" s="41">
        <v>200</v>
      </c>
      <c r="G36" s="42" t="s">
        <v>38</v>
      </c>
      <c r="H36" s="43">
        <v>21</v>
      </c>
      <c r="I36" s="43">
        <v>21.98</v>
      </c>
      <c r="J36" s="167"/>
    </row>
    <row r="37" spans="1:10" ht="24.95" customHeight="1">
      <c r="A37" s="44">
        <v>6</v>
      </c>
      <c r="B37" s="39">
        <v>2250802215</v>
      </c>
      <c r="C37" s="40" t="s">
        <v>44</v>
      </c>
      <c r="D37" s="160" t="s">
        <v>37</v>
      </c>
      <c r="E37" s="160"/>
      <c r="F37" s="41">
        <v>8000</v>
      </c>
      <c r="G37" s="42" t="s">
        <v>38</v>
      </c>
      <c r="H37" s="43">
        <v>840</v>
      </c>
      <c r="I37" s="43">
        <v>879.2</v>
      </c>
      <c r="J37" s="70" t="s">
        <v>65</v>
      </c>
    </row>
    <row r="38" spans="1:10" ht="24.95" customHeight="1">
      <c r="A38" s="44">
        <v>7</v>
      </c>
      <c r="B38" s="39">
        <v>2250802215</v>
      </c>
      <c r="C38" s="40" t="s">
        <v>44</v>
      </c>
      <c r="D38" s="160" t="s">
        <v>37</v>
      </c>
      <c r="E38" s="160"/>
      <c r="F38" s="41">
        <v>6000</v>
      </c>
      <c r="G38" s="42" t="s">
        <v>38</v>
      </c>
      <c r="H38" s="43">
        <v>630</v>
      </c>
      <c r="I38" s="43">
        <v>659.4</v>
      </c>
      <c r="J38" s="70" t="s">
        <v>66</v>
      </c>
    </row>
    <row r="39" spans="1:10">
      <c r="A39" s="49"/>
      <c r="B39" s="50"/>
      <c r="C39" s="51"/>
      <c r="D39" s="51"/>
      <c r="E39" s="51"/>
      <c r="F39" s="52"/>
      <c r="G39" s="51"/>
      <c r="H39" s="53" t="s">
        <v>67</v>
      </c>
      <c r="I39" s="71">
        <v>70</v>
      </c>
      <c r="J39" s="72"/>
    </row>
    <row r="40" spans="1:10">
      <c r="A40" s="54"/>
      <c r="B40" s="9"/>
      <c r="C40" s="23"/>
      <c r="D40" s="55"/>
      <c r="E40" s="56" t="s">
        <v>68</v>
      </c>
      <c r="F40" s="57">
        <f>SUM(F23:F39)</f>
        <v>45388</v>
      </c>
      <c r="G40" s="56"/>
      <c r="H40" s="58">
        <f>SUM(H23:H39)</f>
        <v>5110.74</v>
      </c>
      <c r="I40" s="58">
        <f>SUM(I23:I39)</f>
        <v>5421.7349999999997</v>
      </c>
      <c r="J40" s="73" t="s">
        <v>69</v>
      </c>
    </row>
    <row r="41" spans="1:10">
      <c r="A41" s="59"/>
      <c r="E41" s="60" t="s">
        <v>70</v>
      </c>
      <c r="F41" s="61">
        <v>7</v>
      </c>
      <c r="J41" s="74"/>
    </row>
    <row r="42" spans="1:10">
      <c r="A42" s="59"/>
      <c r="E42" s="60" t="s">
        <v>71</v>
      </c>
      <c r="F42" s="62" t="s">
        <v>72</v>
      </c>
      <c r="J42" s="74"/>
    </row>
    <row r="43" spans="1:10">
      <c r="A43" s="59"/>
      <c r="E43" s="60" t="s">
        <v>73</v>
      </c>
      <c r="F43" s="62" t="s">
        <v>74</v>
      </c>
      <c r="J43" s="74"/>
    </row>
    <row r="44" spans="1:10">
      <c r="A44" s="63"/>
      <c r="B44" s="64"/>
      <c r="C44" s="64"/>
      <c r="D44" s="64"/>
      <c r="E44" s="65"/>
      <c r="F44" s="60"/>
      <c r="G44" s="60"/>
      <c r="H44" s="64"/>
      <c r="I44" s="64"/>
      <c r="J44" s="75"/>
    </row>
    <row r="47" spans="1:10">
      <c r="D47" s="66"/>
    </row>
  </sheetData>
  <mergeCells count="41">
    <mergeCell ref="J27:J33"/>
    <mergeCell ref="J35:J36"/>
    <mergeCell ref="A5:E6"/>
    <mergeCell ref="A10:E11"/>
    <mergeCell ref="D21:E22"/>
    <mergeCell ref="F21:F22"/>
    <mergeCell ref="G21:G22"/>
    <mergeCell ref="J21:J22"/>
    <mergeCell ref="J23:J24"/>
    <mergeCell ref="J25:J26"/>
    <mergeCell ref="D36:E36"/>
    <mergeCell ref="D37:E37"/>
    <mergeCell ref="D38:E38"/>
    <mergeCell ref="A21:A22"/>
    <mergeCell ref="A23:A24"/>
    <mergeCell ref="A25:A26"/>
    <mergeCell ref="A27:A33"/>
    <mergeCell ref="A35:A36"/>
    <mergeCell ref="B21:B22"/>
    <mergeCell ref="C21:C22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A20:C20"/>
    <mergeCell ref="D20:E20"/>
    <mergeCell ref="D23:E23"/>
    <mergeCell ref="D24:E24"/>
    <mergeCell ref="D25:E25"/>
    <mergeCell ref="A1:J1"/>
    <mergeCell ref="F16:G16"/>
    <mergeCell ref="F17:G17"/>
    <mergeCell ref="A18:C18"/>
    <mergeCell ref="D18:E18"/>
    <mergeCell ref="F18:G18"/>
  </mergeCells>
  <pageMargins left="0.75" right="0.75" top="1" bottom="1" header="0.5" footer="0.5"/>
  <pageSetup paperSize="9" scale="7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D000208</dc:creator>
  <cp:keywords/>
  <dc:description/>
  <cp:lastModifiedBy>Alex Liou</cp:lastModifiedBy>
  <cp:revision/>
  <dcterms:created xsi:type="dcterms:W3CDTF">2025-07-17T08:11:00Z</dcterms:created>
  <dcterms:modified xsi:type="dcterms:W3CDTF">2025-12-21T00:34:52Z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  <property fmtid="{D5CDD505-2E9C-101B-9397-08002B2CF9AE}" pid="4" name="CalculationRule">
    <vt:i4>0</vt:i4>
  </property>
</Properties>
</file>