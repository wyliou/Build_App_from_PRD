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oe.Hsu\Desktop\中磊\出貨文件\SZ HK 出貨\"/>
    </mc:Choice>
  </mc:AlternateContent>
  <xr:revisionPtr revIDLastSave="0" documentId="13_ncr:1_{756A9903-7914-4FFA-A9BF-A2F15A9A3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1" r:id="rId1"/>
    <sheet name="PACKING" sheetId="2" r:id="rId2"/>
  </sheets>
  <definedNames>
    <definedName name="_xlnm._FilterDatabase" localSheetId="0" hidden="1">INVOICE!$A$19:$P$60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2" i="2"/>
  <c r="H62" i="2"/>
  <c r="F62" i="2"/>
  <c r="I20" i="1"/>
  <c r="E60" i="1"/>
  <c r="I60" i="1" l="1"/>
</calcChain>
</file>

<file path=xl/sharedStrings.xml><?xml version="1.0" encoding="utf-8"?>
<sst xmlns="http://schemas.openxmlformats.org/spreadsheetml/2006/main" count="552" uniqueCount="139">
  <si>
    <t>COMMERCIAL INVOICE</t>
  </si>
  <si>
    <t>No. &amp; Date of Invoice</t>
  </si>
  <si>
    <t>Bill To:</t>
  </si>
  <si>
    <t xml:space="preserve"> Payment Term</t>
  </si>
  <si>
    <t>Ship To:</t>
  </si>
  <si>
    <t>Port of Loading</t>
  </si>
  <si>
    <t>Port of Discharge</t>
  </si>
  <si>
    <t xml:space="preserve"> Remarks:</t>
  </si>
  <si>
    <t>Carrier</t>
  </si>
  <si>
    <t>Sailing on/or About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</si>
  <si>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</si>
  <si>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</si>
  <si>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</si>
  <si>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</si>
  <si>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</si>
  <si>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</si>
  <si>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</si>
  <si>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</si>
  <si>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</si>
  <si>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</si>
  <si>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</si>
  <si>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PCS</t>
  </si>
  <si>
    <t>USD</t>
  </si>
  <si>
    <t xml:space="preserve">                  TOTAL</t>
  </si>
  <si>
    <t>PACKING LIST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</si>
  <si>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</si>
  <si>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</si>
  <si>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</si>
  <si>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</si>
  <si>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</si>
  <si>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</si>
  <si>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</si>
  <si>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</si>
  <si>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TOTAL</t>
  </si>
  <si>
    <t>Shipper/Exporter</t>
    <phoneticPr fontId="3" type="noConversion"/>
  </si>
  <si>
    <t>WT Microelectronics CO.,Limited</t>
    <phoneticPr fontId="3" type="noConversion"/>
  </si>
  <si>
    <r>
      <rPr>
        <b/>
        <sz val="10"/>
        <rFont val="微軟正黑體"/>
        <family val="2"/>
        <charset val="136"/>
      </rPr>
      <t>品牌</t>
    </r>
  </si>
  <si>
    <r>
      <rPr>
        <b/>
        <sz val="10"/>
        <rFont val="微軟正黑體"/>
        <family val="2"/>
        <charset val="136"/>
      </rPr>
      <t>品牌类型</t>
    </r>
  </si>
  <si>
    <r>
      <rPr>
        <b/>
        <sz val="10"/>
        <rFont val="微軟正黑體"/>
        <family val="2"/>
        <charset val="136"/>
      </rPr>
      <t>型号</t>
    </r>
  </si>
  <si>
    <t xml:space="preserve"> Trade Term</t>
    <phoneticPr fontId="3" type="noConversion"/>
  </si>
  <si>
    <t>CIF Shanghai</t>
    <phoneticPr fontId="3" type="noConversion"/>
  </si>
  <si>
    <t>NO.8
TANGZHUANG ROAD,SUZHOU INDUSTRIAL PARK,JIANGSU,CHINA</t>
    <phoneticPr fontId="3" type="noConversion"/>
  </si>
  <si>
    <t>CHINA</t>
  </si>
  <si>
    <r>
      <rPr>
        <sz val="10"/>
        <rFont val="微軟正黑體"/>
        <family val="2"/>
        <charset val="136"/>
      </rPr>
      <t>境外品牌</t>
    </r>
    <r>
      <rPr>
        <sz val="10"/>
        <rFont val="Calibri"/>
        <family val="2"/>
      </rPr>
      <t>(</t>
    </r>
    <r>
      <rPr>
        <sz val="10"/>
        <rFont val="微軟正黑體"/>
        <family val="2"/>
        <charset val="136"/>
      </rPr>
      <t>其他</t>
    </r>
    <r>
      <rPr>
        <sz val="10"/>
        <rFont val="Calibri"/>
        <family val="2"/>
      </rPr>
      <t>)</t>
    </r>
  </si>
  <si>
    <t>40*38*9</t>
  </si>
  <si>
    <r>
      <rPr>
        <sz val="10"/>
        <rFont val="微軟正黑體"/>
        <family val="2"/>
        <charset val="136"/>
      </rPr>
      <t>件数</t>
    </r>
  </si>
  <si>
    <r>
      <rPr>
        <sz val="10"/>
        <rFont val="微軟正黑體"/>
        <family val="2"/>
        <charset val="136"/>
      </rPr>
      <t>包装种类</t>
    </r>
  </si>
  <si>
    <r>
      <rPr>
        <sz val="10"/>
        <rFont val="微軟正黑體"/>
        <family val="2"/>
        <charset val="136"/>
      </rPr>
      <t>托盘材质</t>
    </r>
  </si>
  <si>
    <t>Monthly 90 days/Monthly 120 days</t>
    <phoneticPr fontId="3" type="noConversion"/>
  </si>
  <si>
    <t>55913W10SKR</t>
  </si>
  <si>
    <t>55985332SKR</t>
  </si>
  <si>
    <t>55985771SKR</t>
  </si>
  <si>
    <t>MALAYSIA</t>
  </si>
  <si>
    <t>MEXICO</t>
  </si>
  <si>
    <t>SKYWORKS</t>
  </si>
  <si>
    <t>SKY13918-397LF</t>
  </si>
  <si>
    <t>SKY85330-21</t>
  </si>
  <si>
    <t>SKY85778-11</t>
  </si>
  <si>
    <r>
      <t xml:space="preserve">Net WT(KGS)
</t>
    </r>
    <r>
      <rPr>
        <b/>
        <sz val="10"/>
        <rFont val="細明體"/>
        <family val="2"/>
        <charset val="136"/>
      </rPr>
      <t>單顆</t>
    </r>
    <r>
      <rPr>
        <b/>
        <sz val="10"/>
        <rFont val="Calibri"/>
        <family val="2"/>
      </rPr>
      <t>IC</t>
    </r>
    <r>
      <rPr>
        <b/>
        <sz val="10"/>
        <rFont val="細明體"/>
        <family val="2"/>
        <charset val="136"/>
      </rPr>
      <t>淨重</t>
    </r>
    <phoneticPr fontId="3" type="noConversion"/>
  </si>
  <si>
    <t>中國台灣</t>
    <phoneticPr fontId="3" type="noConversion"/>
  </si>
  <si>
    <t>貿易國別：</t>
    <phoneticPr fontId="3" type="noConversion"/>
  </si>
  <si>
    <t>OB No</t>
    <phoneticPr fontId="3" type="noConversion"/>
  </si>
  <si>
    <t>United States</t>
  </si>
  <si>
    <t>0*0*0</t>
  </si>
  <si>
    <t>26*26*11</t>
  </si>
  <si>
    <t>39*29*38</t>
  </si>
  <si>
    <t>39*23*13</t>
  </si>
  <si>
    <t>38*29*38</t>
  </si>
  <si>
    <t>40*38*13</t>
  </si>
  <si>
    <t>39*18*39</t>
  </si>
  <si>
    <r>
      <rPr>
        <sz val="10"/>
        <rFont val="微軟正黑體"/>
        <family val="2"/>
        <charset val="136"/>
      </rPr>
      <t>文曄科技股份有限公司</t>
    </r>
    <phoneticPr fontId="3" type="noConversion"/>
  </si>
  <si>
    <r>
      <rPr>
        <sz val="10"/>
        <rFont val="微軟正黑體"/>
        <family val="2"/>
        <charset val="136"/>
      </rPr>
      <t>中磊電子</t>
    </r>
    <r>
      <rPr>
        <sz val="10"/>
        <rFont val="Calibri"/>
        <family val="2"/>
      </rPr>
      <t>(</t>
    </r>
    <r>
      <rPr>
        <sz val="10"/>
        <rFont val="微軟正黑體"/>
        <family val="2"/>
        <charset val="136"/>
      </rPr>
      <t>蘇州</t>
    </r>
    <r>
      <rPr>
        <sz val="10"/>
        <rFont val="Calibri"/>
        <family val="2"/>
      </rPr>
      <t>)</t>
    </r>
    <r>
      <rPr>
        <sz val="10"/>
        <rFont val="微軟正黑體"/>
        <family val="2"/>
        <charset val="136"/>
      </rPr>
      <t>有限公司</t>
    </r>
    <phoneticPr fontId="3" type="noConversion"/>
  </si>
  <si>
    <r>
      <rPr>
        <sz val="10"/>
        <rFont val="微軟正黑體"/>
        <family val="2"/>
        <charset val="136"/>
      </rPr>
      <t>蘇州工業園區唐庄路</t>
    </r>
    <r>
      <rPr>
        <sz val="10"/>
        <rFont val="Calibri"/>
        <family val="2"/>
      </rPr>
      <t>8</t>
    </r>
    <r>
      <rPr>
        <sz val="10"/>
        <rFont val="微軟正黑體"/>
        <family val="2"/>
        <charset val="136"/>
      </rPr>
      <t>號</t>
    </r>
    <phoneticPr fontId="3" type="noConversion"/>
  </si>
  <si>
    <t>ST</t>
  </si>
  <si>
    <t>48MG</t>
  </si>
  <si>
    <t>33.3MG</t>
  </si>
  <si>
    <t>0.012G</t>
  </si>
  <si>
    <t>0.001G</t>
  </si>
  <si>
    <t>55396420MI0</t>
  </si>
  <si>
    <t>55985340SKR</t>
  </si>
  <si>
    <t>55985340SK0</t>
  </si>
  <si>
    <t>55985751SK0</t>
  </si>
  <si>
    <t>MICROCHIP</t>
  </si>
  <si>
    <t>LE9642PQCT</t>
  </si>
  <si>
    <t>SKY85340-11</t>
  </si>
  <si>
    <t>SKY85755-11</t>
  </si>
  <si>
    <t>0.025G</t>
  </si>
  <si>
    <t>0.123G</t>
  </si>
  <si>
    <t>0.008G</t>
  </si>
  <si>
    <t>42*40*38</t>
  </si>
  <si>
    <t>93638236/93638246/93638402/93638536/93638590/93638594/93638598/93638688/93638699/</t>
  </si>
  <si>
    <t>93638742/93638752/93638758/93638769/93638777/93638778/93639706/93639725/93640031/93640097</t>
  </si>
  <si>
    <t>51104500RC0</t>
  </si>
  <si>
    <t>51132500RC0</t>
  </si>
  <si>
    <t>50532310ST0</t>
  </si>
  <si>
    <t>55985341SK0</t>
  </si>
  <si>
    <t>55285900SKK</t>
  </si>
  <si>
    <t>55396420MC0</t>
  </si>
  <si>
    <t>55985621SK0</t>
  </si>
  <si>
    <t>55985W96SKN</t>
  </si>
  <si>
    <t>55958W50SKN</t>
  </si>
  <si>
    <t>55985742SKR</t>
  </si>
  <si>
    <t>55985794SK0</t>
  </si>
  <si>
    <t>55285901SKK</t>
  </si>
  <si>
    <t>33070021ON</t>
  </si>
  <si>
    <t>RUNIC</t>
  </si>
  <si>
    <t>ONSEMI</t>
  </si>
  <si>
    <t>RS1G04XF5</t>
  </si>
  <si>
    <t>RS1G32XF5</t>
  </si>
  <si>
    <t>STM32C031K4U6</t>
  </si>
  <si>
    <t>SKY85347-11</t>
  </si>
  <si>
    <t>SKY85624-11</t>
  </si>
  <si>
    <t>SKY85794-11</t>
  </si>
  <si>
    <t>SKY85355-11</t>
  </si>
  <si>
    <t>SKY85747-11</t>
  </si>
  <si>
    <t>SKY85796-11</t>
  </si>
  <si>
    <t>SKY85906-11</t>
  </si>
  <si>
    <t>2N7002WT1G</t>
  </si>
  <si>
    <t>15.066MG</t>
  </si>
  <si>
    <t>30MG</t>
  </si>
  <si>
    <t>0.016G</t>
  </si>
  <si>
    <t>0.018G</t>
  </si>
  <si>
    <t>0.006G</t>
  </si>
  <si>
    <t>25MG</t>
  </si>
  <si>
    <t>0.043G</t>
  </si>
  <si>
    <t>0.004G</t>
  </si>
  <si>
    <t>6MG</t>
  </si>
  <si>
    <t>41*21*26</t>
  </si>
  <si>
    <t>39*21*21</t>
  </si>
  <si>
    <t>39*22*12</t>
  </si>
  <si>
    <t>38*38*23</t>
  </si>
  <si>
    <t>39*37*10</t>
  </si>
  <si>
    <t>40*38*26</t>
  </si>
  <si>
    <t>20*20*13</t>
  </si>
  <si>
    <t>Singapore</t>
    <phoneticPr fontId="3" type="noConversion"/>
  </si>
  <si>
    <t>CHINESE TAIWAN</t>
    <phoneticPr fontId="3" type="noConversion"/>
  </si>
  <si>
    <t>非集成电路</t>
  </si>
  <si>
    <t>SKY85907-11</t>
    <phoneticPr fontId="3" type="noConversion"/>
  </si>
  <si>
    <t>SKY85906-11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</si>
</sst>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/d;@"/>
    <numFmt numFmtId="177" formatCode="0.00_ "/>
    <numFmt numFmtId="178" formatCode="0.00_);[Red]\(0.00\)"/>
    <numFmt numFmtId="179" formatCode="0_ "/>
    <numFmt numFmtId="180" formatCode="0.000_ "/>
    <numFmt numFmtId="181" formatCode="#,##0.00_ "/>
    <numFmt numFmtId="182" formatCode="0.0000_);[Red]\(0.0000\)"/>
  </numFmts>
  <fonts count="15">
    <font>
      <sz val="11"/>
      <color theme="1"/>
      <name val="新細明體"/>
      <charset val="134"/>
      <scheme val="minor"/>
    </font>
    <font>
      <sz val="12"/>
      <name val="宋体"/>
      <family val="3"/>
      <charset val="136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0"/>
      <name val="微軟正黑體"/>
      <family val="2"/>
      <charset val="136"/>
    </font>
    <font>
      <sz val="10"/>
      <name val="微軟正黑體"/>
      <family val="2"/>
      <charset val="136"/>
    </font>
    <font>
      <b/>
      <sz val="18"/>
      <name val="Calibri"/>
      <family val="2"/>
    </font>
    <font>
      <sz val="18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indexed="12"/>
      <name val="Calibri"/>
      <family val="2"/>
    </font>
    <font>
      <sz val="11"/>
      <color theme="1"/>
      <name val="Calibri"/>
      <family val="2"/>
    </font>
    <font>
      <sz val="10"/>
      <name val="細明體"/>
      <family val="2"/>
      <charset val="136"/>
    </font>
    <font>
      <b/>
      <sz val="10"/>
      <name val="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2" fillId="0" borderId="0"/>
  </cellStyleXfs>
  <cellXfs count="12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3" xfId="2" applyFont="1" applyBorder="1" applyAlignment="1">
      <alignment vertical="center"/>
    </xf>
    <xf numFmtId="0" fontId="8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10" fillId="0" borderId="5" xfId="1" applyFont="1" applyBorder="1" applyAlignment="1">
      <alignment vertical="center"/>
    </xf>
    <xf numFmtId="0" fontId="9" fillId="0" borderId="0" xfId="0" applyFont="1">
      <alignment vertical="center"/>
    </xf>
    <xf numFmtId="0" fontId="9" fillId="0" borderId="5" xfId="0" applyFont="1" applyBorder="1">
      <alignment vertical="center"/>
    </xf>
    <xf numFmtId="0" fontId="9" fillId="0" borderId="0" xfId="1" applyFont="1" applyAlignment="1">
      <alignment horizontal="left" vertical="center"/>
    </xf>
    <xf numFmtId="0" fontId="9" fillId="0" borderId="5" xfId="2" applyFont="1" applyBorder="1" applyAlignment="1">
      <alignment vertical="center"/>
    </xf>
    <xf numFmtId="49" fontId="9" fillId="0" borderId="0" xfId="2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5" xfId="0" applyFont="1" applyBorder="1" applyAlignment="1">
      <alignment vertical="center" wrapText="1"/>
    </xf>
    <xf numFmtId="176" fontId="9" fillId="0" borderId="0" xfId="0" applyNumberFormat="1" applyFont="1">
      <alignment vertical="center"/>
    </xf>
    <xf numFmtId="176" fontId="9" fillId="0" borderId="0" xfId="0" applyNumberFormat="1" applyFont="1" applyAlignment="1">
      <alignment horizontal="left" vertical="center"/>
    </xf>
    <xf numFmtId="0" fontId="9" fillId="0" borderId="3" xfId="0" applyFont="1" applyBorder="1" applyAlignment="1">
      <alignment vertical="center" wrapText="1"/>
    </xf>
    <xf numFmtId="0" fontId="9" fillId="0" borderId="3" xfId="2" applyFont="1" applyBorder="1" applyAlignment="1">
      <alignment vertical="center"/>
    </xf>
    <xf numFmtId="0" fontId="9" fillId="0" borderId="6" xfId="2" applyFont="1" applyBorder="1" applyAlignment="1">
      <alignment horizontal="left" vertical="center"/>
    </xf>
    <xf numFmtId="0" fontId="9" fillId="0" borderId="7" xfId="2" applyFont="1" applyBorder="1" applyAlignment="1">
      <alignment horizontal="left" vertical="center"/>
    </xf>
    <xf numFmtId="0" fontId="9" fillId="0" borderId="7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0" fontId="9" fillId="0" borderId="6" xfId="2" applyFont="1" applyBorder="1" applyAlignment="1">
      <alignment vertical="center"/>
    </xf>
    <xf numFmtId="0" fontId="9" fillId="0" borderId="7" xfId="0" applyFont="1" applyBorder="1">
      <alignment vertical="center"/>
    </xf>
    <xf numFmtId="0" fontId="11" fillId="0" borderId="8" xfId="0" applyFont="1" applyBorder="1">
      <alignment vertical="center"/>
    </xf>
    <xf numFmtId="0" fontId="8" fillId="0" borderId="1" xfId="2" applyFont="1" applyBorder="1" applyAlignment="1">
      <alignment vertical="center"/>
    </xf>
    <xf numFmtId="0" fontId="8" fillId="0" borderId="2" xfId="2" applyFont="1" applyBorder="1" applyAlignment="1">
      <alignment vertical="center"/>
    </xf>
    <xf numFmtId="0" fontId="9" fillId="0" borderId="2" xfId="2" applyFont="1" applyBorder="1" applyAlignment="1">
      <alignment vertical="center"/>
    </xf>
    <xf numFmtId="0" fontId="9" fillId="0" borderId="4" xfId="2" applyFont="1" applyBorder="1" applyAlignment="1">
      <alignment vertical="center"/>
    </xf>
    <xf numFmtId="0" fontId="9" fillId="0" borderId="2" xfId="0" applyFont="1" applyBorder="1">
      <alignment vertical="center"/>
    </xf>
    <xf numFmtId="0" fontId="8" fillId="0" borderId="0" xfId="1" applyFont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10" fillId="0" borderId="3" xfId="2" applyFont="1" applyBorder="1" applyAlignment="1">
      <alignment vertical="center"/>
    </xf>
    <xf numFmtId="0" fontId="11" fillId="0" borderId="0" xfId="0" applyFont="1">
      <alignment vertical="center"/>
    </xf>
    <xf numFmtId="0" fontId="11" fillId="0" borderId="5" xfId="0" applyFont="1" applyBorder="1">
      <alignment vertical="center"/>
    </xf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6" xfId="0" applyFont="1" applyBorder="1">
      <alignment vertical="center"/>
    </xf>
    <xf numFmtId="0" fontId="10" fillId="0" borderId="5" xfId="1" applyFont="1" applyBorder="1" applyAlignment="1">
      <alignment horizontal="right" vertical="center"/>
    </xf>
    <xf numFmtId="0" fontId="9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2" applyFont="1" applyBorder="1" applyAlignment="1">
      <alignment vertical="center"/>
    </xf>
    <xf numFmtId="0" fontId="9" fillId="0" borderId="10" xfId="2" applyFont="1" applyBorder="1" applyAlignment="1">
      <alignment vertical="center"/>
    </xf>
    <xf numFmtId="180" fontId="8" fillId="2" borderId="10" xfId="2" applyNumberFormat="1" applyFont="1" applyFill="1" applyBorder="1" applyAlignment="1">
      <alignment horizontal="center" vertical="center"/>
    </xf>
    <xf numFmtId="0" fontId="8" fillId="0" borderId="10" xfId="2" applyFont="1" applyBorder="1" applyAlignment="1">
      <alignment vertical="center"/>
    </xf>
    <xf numFmtId="182" fontId="8" fillId="0" borderId="10" xfId="2" applyNumberFormat="1" applyFont="1" applyBorder="1" applyAlignment="1">
      <alignment horizontal="center" vertical="center"/>
    </xf>
    <xf numFmtId="178" fontId="8" fillId="2" borderId="10" xfId="2" applyNumberFormat="1" applyFont="1" applyFill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8" fillId="0" borderId="10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0" borderId="3" xfId="0" applyFont="1" applyBorder="1" applyAlignment="1">
      <alignment horizontal="center" vertical="center" wrapText="1" shrinkToFit="1"/>
    </xf>
    <xf numFmtId="0" fontId="9" fillId="0" borderId="0" xfId="0" applyFont="1" applyAlignment="1">
      <alignment horizontal="center" vertical="center" wrapText="1" shrinkToFit="1"/>
    </xf>
    <xf numFmtId="178" fontId="9" fillId="0" borderId="0" xfId="0" applyNumberFormat="1" applyFont="1" applyAlignment="1">
      <alignment horizontal="center" vertical="center" wrapText="1" shrinkToFit="1"/>
    </xf>
    <xf numFmtId="0" fontId="9" fillId="0" borderId="5" xfId="0" applyFont="1" applyBorder="1" applyAlignment="1">
      <alignment horizontal="center" vertical="center" wrapText="1" shrinkToFit="1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right" vertical="center"/>
    </xf>
    <xf numFmtId="0" fontId="9" fillId="0" borderId="2" xfId="1" applyFont="1" applyBorder="1" applyAlignment="1">
      <alignment vertical="center"/>
    </xf>
    <xf numFmtId="0" fontId="9" fillId="0" borderId="4" xfId="0" applyFont="1" applyBorder="1">
      <alignment vertical="center"/>
    </xf>
    <xf numFmtId="0" fontId="9" fillId="0" borderId="8" xfId="0" applyFont="1" applyBorder="1">
      <alignment vertical="center"/>
    </xf>
    <xf numFmtId="181" fontId="9" fillId="0" borderId="0" xfId="0" applyNumberFormat="1" applyFont="1" applyAlignment="1">
      <alignment horizontal="center" vertical="center" wrapText="1" shrinkToFit="1"/>
    </xf>
    <xf numFmtId="182" fontId="9" fillId="0" borderId="0" xfId="0" applyNumberFormat="1" applyFont="1" applyAlignment="1">
      <alignment horizontal="center" vertical="center" wrapText="1" shrinkToFit="1"/>
    </xf>
    <xf numFmtId="0" fontId="8" fillId="0" borderId="2" xfId="0" applyFont="1" applyBorder="1" applyAlignment="1">
      <alignment horizontal="center" vertical="center" wrapText="1"/>
    </xf>
    <xf numFmtId="0" fontId="13" fillId="0" borderId="7" xfId="2" applyFont="1" applyBorder="1" applyAlignment="1">
      <alignment vertical="center"/>
    </xf>
    <xf numFmtId="0" fontId="5" fillId="0" borderId="6" xfId="2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12" fillId="0" borderId="0" xfId="0" applyFont="1">
      <alignment vertical="center"/>
    </xf>
    <xf numFmtId="0" fontId="8" fillId="0" borderId="0" xfId="1" applyFont="1" applyAlignment="1">
      <alignment vertical="center"/>
    </xf>
    <xf numFmtId="0" fontId="9" fillId="0" borderId="5" xfId="1" applyFont="1" applyBorder="1" applyAlignment="1">
      <alignment vertical="center"/>
    </xf>
    <xf numFmtId="0" fontId="9" fillId="0" borderId="0" xfId="2" applyFont="1" applyAlignment="1">
      <alignment vertical="center" wrapText="1"/>
    </xf>
    <xf numFmtId="0" fontId="9" fillId="0" borderId="5" xfId="2" applyFont="1" applyBorder="1" applyAlignment="1">
      <alignment vertical="center" wrapText="1"/>
    </xf>
    <xf numFmtId="0" fontId="9" fillId="0" borderId="3" xfId="2" applyFont="1" applyBorder="1" applyAlignment="1">
      <alignment vertical="center" wrapText="1"/>
    </xf>
    <xf numFmtId="0" fontId="9" fillId="0" borderId="3" xfId="1" applyFont="1" applyBorder="1" applyAlignment="1">
      <alignment vertical="center"/>
    </xf>
    <xf numFmtId="0" fontId="9" fillId="0" borderId="7" xfId="4" applyFont="1" applyBorder="1" applyAlignment="1">
      <alignment vertical="center"/>
    </xf>
    <xf numFmtId="0" fontId="9" fillId="0" borderId="8" xfId="4" applyFont="1" applyBorder="1" applyAlignment="1">
      <alignment vertical="center"/>
    </xf>
    <xf numFmtId="0" fontId="9" fillId="0" borderId="6" xfId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9" fillId="0" borderId="3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9" fillId="0" borderId="5" xfId="1" applyFont="1" applyBorder="1" applyAlignment="1">
      <alignment vertical="center" wrapText="1"/>
    </xf>
    <xf numFmtId="0" fontId="9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vertical="center"/>
    </xf>
    <xf numFmtId="0" fontId="8" fillId="2" borderId="0" xfId="1" applyFont="1" applyFill="1" applyAlignment="1">
      <alignment horizontal="center" vertical="center"/>
    </xf>
    <xf numFmtId="178" fontId="8" fillId="2" borderId="0" xfId="1" applyNumberFormat="1" applyFont="1" applyFill="1" applyAlignment="1">
      <alignment horizontal="center" vertical="center"/>
    </xf>
    <xf numFmtId="178" fontId="8" fillId="2" borderId="5" xfId="1" applyNumberFormat="1" applyFont="1" applyFill="1" applyBorder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12" fillId="0" borderId="5" xfId="0" applyFont="1" applyBorder="1">
      <alignment vertical="center"/>
    </xf>
    <xf numFmtId="0" fontId="12" fillId="0" borderId="6" xfId="0" applyFont="1" applyBorder="1">
      <alignment vertical="center"/>
    </xf>
    <xf numFmtId="0" fontId="12" fillId="0" borderId="7" xfId="0" applyFont="1" applyBorder="1">
      <alignment vertical="center"/>
    </xf>
    <xf numFmtId="0" fontId="12" fillId="0" borderId="8" xfId="0" applyFont="1" applyBorder="1">
      <alignment vertical="center"/>
    </xf>
    <xf numFmtId="179" fontId="9" fillId="0" borderId="0" xfId="0" applyNumberFormat="1" applyFont="1" applyAlignment="1">
      <alignment horizontal="center" vertical="center" shrinkToFit="1"/>
    </xf>
    <xf numFmtId="180" fontId="9" fillId="0" borderId="0" xfId="0" applyNumberFormat="1" applyFont="1" applyAlignment="1">
      <alignment horizontal="center" vertical="center" wrapText="1" shrinkToFit="1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vertical="center" shrinkToFit="1"/>
    </xf>
    <xf numFmtId="179" fontId="8" fillId="2" borderId="0" xfId="1" applyNumberFormat="1" applyFont="1" applyFill="1" applyAlignment="1">
      <alignment horizontal="center" vertical="center"/>
    </xf>
    <xf numFmtId="176" fontId="10" fillId="0" borderId="3" xfId="0" applyNumberFormat="1" applyFont="1" applyBorder="1">
      <alignment vertical="center"/>
    </xf>
    <xf numFmtId="0" fontId="9" fillId="0" borderId="3" xfId="1" applyFont="1" applyBorder="1" applyAlignment="1">
      <alignment horizontal="left" vertical="center"/>
    </xf>
    <xf numFmtId="0" fontId="9" fillId="0" borderId="10" xfId="2" applyFont="1" applyBorder="1" applyAlignment="1">
      <alignment horizontal="left" vertical="center"/>
    </xf>
    <xf numFmtId="0" fontId="6" fillId="0" borderId="11" xfId="2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left" vertical="center"/>
    </xf>
    <xf numFmtId="176" fontId="9" fillId="0" borderId="7" xfId="0" applyNumberFormat="1" applyFont="1" applyBorder="1" applyAlignment="1">
      <alignment horizontal="left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176" fontId="9" fillId="0" borderId="8" xfId="0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</cellXfs>
  <cellStyles count="5">
    <cellStyle name="一般" xfId="0" builtinId="0"/>
    <cellStyle name="一般_OMRON" xfId="2" xr:uid="{00000000-0005-0000-0000-000032000000}"/>
    <cellStyle name="一般_OMRON海運出口" xfId="1" xr:uid="{00000000-0005-0000-0000-00001F000000}"/>
    <cellStyle name="常规_Sheet1_1" xfId="3" xr:uid="{00000000-0005-0000-0000-000033000000}"/>
    <cellStyle name="常规_啟德一般貿易" xfId="4" xr:uid="{00000000-0005-0000-0000-000034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60"/>
  <sheetViews>
    <sheetView tabSelected="1" zoomScaleNormal="100" workbookViewId="0">
      <selection activeCell="K27" sqref="K27"/>
    </sheetView>
  </sheetViews>
  <sheetFormatPr defaultColWidth="9" defaultRowHeight="20.25" customHeight="1"/>
  <cols>
    <col min="1" max="1" width="9" style="1"/>
    <col min="2" max="2" width="13.28515625" style="1" customWidth="1"/>
    <col min="3" max="3" width="17.7109375" style="1" bestFit="1" customWidth="1"/>
    <col min="4" max="4" width="17.42578125" style="1" customWidth="1"/>
    <col min="5" max="5" width="11.7109375" style="1" bestFit="1" customWidth="1"/>
    <col min="6" max="8" width="9" style="1"/>
    <col min="9" max="9" width="11.28515625" style="1" customWidth="1"/>
    <col min="10" max="10" width="10.140625" style="1" customWidth="1"/>
    <col min="11" max="11" width="15.85546875" style="1" customWidth="1"/>
    <col min="12" max="12" width="11.140625" style="1" customWidth="1"/>
    <col min="13" max="13" width="15.42578125" style="1" customWidth="1"/>
    <col min="14" max="14" width="20.140625" style="1" bestFit="1" customWidth="1"/>
    <col min="15" max="15" width="15.140625" style="1" customWidth="1"/>
    <col min="16" max="16" width="12.140625" style="1" customWidth="1"/>
    <col min="17" max="16384" width="9" style="1"/>
  </cols>
  <sheetData>
    <row r="1" spans="1:16" ht="20.25" customHeight="1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1:16" ht="20.25" customHeight="1">
      <c r="A2" s="2" t="s">
        <v>34</v>
      </c>
      <c r="B2" s="3"/>
      <c r="C2" s="4"/>
      <c r="D2" s="78"/>
      <c r="E2" s="2" t="s">
        <v>1</v>
      </c>
      <c r="F2" s="4"/>
      <c r="G2" s="4"/>
      <c r="H2" s="4"/>
      <c r="I2" s="4"/>
      <c r="J2" s="6"/>
      <c r="K2" s="6"/>
      <c r="L2" s="6"/>
      <c r="M2" s="6"/>
      <c r="N2" s="6"/>
      <c r="O2" s="6"/>
      <c r="P2" s="7"/>
    </row>
    <row r="3" spans="1:16" ht="20.25" customHeight="1">
      <c r="A3" s="49" t="s">
        <v>70</v>
      </c>
      <c r="B3" s="8"/>
      <c r="C3" s="4"/>
      <c r="D3" s="9"/>
      <c r="E3" s="31" t="s">
        <v>90</v>
      </c>
      <c r="F3" s="4"/>
      <c r="G3" s="10"/>
      <c r="H3" s="10"/>
      <c r="I3" s="4"/>
      <c r="J3" s="6"/>
      <c r="K3" s="6"/>
      <c r="L3" s="6"/>
      <c r="M3" s="6"/>
      <c r="N3" s="6"/>
      <c r="O3" s="6"/>
      <c r="P3" s="7"/>
    </row>
    <row r="4" spans="1:16" ht="20.25" customHeight="1">
      <c r="A4" s="49" t="s">
        <v>35</v>
      </c>
      <c r="B4" s="11"/>
      <c r="C4" s="11"/>
      <c r="D4" s="12"/>
      <c r="E4" s="107" t="s">
        <v>91</v>
      </c>
      <c r="F4" s="13"/>
      <c r="G4" s="13"/>
      <c r="H4" s="14"/>
      <c r="I4" s="4"/>
      <c r="J4" s="6"/>
      <c r="K4" s="6"/>
      <c r="L4" s="6"/>
      <c r="M4" s="6"/>
      <c r="N4" s="6"/>
      <c r="O4" s="6"/>
      <c r="P4" s="7"/>
    </row>
    <row r="5" spans="1:16" ht="20.25" customHeight="1">
      <c r="A5" s="15"/>
      <c r="B5" s="11"/>
      <c r="C5" s="11"/>
      <c r="D5" s="12"/>
      <c r="E5" s="16"/>
      <c r="F5" s="4"/>
      <c r="G5" s="4"/>
      <c r="H5" s="4"/>
      <c r="I5" s="4"/>
      <c r="J5" s="6"/>
      <c r="K5" s="6"/>
      <c r="L5" s="6"/>
      <c r="M5" s="6"/>
      <c r="N5" s="6"/>
      <c r="O5" s="6"/>
      <c r="P5" s="7"/>
    </row>
    <row r="6" spans="1:16" ht="20.25" customHeight="1">
      <c r="A6" s="17"/>
      <c r="B6" s="18"/>
      <c r="C6" s="19"/>
      <c r="D6" s="20"/>
      <c r="E6" s="21"/>
      <c r="F6" s="19"/>
      <c r="G6" s="19"/>
      <c r="H6" s="19"/>
      <c r="I6" s="19"/>
      <c r="J6" s="22"/>
      <c r="K6" s="22"/>
      <c r="L6" s="22"/>
      <c r="M6" s="22"/>
      <c r="N6" s="22"/>
      <c r="O6" s="22"/>
      <c r="P6" s="23"/>
    </row>
    <row r="7" spans="1:16" ht="20.25" customHeight="1">
      <c r="A7" s="24" t="s">
        <v>2</v>
      </c>
      <c r="B7" s="25"/>
      <c r="C7" s="26"/>
      <c r="D7" s="27"/>
      <c r="E7" s="24" t="s">
        <v>3</v>
      </c>
      <c r="F7" s="26"/>
      <c r="G7" s="26"/>
      <c r="H7" s="26"/>
      <c r="I7" s="26"/>
      <c r="J7" s="28"/>
      <c r="K7" s="6"/>
      <c r="L7" s="6"/>
      <c r="M7" s="6"/>
      <c r="N7" s="6"/>
      <c r="O7" s="6"/>
      <c r="P7" s="7"/>
    </row>
    <row r="8" spans="1:16" ht="20.25" customHeight="1">
      <c r="A8" s="108" t="s">
        <v>71</v>
      </c>
      <c r="B8" s="8"/>
      <c r="C8" s="29"/>
      <c r="D8" s="30"/>
      <c r="E8" s="16" t="s">
        <v>48</v>
      </c>
      <c r="F8" s="4"/>
      <c r="G8" s="4"/>
      <c r="H8" s="4"/>
      <c r="I8" s="4"/>
      <c r="J8" s="6"/>
      <c r="K8" s="6"/>
      <c r="L8" s="6"/>
      <c r="M8" s="6"/>
      <c r="N8" s="6"/>
      <c r="O8" s="6"/>
      <c r="P8" s="7"/>
    </row>
    <row r="9" spans="1:16" ht="20.25" customHeight="1">
      <c r="A9" s="15"/>
      <c r="B9" s="11"/>
      <c r="C9" s="11"/>
      <c r="D9" s="12"/>
      <c r="E9" s="16"/>
      <c r="F9" s="4"/>
      <c r="G9" s="4"/>
      <c r="H9" s="4"/>
      <c r="I9" s="4"/>
      <c r="J9" s="32"/>
      <c r="K9" s="32"/>
      <c r="L9" s="32"/>
      <c r="M9" s="32"/>
      <c r="N9" s="32"/>
      <c r="O9" s="32"/>
      <c r="P9" s="33"/>
    </row>
    <row r="10" spans="1:16" ht="20.25" customHeight="1">
      <c r="A10" s="34"/>
      <c r="B10" s="35"/>
      <c r="C10" s="35"/>
      <c r="D10" s="36"/>
      <c r="E10" s="16"/>
      <c r="F10" s="4"/>
      <c r="G10" s="4"/>
      <c r="H10" s="4"/>
      <c r="I10" s="4"/>
      <c r="J10" s="32"/>
      <c r="K10" s="32"/>
      <c r="L10" s="32"/>
      <c r="M10" s="32"/>
      <c r="N10" s="32"/>
      <c r="O10" s="32"/>
      <c r="P10" s="33"/>
    </row>
    <row r="11" spans="1:16" ht="20.25" customHeight="1">
      <c r="A11" s="24" t="s">
        <v>4</v>
      </c>
      <c r="B11" s="26"/>
      <c r="C11" s="26"/>
      <c r="D11" s="27"/>
      <c r="E11" s="24" t="s">
        <v>39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</row>
    <row r="12" spans="1:16" ht="20.25" customHeight="1">
      <c r="A12" s="108" t="s">
        <v>72</v>
      </c>
      <c r="B12" s="8"/>
      <c r="C12" s="8"/>
      <c r="D12" s="9"/>
      <c r="E12" s="49" t="s">
        <v>40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7"/>
    </row>
    <row r="13" spans="1:16" ht="20.25" customHeight="1">
      <c r="A13" s="108" t="s">
        <v>41</v>
      </c>
      <c r="B13" s="37"/>
      <c r="C13" s="37"/>
      <c r="D13" s="20"/>
      <c r="E13" s="16"/>
      <c r="F13" s="4"/>
      <c r="G13" s="4"/>
      <c r="H13" s="4"/>
      <c r="I13" s="64"/>
      <c r="J13" s="6"/>
      <c r="K13" s="6"/>
      <c r="L13" s="6"/>
      <c r="M13" s="6"/>
      <c r="N13" s="6"/>
      <c r="O13" s="6"/>
      <c r="P13" s="33"/>
    </row>
    <row r="14" spans="1:16" ht="20.25" customHeight="1">
      <c r="A14" s="24" t="s">
        <v>5</v>
      </c>
      <c r="B14" s="26"/>
      <c r="C14" s="24" t="s">
        <v>6</v>
      </c>
      <c r="D14" s="26"/>
      <c r="E14" s="24" t="s">
        <v>7</v>
      </c>
      <c r="F14" s="66"/>
      <c r="G14" s="66"/>
      <c r="H14" s="66"/>
      <c r="I14" s="26"/>
      <c r="J14" s="28"/>
      <c r="K14" s="28"/>
      <c r="L14" s="28"/>
      <c r="M14" s="28"/>
      <c r="N14" s="28"/>
      <c r="O14" s="28"/>
      <c r="P14" s="67"/>
    </row>
    <row r="15" spans="1:16" ht="20.25" customHeight="1">
      <c r="A15" s="49"/>
      <c r="B15" s="7"/>
      <c r="C15" s="49"/>
      <c r="D15" s="6"/>
      <c r="E15" s="16"/>
      <c r="F15" s="4"/>
      <c r="G15" s="4"/>
      <c r="H15" s="4"/>
      <c r="I15" s="4"/>
      <c r="J15" s="6"/>
      <c r="K15" s="6"/>
      <c r="L15" s="6"/>
      <c r="M15" s="6"/>
      <c r="N15" s="6"/>
      <c r="O15" s="6"/>
      <c r="P15" s="7"/>
    </row>
    <row r="16" spans="1:16" ht="20.25" customHeight="1">
      <c r="A16" s="39"/>
      <c r="B16" s="22"/>
      <c r="C16" s="39"/>
      <c r="D16" s="19"/>
      <c r="E16" s="16"/>
      <c r="F16" s="6"/>
      <c r="G16" s="4"/>
      <c r="H16" s="4"/>
      <c r="I16" s="4"/>
      <c r="J16" s="6"/>
      <c r="K16" s="6"/>
      <c r="L16" s="6"/>
      <c r="M16" s="6"/>
      <c r="N16" s="6"/>
      <c r="O16" s="6"/>
      <c r="P16" s="7"/>
    </row>
    <row r="17" spans="1:16" ht="20.25" customHeight="1">
      <c r="A17" s="24" t="s">
        <v>8</v>
      </c>
      <c r="B17" s="27"/>
      <c r="C17" s="2" t="s">
        <v>9</v>
      </c>
      <c r="D17" s="65"/>
      <c r="E17" s="16"/>
      <c r="F17" s="6"/>
      <c r="G17" s="4"/>
      <c r="H17" s="4"/>
      <c r="I17" s="4"/>
      <c r="J17" s="6"/>
      <c r="K17" s="6"/>
      <c r="L17" s="6"/>
      <c r="M17" s="6"/>
      <c r="N17" s="6"/>
      <c r="O17" s="6"/>
      <c r="P17" s="7"/>
    </row>
    <row r="18" spans="1:16" ht="20.25" customHeight="1">
      <c r="A18" s="41"/>
      <c r="B18" s="42"/>
      <c r="C18" s="111"/>
      <c r="D18" s="112"/>
      <c r="E18" s="73" t="s">
        <v>60</v>
      </c>
      <c r="F18" s="72" t="s">
        <v>59</v>
      </c>
      <c r="G18" s="19"/>
      <c r="H18" s="19"/>
      <c r="I18" s="19"/>
      <c r="J18" s="22"/>
      <c r="K18" s="22"/>
      <c r="L18" s="22"/>
      <c r="M18" s="22"/>
      <c r="N18" s="22"/>
      <c r="O18" s="22"/>
      <c r="P18" s="68"/>
    </row>
    <row r="19" spans="1:16" ht="30.75" customHeight="1">
      <c r="A19" s="60" t="s">
        <v>10</v>
      </c>
      <c r="B19" s="61" t="s">
        <v>11</v>
      </c>
      <c r="C19" s="61" t="s">
        <v>12</v>
      </c>
      <c r="D19" s="62" t="s">
        <v>13</v>
      </c>
      <c r="E19" s="61" t="s">
        <v>14</v>
      </c>
      <c r="F19" s="61" t="s">
        <v>15</v>
      </c>
      <c r="G19" s="61" t="s">
        <v>16</v>
      </c>
      <c r="H19" s="61" t="s">
        <v>17</v>
      </c>
      <c r="I19" s="61" t="s">
        <v>18</v>
      </c>
      <c r="J19" s="63" t="s">
        <v>19</v>
      </c>
      <c r="K19" s="63" t="s">
        <v>20</v>
      </c>
      <c r="L19" s="63" t="s">
        <v>36</v>
      </c>
      <c r="M19" s="63" t="s">
        <v>37</v>
      </c>
      <c r="N19" s="63" t="s">
        <v>38</v>
      </c>
      <c r="O19" s="71" t="s">
        <v>58</v>
      </c>
      <c r="P19" s="74" t="s">
        <v>61</v>
      </c>
    </row>
    <row r="20" spans="1:16" ht="20.25" customHeight="1">
      <c r="A20" s="56">
        <v>1</v>
      </c>
      <c r="B20" s="57" t="s">
        <v>92</v>
      </c>
      <c r="C20" s="57">
        <v>2250500266</v>
      </c>
      <c r="D20" s="57"/>
      <c r="E20" s="57">
        <v>9000</v>
      </c>
      <c r="F20" s="69" t="s">
        <v>21</v>
      </c>
      <c r="G20" s="70">
        <v>1.2699999999999999E-2</v>
      </c>
      <c r="H20" s="57" t="s">
        <v>22</v>
      </c>
      <c r="I20" s="58">
        <f t="shared" ref="I20:I59" si="0">ROUND(E20*G20,2)</f>
        <v>114.3</v>
      </c>
      <c r="J20" s="57" t="s">
        <v>42</v>
      </c>
      <c r="K20" s="57" t="s">
        <v>42</v>
      </c>
      <c r="L20" s="57" t="s">
        <v>105</v>
      </c>
      <c r="M20" s="57" t="s">
        <v>43</v>
      </c>
      <c r="N20" s="57" t="s">
        <v>107</v>
      </c>
      <c r="O20" s="57" t="s">
        <v>118</v>
      </c>
      <c r="P20" s="59">
        <v>93638402</v>
      </c>
    </row>
    <row r="21" spans="1:16" ht="20.25" customHeight="1">
      <c r="A21" s="56">
        <v>2</v>
      </c>
      <c r="B21" s="57" t="s">
        <v>93</v>
      </c>
      <c r="C21" s="57">
        <v>2250500266</v>
      </c>
      <c r="D21" s="57"/>
      <c r="E21" s="57">
        <v>9000</v>
      </c>
      <c r="F21" s="69" t="s">
        <v>21</v>
      </c>
      <c r="G21" s="70">
        <v>1.375E-2</v>
      </c>
      <c r="H21" s="57" t="s">
        <v>22</v>
      </c>
      <c r="I21" s="58">
        <f t="shared" si="0"/>
        <v>123.75</v>
      </c>
      <c r="J21" s="57" t="s">
        <v>42</v>
      </c>
      <c r="K21" s="57" t="s">
        <v>42</v>
      </c>
      <c r="L21" s="57" t="s">
        <v>105</v>
      </c>
      <c r="M21" s="57" t="s">
        <v>43</v>
      </c>
      <c r="N21" s="57" t="s">
        <v>108</v>
      </c>
      <c r="O21" s="57" t="s">
        <v>119</v>
      </c>
      <c r="P21" s="59">
        <v>93638590</v>
      </c>
    </row>
    <row r="22" spans="1:16" ht="20.25" customHeight="1">
      <c r="A22" s="56">
        <v>3</v>
      </c>
      <c r="B22" s="57" t="s">
        <v>94</v>
      </c>
      <c r="C22" s="57">
        <v>2250703819</v>
      </c>
      <c r="D22" s="57"/>
      <c r="E22" s="57">
        <v>5880</v>
      </c>
      <c r="F22" s="69" t="s">
        <v>21</v>
      </c>
      <c r="G22" s="70">
        <v>0.38</v>
      </c>
      <c r="H22" s="57" t="s">
        <v>22</v>
      </c>
      <c r="I22" s="58">
        <f t="shared" si="0"/>
        <v>2234.4</v>
      </c>
      <c r="J22" s="57" t="s">
        <v>42</v>
      </c>
      <c r="K22" s="57" t="s">
        <v>135</v>
      </c>
      <c r="L22" s="57" t="s">
        <v>73</v>
      </c>
      <c r="M22" s="57" t="s">
        <v>43</v>
      </c>
      <c r="N22" s="57" t="s">
        <v>109</v>
      </c>
      <c r="O22" s="57" t="s">
        <v>74</v>
      </c>
      <c r="P22" s="59">
        <v>93638246</v>
      </c>
    </row>
    <row r="23" spans="1:16" ht="20.25" customHeight="1">
      <c r="A23" s="56">
        <v>4</v>
      </c>
      <c r="B23" s="57" t="s">
        <v>49</v>
      </c>
      <c r="C23" s="57">
        <v>2250304100</v>
      </c>
      <c r="D23" s="57"/>
      <c r="E23" s="57">
        <v>26000</v>
      </c>
      <c r="F23" s="69" t="s">
        <v>21</v>
      </c>
      <c r="G23" s="70">
        <v>0.16</v>
      </c>
      <c r="H23" s="57" t="s">
        <v>22</v>
      </c>
      <c r="I23" s="58">
        <f t="shared" si="0"/>
        <v>4160</v>
      </c>
      <c r="J23" s="57" t="s">
        <v>42</v>
      </c>
      <c r="K23" s="57" t="s">
        <v>62</v>
      </c>
      <c r="L23" s="57" t="s">
        <v>54</v>
      </c>
      <c r="M23" s="57" t="s">
        <v>43</v>
      </c>
      <c r="N23" s="57" t="s">
        <v>55</v>
      </c>
      <c r="O23" s="57" t="s">
        <v>77</v>
      </c>
      <c r="P23" s="59">
        <v>93638699</v>
      </c>
    </row>
    <row r="24" spans="1:16" ht="20.25" customHeight="1">
      <c r="A24" s="56">
        <v>5</v>
      </c>
      <c r="B24" s="57" t="s">
        <v>49</v>
      </c>
      <c r="C24" s="57">
        <v>2250303696</v>
      </c>
      <c r="D24" s="57"/>
      <c r="E24" s="57">
        <v>1000</v>
      </c>
      <c r="F24" s="69" t="s">
        <v>21</v>
      </c>
      <c r="G24" s="70">
        <v>0.16</v>
      </c>
      <c r="H24" s="57" t="s">
        <v>22</v>
      </c>
      <c r="I24" s="58">
        <f t="shared" si="0"/>
        <v>160</v>
      </c>
      <c r="J24" s="57" t="s">
        <v>42</v>
      </c>
      <c r="K24" s="57" t="s">
        <v>62</v>
      </c>
      <c r="L24" s="57" t="s">
        <v>54</v>
      </c>
      <c r="M24" s="57" t="s">
        <v>43</v>
      </c>
      <c r="N24" s="57" t="s">
        <v>55</v>
      </c>
      <c r="O24" s="57" t="s">
        <v>77</v>
      </c>
      <c r="P24" s="59">
        <v>93638699</v>
      </c>
    </row>
    <row r="25" spans="1:16" ht="20.25" customHeight="1">
      <c r="A25" s="56">
        <v>6</v>
      </c>
      <c r="B25" s="57" t="s">
        <v>49</v>
      </c>
      <c r="C25" s="57">
        <v>2250303696</v>
      </c>
      <c r="D25" s="57"/>
      <c r="E25" s="57">
        <v>9000</v>
      </c>
      <c r="F25" s="69" t="s">
        <v>21</v>
      </c>
      <c r="G25" s="70">
        <v>0.16</v>
      </c>
      <c r="H25" s="57" t="s">
        <v>22</v>
      </c>
      <c r="I25" s="58">
        <f t="shared" si="0"/>
        <v>1440</v>
      </c>
      <c r="J25" s="57" t="s">
        <v>42</v>
      </c>
      <c r="K25" s="57" t="s">
        <v>62</v>
      </c>
      <c r="L25" s="57" t="s">
        <v>54</v>
      </c>
      <c r="M25" s="57" t="s">
        <v>43</v>
      </c>
      <c r="N25" s="57" t="s">
        <v>55</v>
      </c>
      <c r="O25" s="57" t="s">
        <v>77</v>
      </c>
      <c r="P25" s="59">
        <v>93638699</v>
      </c>
    </row>
    <row r="26" spans="1:16" ht="20.25" customHeight="1">
      <c r="A26" s="56">
        <v>7</v>
      </c>
      <c r="B26" s="57" t="s">
        <v>81</v>
      </c>
      <c r="C26" s="57">
        <v>2250400578</v>
      </c>
      <c r="D26" s="57"/>
      <c r="E26" s="57">
        <v>12000</v>
      </c>
      <c r="F26" s="69" t="s">
        <v>21</v>
      </c>
      <c r="G26" s="70">
        <v>0.65</v>
      </c>
      <c r="H26" s="57" t="s">
        <v>22</v>
      </c>
      <c r="I26" s="58">
        <f t="shared" si="0"/>
        <v>7800</v>
      </c>
      <c r="J26" s="57" t="s">
        <v>42</v>
      </c>
      <c r="K26" s="57" t="s">
        <v>62</v>
      </c>
      <c r="L26" s="57" t="s">
        <v>54</v>
      </c>
      <c r="M26" s="57" t="s">
        <v>43</v>
      </c>
      <c r="N26" s="57" t="s">
        <v>85</v>
      </c>
      <c r="O26" s="57" t="s">
        <v>88</v>
      </c>
      <c r="P26" s="59">
        <v>93638778</v>
      </c>
    </row>
    <row r="27" spans="1:16" ht="20.25" customHeight="1">
      <c r="A27" s="56">
        <v>8</v>
      </c>
      <c r="B27" s="57" t="s">
        <v>81</v>
      </c>
      <c r="C27" s="57">
        <v>2250400578</v>
      </c>
      <c r="D27" s="57"/>
      <c r="E27" s="57">
        <v>15000</v>
      </c>
      <c r="F27" s="69" t="s">
        <v>21</v>
      </c>
      <c r="G27" s="70">
        <v>0.65</v>
      </c>
      <c r="H27" s="57" t="s">
        <v>22</v>
      </c>
      <c r="I27" s="58">
        <f t="shared" si="0"/>
        <v>9750</v>
      </c>
      <c r="J27" s="57" t="s">
        <v>42</v>
      </c>
      <c r="K27" s="57" t="s">
        <v>62</v>
      </c>
      <c r="L27" s="57" t="s">
        <v>54</v>
      </c>
      <c r="M27" s="57" t="s">
        <v>43</v>
      </c>
      <c r="N27" s="57" t="s">
        <v>85</v>
      </c>
      <c r="O27" s="57" t="s">
        <v>88</v>
      </c>
      <c r="P27" s="59">
        <v>93638778</v>
      </c>
    </row>
    <row r="28" spans="1:16" ht="20.25" customHeight="1">
      <c r="A28" s="56">
        <v>9</v>
      </c>
      <c r="B28" s="57" t="s">
        <v>81</v>
      </c>
      <c r="C28" s="57">
        <v>2250400578</v>
      </c>
      <c r="D28" s="57"/>
      <c r="E28" s="57">
        <v>12000</v>
      </c>
      <c r="F28" s="69" t="s">
        <v>21</v>
      </c>
      <c r="G28" s="70">
        <v>0.65</v>
      </c>
      <c r="H28" s="57" t="s">
        <v>22</v>
      </c>
      <c r="I28" s="58">
        <f t="shared" si="0"/>
        <v>7800</v>
      </c>
      <c r="J28" s="57" t="s">
        <v>42</v>
      </c>
      <c r="K28" s="57" t="s">
        <v>62</v>
      </c>
      <c r="L28" s="57" t="s">
        <v>54</v>
      </c>
      <c r="M28" s="57" t="s">
        <v>43</v>
      </c>
      <c r="N28" s="57" t="s">
        <v>85</v>
      </c>
      <c r="O28" s="57" t="s">
        <v>88</v>
      </c>
      <c r="P28" s="59">
        <v>93638778</v>
      </c>
    </row>
    <row r="29" spans="1:16" ht="20.25" customHeight="1">
      <c r="A29" s="56">
        <v>10</v>
      </c>
      <c r="B29" s="57" t="s">
        <v>95</v>
      </c>
      <c r="C29" s="57">
        <v>2250201266</v>
      </c>
      <c r="D29" s="57"/>
      <c r="E29" s="57">
        <v>32500</v>
      </c>
      <c r="F29" s="69" t="s">
        <v>21</v>
      </c>
      <c r="G29" s="70">
        <v>0.4</v>
      </c>
      <c r="H29" s="57" t="s">
        <v>22</v>
      </c>
      <c r="I29" s="58">
        <f t="shared" si="0"/>
        <v>13000</v>
      </c>
      <c r="J29" s="57" t="s">
        <v>53</v>
      </c>
      <c r="K29" s="57" t="s">
        <v>62</v>
      </c>
      <c r="L29" s="57" t="s">
        <v>54</v>
      </c>
      <c r="M29" s="57" t="s">
        <v>43</v>
      </c>
      <c r="N29" s="57" t="s">
        <v>110</v>
      </c>
      <c r="O29" s="57" t="s">
        <v>120</v>
      </c>
      <c r="P29" s="59">
        <v>93638758</v>
      </c>
    </row>
    <row r="30" spans="1:16" ht="20.25" customHeight="1">
      <c r="A30" s="56">
        <v>11</v>
      </c>
      <c r="B30" s="57" t="s">
        <v>96</v>
      </c>
      <c r="C30" s="57">
        <v>2250201979</v>
      </c>
      <c r="D30" s="57"/>
      <c r="E30" s="57">
        <v>32000</v>
      </c>
      <c r="F30" s="69" t="s">
        <v>21</v>
      </c>
      <c r="G30" s="70">
        <v>0.42</v>
      </c>
      <c r="H30" s="57" t="s">
        <v>22</v>
      </c>
      <c r="I30" s="58">
        <f t="shared" si="0"/>
        <v>13440</v>
      </c>
      <c r="J30" s="57" t="s">
        <v>53</v>
      </c>
      <c r="K30" s="57" t="s">
        <v>136</v>
      </c>
      <c r="L30" s="57" t="s">
        <v>54</v>
      </c>
      <c r="M30" s="57" t="s">
        <v>43</v>
      </c>
      <c r="N30" s="57" t="s">
        <v>137</v>
      </c>
      <c r="O30" s="57" t="s">
        <v>121</v>
      </c>
      <c r="P30" s="59">
        <v>93638594</v>
      </c>
    </row>
    <row r="31" spans="1:16" ht="20.25" customHeight="1">
      <c r="A31" s="56">
        <v>12</v>
      </c>
      <c r="B31" s="57" t="s">
        <v>78</v>
      </c>
      <c r="C31" s="57">
        <v>2250201024</v>
      </c>
      <c r="D31" s="57"/>
      <c r="E31" s="57">
        <v>3000</v>
      </c>
      <c r="F31" s="69" t="s">
        <v>21</v>
      </c>
      <c r="G31" s="70">
        <v>1.0900000000000001</v>
      </c>
      <c r="H31" s="57" t="s">
        <v>22</v>
      </c>
      <c r="I31" s="58">
        <f t="shared" si="0"/>
        <v>3270</v>
      </c>
      <c r="J31" s="57" t="s">
        <v>52</v>
      </c>
      <c r="K31" s="57" t="s">
        <v>134</v>
      </c>
      <c r="L31" s="57" t="s">
        <v>82</v>
      </c>
      <c r="M31" s="57" t="s">
        <v>43</v>
      </c>
      <c r="N31" s="57" t="s">
        <v>83</v>
      </c>
      <c r="O31" s="57" t="s">
        <v>87</v>
      </c>
      <c r="P31" s="59">
        <v>93638536</v>
      </c>
    </row>
    <row r="32" spans="1:16" ht="20.25" customHeight="1">
      <c r="A32" s="56">
        <v>13</v>
      </c>
      <c r="B32" s="57" t="s">
        <v>78</v>
      </c>
      <c r="C32" s="57">
        <v>2250201265</v>
      </c>
      <c r="D32" s="57"/>
      <c r="E32" s="57">
        <v>12000</v>
      </c>
      <c r="F32" s="69" t="s">
        <v>21</v>
      </c>
      <c r="G32" s="70">
        <v>1.0900000000000001</v>
      </c>
      <c r="H32" s="57" t="s">
        <v>22</v>
      </c>
      <c r="I32" s="58">
        <f t="shared" si="0"/>
        <v>13080</v>
      </c>
      <c r="J32" s="57" t="s">
        <v>52</v>
      </c>
      <c r="K32" s="57" t="s">
        <v>134</v>
      </c>
      <c r="L32" s="57" t="s">
        <v>82</v>
      </c>
      <c r="M32" s="57" t="s">
        <v>43</v>
      </c>
      <c r="N32" s="57" t="s">
        <v>83</v>
      </c>
      <c r="O32" s="57" t="s">
        <v>87</v>
      </c>
      <c r="P32" s="59">
        <v>93638536</v>
      </c>
    </row>
    <row r="33" spans="1:16" ht="20.25" customHeight="1">
      <c r="A33" s="56">
        <v>14</v>
      </c>
      <c r="B33" s="57" t="s">
        <v>78</v>
      </c>
      <c r="C33" s="57">
        <v>2250201265</v>
      </c>
      <c r="D33" s="57"/>
      <c r="E33" s="57">
        <v>3000</v>
      </c>
      <c r="F33" s="69" t="s">
        <v>21</v>
      </c>
      <c r="G33" s="70">
        <v>1.0900000000000001</v>
      </c>
      <c r="H33" s="57" t="s">
        <v>22</v>
      </c>
      <c r="I33" s="58">
        <f t="shared" si="0"/>
        <v>3270</v>
      </c>
      <c r="J33" s="57" t="s">
        <v>52</v>
      </c>
      <c r="K33" s="57" t="s">
        <v>134</v>
      </c>
      <c r="L33" s="57" t="s">
        <v>82</v>
      </c>
      <c r="M33" s="57" t="s">
        <v>43</v>
      </c>
      <c r="N33" s="57" t="s">
        <v>83</v>
      </c>
      <c r="O33" s="57" t="s">
        <v>87</v>
      </c>
      <c r="P33" s="59">
        <v>93638536</v>
      </c>
    </row>
    <row r="34" spans="1:16" ht="20.25" customHeight="1">
      <c r="A34" s="56">
        <v>15</v>
      </c>
      <c r="B34" s="57" t="s">
        <v>78</v>
      </c>
      <c r="C34" s="57">
        <v>2250201265</v>
      </c>
      <c r="D34" s="57"/>
      <c r="E34" s="57">
        <v>9000</v>
      </c>
      <c r="F34" s="69" t="s">
        <v>21</v>
      </c>
      <c r="G34" s="70">
        <v>1.0900000000000001</v>
      </c>
      <c r="H34" s="57" t="s">
        <v>22</v>
      </c>
      <c r="I34" s="58">
        <f t="shared" si="0"/>
        <v>9810</v>
      </c>
      <c r="J34" s="57" t="s">
        <v>52</v>
      </c>
      <c r="K34" s="57" t="s">
        <v>134</v>
      </c>
      <c r="L34" s="57" t="s">
        <v>82</v>
      </c>
      <c r="M34" s="57" t="s">
        <v>43</v>
      </c>
      <c r="N34" s="57" t="s">
        <v>83</v>
      </c>
      <c r="O34" s="57" t="s">
        <v>87</v>
      </c>
      <c r="P34" s="59">
        <v>93638536</v>
      </c>
    </row>
    <row r="35" spans="1:16" ht="20.25" customHeight="1">
      <c r="A35" s="56">
        <v>16</v>
      </c>
      <c r="B35" s="57" t="s">
        <v>97</v>
      </c>
      <c r="C35" s="57">
        <v>2250600798</v>
      </c>
      <c r="D35" s="57"/>
      <c r="E35" s="57">
        <v>6000</v>
      </c>
      <c r="F35" s="69" t="s">
        <v>21</v>
      </c>
      <c r="G35" s="70">
        <v>1.0900000000000001</v>
      </c>
      <c r="H35" s="57" t="s">
        <v>22</v>
      </c>
      <c r="I35" s="58">
        <f t="shared" si="0"/>
        <v>6540</v>
      </c>
      <c r="J35" s="57" t="s">
        <v>52</v>
      </c>
      <c r="K35" s="57" t="s">
        <v>134</v>
      </c>
      <c r="L35" s="57" t="s">
        <v>82</v>
      </c>
      <c r="M35" s="57" t="s">
        <v>43</v>
      </c>
      <c r="N35" s="57" t="s">
        <v>83</v>
      </c>
      <c r="O35" s="57" t="s">
        <v>87</v>
      </c>
      <c r="P35" s="59">
        <v>93638536</v>
      </c>
    </row>
    <row r="36" spans="1:16" ht="20.25" customHeight="1">
      <c r="A36" s="56">
        <v>17</v>
      </c>
      <c r="B36" s="57" t="s">
        <v>98</v>
      </c>
      <c r="C36" s="57">
        <v>2250202632</v>
      </c>
      <c r="D36" s="57"/>
      <c r="E36" s="57">
        <v>4500</v>
      </c>
      <c r="F36" s="69" t="s">
        <v>21</v>
      </c>
      <c r="G36" s="70">
        <v>1.1000000000000001</v>
      </c>
      <c r="H36" s="57" t="s">
        <v>22</v>
      </c>
      <c r="I36" s="58">
        <f t="shared" si="0"/>
        <v>4950</v>
      </c>
      <c r="J36" s="57" t="s">
        <v>53</v>
      </c>
      <c r="K36" s="57" t="s">
        <v>62</v>
      </c>
      <c r="L36" s="57" t="s">
        <v>54</v>
      </c>
      <c r="M36" s="57" t="s">
        <v>43</v>
      </c>
      <c r="N36" s="57" t="s">
        <v>111</v>
      </c>
      <c r="O36" s="57" t="s">
        <v>122</v>
      </c>
      <c r="P36" s="59">
        <v>93638752</v>
      </c>
    </row>
    <row r="37" spans="1:16" ht="20.25" customHeight="1">
      <c r="A37" s="56">
        <v>18</v>
      </c>
      <c r="B37" s="57" t="s">
        <v>98</v>
      </c>
      <c r="C37" s="57">
        <v>2250202632</v>
      </c>
      <c r="D37" s="57"/>
      <c r="E37" s="57">
        <v>22500</v>
      </c>
      <c r="F37" s="69" t="s">
        <v>21</v>
      </c>
      <c r="G37" s="70">
        <v>1.1000000000000001</v>
      </c>
      <c r="H37" s="57" t="s">
        <v>22</v>
      </c>
      <c r="I37" s="58">
        <f t="shared" si="0"/>
        <v>24750</v>
      </c>
      <c r="J37" s="57" t="s">
        <v>53</v>
      </c>
      <c r="K37" s="57" t="s">
        <v>62</v>
      </c>
      <c r="L37" s="57" t="s">
        <v>54</v>
      </c>
      <c r="M37" s="57" t="s">
        <v>43</v>
      </c>
      <c r="N37" s="57" t="s">
        <v>111</v>
      </c>
      <c r="O37" s="57" t="s">
        <v>122</v>
      </c>
      <c r="P37" s="59">
        <v>93638752</v>
      </c>
    </row>
    <row r="38" spans="1:16" ht="20.25" customHeight="1">
      <c r="A38" s="56">
        <v>19</v>
      </c>
      <c r="B38" s="57" t="s">
        <v>98</v>
      </c>
      <c r="C38" s="57">
        <v>2250202632</v>
      </c>
      <c r="D38" s="57"/>
      <c r="E38" s="57">
        <v>4500</v>
      </c>
      <c r="F38" s="69" t="s">
        <v>21</v>
      </c>
      <c r="G38" s="70">
        <v>1.1000000000000001</v>
      </c>
      <c r="H38" s="57" t="s">
        <v>22</v>
      </c>
      <c r="I38" s="58">
        <f t="shared" si="0"/>
        <v>4950</v>
      </c>
      <c r="J38" s="57" t="s">
        <v>53</v>
      </c>
      <c r="K38" s="57" t="s">
        <v>62</v>
      </c>
      <c r="L38" s="57" t="s">
        <v>54</v>
      </c>
      <c r="M38" s="57" t="s">
        <v>43</v>
      </c>
      <c r="N38" s="57" t="s">
        <v>111</v>
      </c>
      <c r="O38" s="57" t="s">
        <v>122</v>
      </c>
      <c r="P38" s="59">
        <v>93638752</v>
      </c>
    </row>
    <row r="39" spans="1:16" ht="20.25" customHeight="1">
      <c r="A39" s="56">
        <v>20</v>
      </c>
      <c r="B39" s="57" t="s">
        <v>99</v>
      </c>
      <c r="C39" s="57">
        <v>2250702384</v>
      </c>
      <c r="D39" s="57"/>
      <c r="E39" s="57">
        <v>4500</v>
      </c>
      <c r="F39" s="69" t="s">
        <v>21</v>
      </c>
      <c r="G39" s="70">
        <v>1.1000000000000001</v>
      </c>
      <c r="H39" s="57" t="s">
        <v>22</v>
      </c>
      <c r="I39" s="58">
        <f t="shared" si="0"/>
        <v>4950</v>
      </c>
      <c r="J39" s="57" t="s">
        <v>53</v>
      </c>
      <c r="K39" s="57" t="s">
        <v>62</v>
      </c>
      <c r="L39" s="57" t="s">
        <v>54</v>
      </c>
      <c r="M39" s="57" t="s">
        <v>43</v>
      </c>
      <c r="N39" s="57" t="s">
        <v>112</v>
      </c>
      <c r="O39" s="57" t="s">
        <v>123</v>
      </c>
      <c r="P39" s="59">
        <v>93638777</v>
      </c>
    </row>
    <row r="40" spans="1:16" ht="20.25" customHeight="1">
      <c r="A40" s="56">
        <v>21</v>
      </c>
      <c r="B40" s="57" t="s">
        <v>100</v>
      </c>
      <c r="C40" s="57">
        <v>2250600418</v>
      </c>
      <c r="D40" s="57"/>
      <c r="E40" s="57">
        <v>6500</v>
      </c>
      <c r="F40" s="69" t="s">
        <v>21</v>
      </c>
      <c r="G40" s="70">
        <v>0.82499999999999996</v>
      </c>
      <c r="H40" s="57" t="s">
        <v>22</v>
      </c>
      <c r="I40" s="58">
        <f t="shared" si="0"/>
        <v>5362.5</v>
      </c>
      <c r="J40" s="57" t="s">
        <v>53</v>
      </c>
      <c r="K40" s="57" t="s">
        <v>62</v>
      </c>
      <c r="L40" s="57" t="s">
        <v>54</v>
      </c>
      <c r="M40" s="57" t="s">
        <v>43</v>
      </c>
      <c r="N40" s="57" t="s">
        <v>113</v>
      </c>
      <c r="O40" s="57" t="s">
        <v>86</v>
      </c>
      <c r="P40" s="59">
        <v>93638688</v>
      </c>
    </row>
    <row r="41" spans="1:16" ht="20.25" customHeight="1">
      <c r="A41" s="56">
        <v>22</v>
      </c>
      <c r="B41" s="57" t="s">
        <v>101</v>
      </c>
      <c r="C41" s="57">
        <v>2250302722</v>
      </c>
      <c r="D41" s="57"/>
      <c r="E41" s="57">
        <v>4500</v>
      </c>
      <c r="F41" s="69" t="s">
        <v>21</v>
      </c>
      <c r="G41" s="70">
        <v>0.98</v>
      </c>
      <c r="H41" s="57" t="s">
        <v>22</v>
      </c>
      <c r="I41" s="58">
        <f t="shared" si="0"/>
        <v>4410</v>
      </c>
      <c r="J41" s="57" t="s">
        <v>53</v>
      </c>
      <c r="K41" s="57" t="s">
        <v>62</v>
      </c>
      <c r="L41" s="57" t="s">
        <v>54</v>
      </c>
      <c r="M41" s="57" t="s">
        <v>43</v>
      </c>
      <c r="N41" s="57" t="s">
        <v>114</v>
      </c>
      <c r="O41" s="57" t="s">
        <v>124</v>
      </c>
      <c r="P41" s="59">
        <v>93638742</v>
      </c>
    </row>
    <row r="42" spans="1:16" ht="20.25" customHeight="1">
      <c r="A42" s="56">
        <v>23</v>
      </c>
      <c r="B42" s="57" t="s">
        <v>102</v>
      </c>
      <c r="C42" s="57">
        <v>2250201266</v>
      </c>
      <c r="D42" s="57"/>
      <c r="E42" s="57">
        <v>22500</v>
      </c>
      <c r="F42" s="69" t="s">
        <v>21</v>
      </c>
      <c r="G42" s="70">
        <v>0.85</v>
      </c>
      <c r="H42" s="57" t="s">
        <v>22</v>
      </c>
      <c r="I42" s="58">
        <f t="shared" si="0"/>
        <v>19125</v>
      </c>
      <c r="J42" s="57" t="s">
        <v>53</v>
      </c>
      <c r="K42" s="57" t="s">
        <v>62</v>
      </c>
      <c r="L42" s="57" t="s">
        <v>54</v>
      </c>
      <c r="M42" s="57" t="s">
        <v>43</v>
      </c>
      <c r="N42" s="57" t="s">
        <v>115</v>
      </c>
      <c r="O42" s="57" t="s">
        <v>122</v>
      </c>
      <c r="P42" s="59">
        <v>93638769</v>
      </c>
    </row>
    <row r="43" spans="1:16" ht="20.25" customHeight="1">
      <c r="A43" s="56">
        <v>24</v>
      </c>
      <c r="B43" s="57" t="s">
        <v>102</v>
      </c>
      <c r="C43" s="57">
        <v>2250201266</v>
      </c>
      <c r="D43" s="57"/>
      <c r="E43" s="57">
        <v>9000</v>
      </c>
      <c r="F43" s="69" t="s">
        <v>21</v>
      </c>
      <c r="G43" s="70">
        <v>0.85</v>
      </c>
      <c r="H43" s="57" t="s">
        <v>22</v>
      </c>
      <c r="I43" s="58">
        <f t="shared" si="0"/>
        <v>7650</v>
      </c>
      <c r="J43" s="57" t="s">
        <v>53</v>
      </c>
      <c r="K43" s="57" t="s">
        <v>62</v>
      </c>
      <c r="L43" s="57" t="s">
        <v>54</v>
      </c>
      <c r="M43" s="57" t="s">
        <v>43</v>
      </c>
      <c r="N43" s="57" t="s">
        <v>115</v>
      </c>
      <c r="O43" s="57" t="s">
        <v>122</v>
      </c>
      <c r="P43" s="59">
        <v>93638769</v>
      </c>
    </row>
    <row r="44" spans="1:16" ht="20.25" customHeight="1">
      <c r="A44" s="56">
        <v>25</v>
      </c>
      <c r="B44" s="57" t="s">
        <v>103</v>
      </c>
      <c r="C44" s="57">
        <v>2250201979</v>
      </c>
      <c r="D44" s="57"/>
      <c r="E44" s="57">
        <v>16000</v>
      </c>
      <c r="F44" s="69" t="s">
        <v>21</v>
      </c>
      <c r="G44" s="70">
        <v>0.4</v>
      </c>
      <c r="H44" s="57" t="s">
        <v>22</v>
      </c>
      <c r="I44" s="58">
        <f t="shared" si="0"/>
        <v>6400</v>
      </c>
      <c r="J44" s="57" t="s">
        <v>53</v>
      </c>
      <c r="K44" s="57" t="s">
        <v>136</v>
      </c>
      <c r="L44" s="57" t="s">
        <v>54</v>
      </c>
      <c r="M44" s="57" t="s">
        <v>43</v>
      </c>
      <c r="N44" s="57" t="s">
        <v>138</v>
      </c>
      <c r="O44" s="57" t="s">
        <v>125</v>
      </c>
      <c r="P44" s="59">
        <v>93638598</v>
      </c>
    </row>
    <row r="45" spans="1:16" ht="20.25" customHeight="1">
      <c r="A45" s="56">
        <v>26</v>
      </c>
      <c r="B45" s="57" t="s">
        <v>103</v>
      </c>
      <c r="C45" s="57">
        <v>2250201979</v>
      </c>
      <c r="D45" s="57"/>
      <c r="E45" s="57">
        <v>16000</v>
      </c>
      <c r="F45" s="69" t="s">
        <v>21</v>
      </c>
      <c r="G45" s="70">
        <v>0.4</v>
      </c>
      <c r="H45" s="57" t="s">
        <v>22</v>
      </c>
      <c r="I45" s="58">
        <f t="shared" si="0"/>
        <v>6400</v>
      </c>
      <c r="J45" s="57" t="s">
        <v>53</v>
      </c>
      <c r="K45" s="57" t="s">
        <v>136</v>
      </c>
      <c r="L45" s="57" t="s">
        <v>54</v>
      </c>
      <c r="M45" s="57" t="s">
        <v>43</v>
      </c>
      <c r="N45" s="57" t="s">
        <v>116</v>
      </c>
      <c r="O45" s="57" t="s">
        <v>125</v>
      </c>
      <c r="P45" s="59">
        <v>93638598</v>
      </c>
    </row>
    <row r="46" spans="1:16" ht="20.25" customHeight="1">
      <c r="A46" s="56">
        <v>27</v>
      </c>
      <c r="B46" s="57" t="s">
        <v>51</v>
      </c>
      <c r="C46" s="57">
        <v>2250500066</v>
      </c>
      <c r="D46" s="57"/>
      <c r="E46" s="57">
        <v>12000</v>
      </c>
      <c r="F46" s="69" t="s">
        <v>21</v>
      </c>
      <c r="G46" s="70">
        <v>0.45</v>
      </c>
      <c r="H46" s="57" t="s">
        <v>22</v>
      </c>
      <c r="I46" s="58">
        <f t="shared" si="0"/>
        <v>5400</v>
      </c>
      <c r="J46" s="57" t="s">
        <v>52</v>
      </c>
      <c r="K46" s="57" t="s">
        <v>62</v>
      </c>
      <c r="L46" s="57" t="s">
        <v>54</v>
      </c>
      <c r="M46" s="57" t="s">
        <v>43</v>
      </c>
      <c r="N46" s="57" t="s">
        <v>57</v>
      </c>
      <c r="O46" s="57" t="s">
        <v>75</v>
      </c>
      <c r="P46" s="59">
        <v>93640031</v>
      </c>
    </row>
    <row r="47" spans="1:16" ht="20.25" customHeight="1">
      <c r="A47" s="56">
        <v>28</v>
      </c>
      <c r="B47" s="57" t="s">
        <v>51</v>
      </c>
      <c r="C47" s="57">
        <v>2250500066</v>
      </c>
      <c r="D47" s="57"/>
      <c r="E47" s="57">
        <v>18000</v>
      </c>
      <c r="F47" s="69" t="s">
        <v>21</v>
      </c>
      <c r="G47" s="70">
        <v>0.45</v>
      </c>
      <c r="H47" s="57" t="s">
        <v>22</v>
      </c>
      <c r="I47" s="58">
        <f t="shared" si="0"/>
        <v>8100</v>
      </c>
      <c r="J47" s="57" t="s">
        <v>52</v>
      </c>
      <c r="K47" s="57" t="s">
        <v>62</v>
      </c>
      <c r="L47" s="57" t="s">
        <v>54</v>
      </c>
      <c r="M47" s="57" t="s">
        <v>43</v>
      </c>
      <c r="N47" s="57" t="s">
        <v>57</v>
      </c>
      <c r="O47" s="57" t="s">
        <v>75</v>
      </c>
      <c r="P47" s="59">
        <v>93640031</v>
      </c>
    </row>
    <row r="48" spans="1:16" ht="20.25" customHeight="1">
      <c r="A48" s="56">
        <v>29</v>
      </c>
      <c r="B48" s="57" t="s">
        <v>80</v>
      </c>
      <c r="C48" s="57">
        <v>2250203341</v>
      </c>
      <c r="D48" s="57"/>
      <c r="E48" s="57">
        <v>9000</v>
      </c>
      <c r="F48" s="69" t="s">
        <v>21</v>
      </c>
      <c r="G48" s="70">
        <v>0.59</v>
      </c>
      <c r="H48" s="57" t="s">
        <v>22</v>
      </c>
      <c r="I48" s="58">
        <f t="shared" si="0"/>
        <v>5310</v>
      </c>
      <c r="J48" s="57" t="s">
        <v>53</v>
      </c>
      <c r="K48" s="57" t="s">
        <v>62</v>
      </c>
      <c r="L48" s="57" t="s">
        <v>54</v>
      </c>
      <c r="M48" s="57" t="s">
        <v>43</v>
      </c>
      <c r="N48" s="57" t="s">
        <v>84</v>
      </c>
      <c r="O48" s="57" t="s">
        <v>86</v>
      </c>
      <c r="P48" s="59">
        <v>93639706</v>
      </c>
    </row>
    <row r="49" spans="1:16" ht="20.25" customHeight="1">
      <c r="A49" s="56">
        <v>30</v>
      </c>
      <c r="B49" s="57" t="s">
        <v>80</v>
      </c>
      <c r="C49" s="57">
        <v>2250203341</v>
      </c>
      <c r="D49" s="57"/>
      <c r="E49" s="57">
        <v>9000</v>
      </c>
      <c r="F49" s="69" t="s">
        <v>21</v>
      </c>
      <c r="G49" s="70">
        <v>0.59</v>
      </c>
      <c r="H49" s="57" t="s">
        <v>22</v>
      </c>
      <c r="I49" s="58">
        <f t="shared" si="0"/>
        <v>5310</v>
      </c>
      <c r="J49" s="57" t="s">
        <v>53</v>
      </c>
      <c r="K49" s="57" t="s">
        <v>62</v>
      </c>
      <c r="L49" s="57" t="s">
        <v>54</v>
      </c>
      <c r="M49" s="57" t="s">
        <v>43</v>
      </c>
      <c r="N49" s="57" t="s">
        <v>84</v>
      </c>
      <c r="O49" s="57" t="s">
        <v>86</v>
      </c>
      <c r="P49" s="59">
        <v>93639706</v>
      </c>
    </row>
    <row r="50" spans="1:16" ht="20.25" customHeight="1">
      <c r="A50" s="56">
        <v>31</v>
      </c>
      <c r="B50" s="57" t="s">
        <v>80</v>
      </c>
      <c r="C50" s="57">
        <v>2250203341</v>
      </c>
      <c r="D50" s="57"/>
      <c r="E50" s="57">
        <v>4500</v>
      </c>
      <c r="F50" s="69" t="s">
        <v>21</v>
      </c>
      <c r="G50" s="70">
        <v>0.59</v>
      </c>
      <c r="H50" s="57" t="s">
        <v>22</v>
      </c>
      <c r="I50" s="58">
        <f t="shared" si="0"/>
        <v>2655</v>
      </c>
      <c r="J50" s="57" t="s">
        <v>53</v>
      </c>
      <c r="K50" s="57" t="s">
        <v>62</v>
      </c>
      <c r="L50" s="57" t="s">
        <v>54</v>
      </c>
      <c r="M50" s="57" t="s">
        <v>43</v>
      </c>
      <c r="N50" s="57" t="s">
        <v>84</v>
      </c>
      <c r="O50" s="57" t="s">
        <v>86</v>
      </c>
      <c r="P50" s="59">
        <v>93639706</v>
      </c>
    </row>
    <row r="51" spans="1:16" ht="20.25" customHeight="1">
      <c r="A51" s="56">
        <v>32</v>
      </c>
      <c r="B51" s="57" t="s">
        <v>80</v>
      </c>
      <c r="C51" s="57">
        <v>2250203341</v>
      </c>
      <c r="D51" s="57"/>
      <c r="E51" s="57">
        <v>9000</v>
      </c>
      <c r="F51" s="69" t="s">
        <v>21</v>
      </c>
      <c r="G51" s="70">
        <v>0.59</v>
      </c>
      <c r="H51" s="57" t="s">
        <v>22</v>
      </c>
      <c r="I51" s="58">
        <f t="shared" si="0"/>
        <v>5310</v>
      </c>
      <c r="J51" s="57" t="s">
        <v>53</v>
      </c>
      <c r="K51" s="57" t="s">
        <v>62</v>
      </c>
      <c r="L51" s="57" t="s">
        <v>54</v>
      </c>
      <c r="M51" s="57" t="s">
        <v>43</v>
      </c>
      <c r="N51" s="57" t="s">
        <v>84</v>
      </c>
      <c r="O51" s="57" t="s">
        <v>86</v>
      </c>
      <c r="P51" s="59">
        <v>93639706</v>
      </c>
    </row>
    <row r="52" spans="1:16" ht="20.25" customHeight="1">
      <c r="A52" s="56">
        <v>33</v>
      </c>
      <c r="B52" s="57" t="s">
        <v>80</v>
      </c>
      <c r="C52" s="57">
        <v>2250203341</v>
      </c>
      <c r="D52" s="57"/>
      <c r="E52" s="57">
        <v>13500</v>
      </c>
      <c r="F52" s="69" t="s">
        <v>21</v>
      </c>
      <c r="G52" s="70">
        <v>0.59</v>
      </c>
      <c r="H52" s="57" t="s">
        <v>22</v>
      </c>
      <c r="I52" s="58">
        <f t="shared" si="0"/>
        <v>7965</v>
      </c>
      <c r="J52" s="57" t="s">
        <v>53</v>
      </c>
      <c r="K52" s="57" t="s">
        <v>62</v>
      </c>
      <c r="L52" s="57" t="s">
        <v>54</v>
      </c>
      <c r="M52" s="57" t="s">
        <v>43</v>
      </c>
      <c r="N52" s="57" t="s">
        <v>84</v>
      </c>
      <c r="O52" s="57" t="s">
        <v>86</v>
      </c>
      <c r="P52" s="59">
        <v>93639706</v>
      </c>
    </row>
    <row r="53" spans="1:16" ht="20.25" customHeight="1">
      <c r="A53" s="56">
        <v>34</v>
      </c>
      <c r="B53" s="57" t="s">
        <v>79</v>
      </c>
      <c r="C53" s="57">
        <v>2250401314</v>
      </c>
      <c r="D53" s="57"/>
      <c r="E53" s="57">
        <v>13500</v>
      </c>
      <c r="F53" s="69" t="s">
        <v>21</v>
      </c>
      <c r="G53" s="70">
        <v>0.59499999999999997</v>
      </c>
      <c r="H53" s="57" t="s">
        <v>22</v>
      </c>
      <c r="I53" s="58">
        <f t="shared" si="0"/>
        <v>8032.5</v>
      </c>
      <c r="J53" s="57" t="s">
        <v>53</v>
      </c>
      <c r="K53" s="57" t="s">
        <v>62</v>
      </c>
      <c r="L53" s="57" t="s">
        <v>54</v>
      </c>
      <c r="M53" s="57" t="s">
        <v>43</v>
      </c>
      <c r="N53" s="57" t="s">
        <v>84</v>
      </c>
      <c r="O53" s="57" t="s">
        <v>86</v>
      </c>
      <c r="P53" s="59">
        <v>93639725</v>
      </c>
    </row>
    <row r="54" spans="1:16" ht="20.25" customHeight="1">
      <c r="A54" s="56">
        <v>35</v>
      </c>
      <c r="B54" s="57" t="s">
        <v>79</v>
      </c>
      <c r="C54" s="57">
        <v>2250401314</v>
      </c>
      <c r="D54" s="57"/>
      <c r="E54" s="57">
        <v>4500</v>
      </c>
      <c r="F54" s="69" t="s">
        <v>21</v>
      </c>
      <c r="G54" s="70">
        <v>0.59499999999999997</v>
      </c>
      <c r="H54" s="57" t="s">
        <v>22</v>
      </c>
      <c r="I54" s="58">
        <f t="shared" si="0"/>
        <v>2677.5</v>
      </c>
      <c r="J54" s="57" t="s">
        <v>53</v>
      </c>
      <c r="K54" s="57" t="s">
        <v>62</v>
      </c>
      <c r="L54" s="57" t="s">
        <v>54</v>
      </c>
      <c r="M54" s="57" t="s">
        <v>43</v>
      </c>
      <c r="N54" s="57" t="s">
        <v>84</v>
      </c>
      <c r="O54" s="57" t="s">
        <v>86</v>
      </c>
      <c r="P54" s="59">
        <v>93639725</v>
      </c>
    </row>
    <row r="55" spans="1:16" ht="20.25" customHeight="1">
      <c r="A55" s="56">
        <v>36</v>
      </c>
      <c r="B55" s="57" t="s">
        <v>79</v>
      </c>
      <c r="C55" s="57">
        <v>2250500066</v>
      </c>
      <c r="D55" s="57"/>
      <c r="E55" s="57">
        <v>4500</v>
      </c>
      <c r="F55" s="69" t="s">
        <v>21</v>
      </c>
      <c r="G55" s="70">
        <v>0.59499999999999997</v>
      </c>
      <c r="H55" s="57" t="s">
        <v>22</v>
      </c>
      <c r="I55" s="58">
        <f t="shared" si="0"/>
        <v>2677.5</v>
      </c>
      <c r="J55" s="57" t="s">
        <v>53</v>
      </c>
      <c r="K55" s="57" t="s">
        <v>62</v>
      </c>
      <c r="L55" s="57" t="s">
        <v>54</v>
      </c>
      <c r="M55" s="57" t="s">
        <v>43</v>
      </c>
      <c r="N55" s="57" t="s">
        <v>84</v>
      </c>
      <c r="O55" s="57" t="s">
        <v>86</v>
      </c>
      <c r="P55" s="59">
        <v>93639725</v>
      </c>
    </row>
    <row r="56" spans="1:16" ht="20.25" customHeight="1">
      <c r="A56" s="56">
        <v>37</v>
      </c>
      <c r="B56" s="57" t="s">
        <v>50</v>
      </c>
      <c r="C56" s="57">
        <v>2250500066</v>
      </c>
      <c r="D56" s="57"/>
      <c r="E56" s="57">
        <v>6000</v>
      </c>
      <c r="F56" s="69" t="s">
        <v>21</v>
      </c>
      <c r="G56" s="70">
        <v>0.4</v>
      </c>
      <c r="H56" s="57" t="s">
        <v>22</v>
      </c>
      <c r="I56" s="58">
        <f t="shared" si="0"/>
        <v>2400</v>
      </c>
      <c r="J56" s="57" t="s">
        <v>52</v>
      </c>
      <c r="K56" s="57" t="s">
        <v>62</v>
      </c>
      <c r="L56" s="57" t="s">
        <v>54</v>
      </c>
      <c r="M56" s="57" t="s">
        <v>43</v>
      </c>
      <c r="N56" s="57" t="s">
        <v>56</v>
      </c>
      <c r="O56" s="57" t="s">
        <v>76</v>
      </c>
      <c r="P56" s="59">
        <v>93640097</v>
      </c>
    </row>
    <row r="57" spans="1:16" ht="20.25" customHeight="1">
      <c r="A57" s="56">
        <v>38</v>
      </c>
      <c r="B57" s="57" t="s">
        <v>50</v>
      </c>
      <c r="C57" s="57">
        <v>2250500066</v>
      </c>
      <c r="D57" s="57"/>
      <c r="E57" s="57">
        <v>9000</v>
      </c>
      <c r="F57" s="69" t="s">
        <v>21</v>
      </c>
      <c r="G57" s="70">
        <v>0.4</v>
      </c>
      <c r="H57" s="57" t="s">
        <v>22</v>
      </c>
      <c r="I57" s="58">
        <f t="shared" si="0"/>
        <v>3600</v>
      </c>
      <c r="J57" s="57" t="s">
        <v>52</v>
      </c>
      <c r="K57" s="57" t="s">
        <v>62</v>
      </c>
      <c r="L57" s="57" t="s">
        <v>54</v>
      </c>
      <c r="M57" s="57" t="s">
        <v>43</v>
      </c>
      <c r="N57" s="57" t="s">
        <v>56</v>
      </c>
      <c r="O57" s="57" t="s">
        <v>76</v>
      </c>
      <c r="P57" s="59">
        <v>93640097</v>
      </c>
    </row>
    <row r="58" spans="1:16" ht="20.25" customHeight="1">
      <c r="A58" s="56">
        <v>39</v>
      </c>
      <c r="B58" s="57" t="s">
        <v>50</v>
      </c>
      <c r="C58" s="57">
        <v>2250500066</v>
      </c>
      <c r="D58" s="57"/>
      <c r="E58" s="57">
        <v>6000</v>
      </c>
      <c r="F58" s="69" t="s">
        <v>21</v>
      </c>
      <c r="G58" s="70">
        <v>0.4</v>
      </c>
      <c r="H58" s="57" t="s">
        <v>22</v>
      </c>
      <c r="I58" s="58">
        <f t="shared" si="0"/>
        <v>2400</v>
      </c>
      <c r="J58" s="57" t="s">
        <v>52</v>
      </c>
      <c r="K58" s="57" t="s">
        <v>62</v>
      </c>
      <c r="L58" s="57" t="s">
        <v>54</v>
      </c>
      <c r="M58" s="57" t="s">
        <v>43</v>
      </c>
      <c r="N58" s="57" t="s">
        <v>56</v>
      </c>
      <c r="O58" s="57" t="s">
        <v>76</v>
      </c>
      <c r="P58" s="59">
        <v>93640097</v>
      </c>
    </row>
    <row r="59" spans="1:16" ht="20.25" customHeight="1">
      <c r="A59" s="56">
        <v>40</v>
      </c>
      <c r="B59" s="57" t="s">
        <v>104</v>
      </c>
      <c r="C59" s="57">
        <v>2230702546</v>
      </c>
      <c r="D59" s="57"/>
      <c r="E59" s="57">
        <v>6000</v>
      </c>
      <c r="F59" s="69" t="s">
        <v>21</v>
      </c>
      <c r="G59" s="70">
        <v>1.9300000000000001E-2</v>
      </c>
      <c r="H59" s="57" t="s">
        <v>22</v>
      </c>
      <c r="I59" s="58">
        <f t="shared" si="0"/>
        <v>115.8</v>
      </c>
      <c r="J59" s="57" t="s">
        <v>42</v>
      </c>
      <c r="K59" s="57" t="s">
        <v>135</v>
      </c>
      <c r="L59" s="57" t="s">
        <v>106</v>
      </c>
      <c r="M59" s="57" t="s">
        <v>43</v>
      </c>
      <c r="N59" s="57" t="s">
        <v>117</v>
      </c>
      <c r="O59" s="57" t="s">
        <v>126</v>
      </c>
      <c r="P59" s="59">
        <v>93638236</v>
      </c>
    </row>
    <row r="60" spans="1:16" ht="20.25" customHeight="1">
      <c r="A60" s="43"/>
      <c r="B60" s="44"/>
      <c r="C60" s="109" t="s">
        <v>23</v>
      </c>
      <c r="D60" s="109"/>
      <c r="E60" s="45">
        <f>SUM(E20:E59)</f>
        <v>431380</v>
      </c>
      <c r="F60" s="46"/>
      <c r="G60" s="47"/>
      <c r="H60" s="47"/>
      <c r="I60" s="48">
        <f>SUM(I20:I59)</f>
        <v>246893.25</v>
      </c>
      <c r="J60" s="50"/>
      <c r="K60" s="50"/>
      <c r="L60" s="50"/>
      <c r="M60" s="50"/>
      <c r="N60" s="50"/>
      <c r="O60" s="48"/>
      <c r="P60" s="75"/>
    </row>
  </sheetData>
  <autoFilter ref="A19:P60" xr:uid="{00000000-0001-0000-0000-000000000000}"/>
  <mergeCells count="3">
    <mergeCell ref="C60:D60"/>
    <mergeCell ref="A1:P1"/>
    <mergeCell ref="C18:D18"/>
  </mergeCells>
  <phoneticPr fontId="3" type="noConversion"/>
  <pageMargins left="0.75" right="0.75" top="1" bottom="1" header="0.5" footer="0.5"/>
  <pageSetup paperSize="9"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66"/>
  <sheetViews>
    <sheetView zoomScaleNormal="100" workbookViewId="0">
      <selection activeCell="H65" sqref="H65"/>
    </sheetView>
  </sheetViews>
  <sheetFormatPr defaultColWidth="9" defaultRowHeight="17.25" customHeight="1"/>
  <cols>
    <col min="1" max="1" width="9" style="76"/>
    <col min="2" max="2" width="12.7109375" style="76" customWidth="1"/>
    <col min="3" max="3" width="11.85546875" style="76" bestFit="1" customWidth="1"/>
    <col min="4" max="4" width="9" style="76"/>
    <col min="5" max="5" width="18.140625" style="76" customWidth="1"/>
    <col min="6" max="6" width="13.7109375" style="76" customWidth="1"/>
    <col min="7" max="7" width="9" style="76"/>
    <col min="8" max="9" width="9.140625" style="76" bestFit="1" customWidth="1"/>
    <col min="10" max="10" width="15" style="76" customWidth="1"/>
    <col min="11" max="16384" width="9" style="76"/>
  </cols>
  <sheetData>
    <row r="1" spans="1:10" ht="17.25" customHeight="1">
      <c r="A1" s="113" t="s">
        <v>24</v>
      </c>
      <c r="B1" s="114"/>
      <c r="C1" s="114"/>
      <c r="D1" s="114"/>
      <c r="E1" s="114"/>
      <c r="F1" s="114"/>
      <c r="G1" s="114"/>
      <c r="H1" s="114"/>
      <c r="I1" s="114"/>
      <c r="J1" s="115"/>
    </row>
    <row r="2" spans="1:10" ht="17.25" customHeight="1">
      <c r="A2" s="2" t="s">
        <v>34</v>
      </c>
      <c r="B2" s="77"/>
      <c r="C2" s="38"/>
      <c r="D2" s="38"/>
      <c r="E2" s="78"/>
      <c r="F2" s="2" t="s">
        <v>1</v>
      </c>
      <c r="G2" s="38"/>
      <c r="H2" s="38"/>
      <c r="I2" s="38"/>
      <c r="J2" s="7"/>
    </row>
    <row r="3" spans="1:10" ht="17.25" customHeight="1">
      <c r="A3" s="49" t="s">
        <v>70</v>
      </c>
      <c r="B3" s="8"/>
      <c r="C3" s="38"/>
      <c r="D3" s="38"/>
      <c r="E3" s="78"/>
      <c r="F3" s="31" t="s">
        <v>90</v>
      </c>
      <c r="G3" s="38"/>
      <c r="H3" s="38"/>
      <c r="I3" s="38"/>
      <c r="J3" s="7"/>
    </row>
    <row r="4" spans="1:10" ht="17.25" customHeight="1">
      <c r="A4" s="49" t="s">
        <v>35</v>
      </c>
      <c r="B4" s="79"/>
      <c r="C4" s="79"/>
      <c r="D4" s="79"/>
      <c r="E4" s="80"/>
      <c r="F4" s="107" t="s">
        <v>91</v>
      </c>
      <c r="G4" s="38"/>
      <c r="H4" s="38"/>
      <c r="I4" s="38"/>
      <c r="J4" s="7"/>
    </row>
    <row r="5" spans="1:10" ht="17.25" customHeight="1">
      <c r="A5" s="81"/>
      <c r="B5" s="79"/>
      <c r="C5" s="79"/>
      <c r="D5" s="79"/>
      <c r="E5" s="80"/>
      <c r="F5" s="82"/>
      <c r="G5" s="38"/>
      <c r="H5" s="38"/>
      <c r="I5" s="38"/>
      <c r="J5" s="7"/>
    </row>
    <row r="6" spans="1:10" ht="17.25" customHeight="1">
      <c r="A6" s="17"/>
      <c r="B6" s="19"/>
      <c r="C6" s="83"/>
      <c r="D6" s="83"/>
      <c r="E6" s="84"/>
      <c r="F6" s="85"/>
      <c r="G6" s="37"/>
      <c r="H6" s="37"/>
      <c r="I6" s="37"/>
      <c r="J6" s="86"/>
    </row>
    <row r="7" spans="1:10" ht="17.25" customHeight="1">
      <c r="A7" s="24" t="s">
        <v>2</v>
      </c>
      <c r="B7" s="87"/>
      <c r="C7" s="66"/>
      <c r="D7" s="66"/>
      <c r="E7" s="88"/>
      <c r="F7" s="87" t="s">
        <v>25</v>
      </c>
      <c r="G7" s="38"/>
      <c r="H7" s="38"/>
      <c r="I7" s="38"/>
      <c r="J7" s="7"/>
    </row>
    <row r="8" spans="1:10" ht="17.25" customHeight="1">
      <c r="A8" s="108" t="s">
        <v>71</v>
      </c>
      <c r="B8" s="8"/>
      <c r="C8" s="38"/>
      <c r="D8" s="38"/>
      <c r="E8" s="78"/>
      <c r="F8" s="77"/>
      <c r="G8" s="4"/>
      <c r="H8" s="4"/>
      <c r="I8" s="4"/>
      <c r="J8" s="7"/>
    </row>
    <row r="9" spans="1:10" ht="17.25" customHeight="1">
      <c r="A9" s="89"/>
      <c r="B9" s="90"/>
      <c r="C9" s="90"/>
      <c r="D9" s="90"/>
      <c r="E9" s="91"/>
      <c r="F9" s="77"/>
      <c r="G9" s="38"/>
      <c r="H9" s="38"/>
      <c r="I9" s="4"/>
      <c r="J9" s="7"/>
    </row>
    <row r="10" spans="1:10" ht="17.25" customHeight="1">
      <c r="A10" s="89"/>
      <c r="B10" s="90"/>
      <c r="C10" s="90"/>
      <c r="D10" s="90"/>
      <c r="E10" s="91"/>
      <c r="F10" s="77"/>
      <c r="G10" s="38"/>
      <c r="H10" s="38"/>
      <c r="I10" s="4"/>
      <c r="J10" s="7"/>
    </row>
    <row r="11" spans="1:10" ht="17.25" customHeight="1">
      <c r="A11" s="39"/>
      <c r="B11" s="22"/>
      <c r="C11" s="37"/>
      <c r="D11" s="37"/>
      <c r="E11" s="86"/>
      <c r="F11" s="38"/>
      <c r="G11" s="38"/>
      <c r="H11" s="38"/>
      <c r="I11" s="38"/>
      <c r="J11" s="7"/>
    </row>
    <row r="12" spans="1:10" ht="17.25" customHeight="1">
      <c r="A12" s="24" t="s">
        <v>4</v>
      </c>
      <c r="B12" s="77"/>
      <c r="C12" s="38"/>
      <c r="D12" s="38"/>
      <c r="E12" s="78"/>
      <c r="F12" s="38"/>
      <c r="G12" s="6"/>
      <c r="H12" s="38"/>
      <c r="I12" s="38"/>
      <c r="J12" s="7"/>
    </row>
    <row r="13" spans="1:10" ht="17.25" customHeight="1">
      <c r="A13" s="108" t="s">
        <v>72</v>
      </c>
      <c r="B13" s="8"/>
      <c r="C13" s="8"/>
      <c r="D13" s="8"/>
      <c r="E13" s="78"/>
      <c r="F13" s="38"/>
      <c r="G13" s="6"/>
      <c r="H13" s="38"/>
      <c r="I13" s="38"/>
      <c r="J13" s="7"/>
    </row>
    <row r="14" spans="1:10" ht="17.25" customHeight="1">
      <c r="A14" s="108" t="s">
        <v>41</v>
      </c>
      <c r="B14" s="8"/>
      <c r="C14" s="38"/>
      <c r="D14" s="38"/>
      <c r="E14" s="92"/>
      <c r="F14" s="38"/>
      <c r="G14" s="38"/>
      <c r="H14" s="38"/>
      <c r="I14" s="38"/>
      <c r="J14" s="7"/>
    </row>
    <row r="15" spans="1:10" ht="17.25" customHeight="1">
      <c r="A15" s="85"/>
      <c r="B15" s="37"/>
      <c r="C15" s="37"/>
      <c r="D15" s="37"/>
      <c r="E15" s="86"/>
      <c r="F15" s="116"/>
      <c r="G15" s="116"/>
      <c r="H15" s="51"/>
      <c r="I15" s="52"/>
      <c r="J15" s="7"/>
    </row>
    <row r="16" spans="1:10" ht="17.25" customHeight="1">
      <c r="A16" s="93" t="s">
        <v>26</v>
      </c>
      <c r="B16" s="87"/>
      <c r="C16" s="88"/>
      <c r="D16" s="87" t="s">
        <v>27</v>
      </c>
      <c r="E16" s="27"/>
      <c r="F16" s="116"/>
      <c r="G16" s="116"/>
      <c r="H16" s="53"/>
      <c r="I16" s="38"/>
      <c r="J16" s="7"/>
    </row>
    <row r="17" spans="1:10" ht="17.25" customHeight="1">
      <c r="A17" s="117"/>
      <c r="B17" s="118"/>
      <c r="C17" s="119"/>
      <c r="D17" s="117"/>
      <c r="E17" s="119"/>
      <c r="F17" s="116"/>
      <c r="G17" s="116"/>
      <c r="H17" s="53"/>
      <c r="I17" s="38"/>
      <c r="J17" s="7"/>
    </row>
    <row r="18" spans="1:10" ht="17.25" customHeight="1">
      <c r="A18" s="93" t="s">
        <v>8</v>
      </c>
      <c r="B18" s="77"/>
      <c r="C18" s="5"/>
      <c r="D18" s="87" t="s">
        <v>9</v>
      </c>
      <c r="E18" s="40"/>
      <c r="F18" s="38"/>
      <c r="G18" s="38"/>
      <c r="H18" s="38"/>
      <c r="I18" s="38"/>
      <c r="J18" s="7"/>
    </row>
    <row r="19" spans="1:10" ht="17.25" customHeight="1">
      <c r="A19" s="117"/>
      <c r="B19" s="118"/>
      <c r="C19" s="119"/>
      <c r="D19" s="111"/>
      <c r="E19" s="124"/>
      <c r="F19" s="37"/>
      <c r="G19" s="37"/>
      <c r="H19" s="37"/>
      <c r="I19" s="37"/>
      <c r="J19" s="7"/>
    </row>
    <row r="20" spans="1:10" ht="17.25" customHeight="1">
      <c r="A20" s="125" t="s">
        <v>28</v>
      </c>
      <c r="B20" s="123" t="s">
        <v>12</v>
      </c>
      <c r="C20" s="123" t="s">
        <v>11</v>
      </c>
      <c r="D20" s="122" t="s">
        <v>13</v>
      </c>
      <c r="E20" s="122"/>
      <c r="F20" s="126" t="s">
        <v>14</v>
      </c>
      <c r="G20" s="126" t="s">
        <v>15</v>
      </c>
      <c r="H20" s="54" t="s">
        <v>29</v>
      </c>
      <c r="I20" s="54" t="s">
        <v>30</v>
      </c>
      <c r="J20" s="120" t="s">
        <v>31</v>
      </c>
    </row>
    <row r="21" spans="1:10" ht="17.25" customHeight="1">
      <c r="A21" s="125"/>
      <c r="B21" s="123"/>
      <c r="C21" s="123"/>
      <c r="D21" s="123"/>
      <c r="E21" s="123"/>
      <c r="F21" s="126"/>
      <c r="G21" s="126"/>
      <c r="H21" s="54" t="s">
        <v>32</v>
      </c>
      <c r="I21" s="54" t="s">
        <v>32</v>
      </c>
      <c r="J21" s="121"/>
    </row>
    <row r="22" spans="1:10" ht="17.25" customHeight="1">
      <c r="A22" s="56">
        <v>1</v>
      </c>
      <c r="B22" s="57" t="s">
        <v>92</v>
      </c>
      <c r="C22" s="57">
        <v>2250500266</v>
      </c>
      <c r="D22" s="105"/>
      <c r="E22" s="105"/>
      <c r="F22" s="102">
        <v>9000</v>
      </c>
      <c r="G22" s="103" t="s">
        <v>21</v>
      </c>
      <c r="H22" s="58">
        <v>0.13600000000000001</v>
      </c>
      <c r="I22" s="58">
        <v>1.2</v>
      </c>
      <c r="J22" s="104" t="s">
        <v>127</v>
      </c>
    </row>
    <row r="23" spans="1:10" ht="17.25" customHeight="1">
      <c r="A23" s="56">
        <v>2</v>
      </c>
      <c r="B23" s="57" t="s">
        <v>93</v>
      </c>
      <c r="C23" s="57">
        <v>2250500266</v>
      </c>
      <c r="D23" s="105"/>
      <c r="E23" s="105"/>
      <c r="F23" s="102">
        <v>9000</v>
      </c>
      <c r="G23" s="103" t="s">
        <v>21</v>
      </c>
      <c r="H23" s="58">
        <v>0.27</v>
      </c>
      <c r="I23" s="58">
        <v>1.1000000000000001</v>
      </c>
      <c r="J23" s="104" t="s">
        <v>127</v>
      </c>
    </row>
    <row r="24" spans="1:10" ht="17.25" customHeight="1">
      <c r="A24" s="56">
        <v>3</v>
      </c>
      <c r="B24" s="57" t="s">
        <v>94</v>
      </c>
      <c r="C24" s="57">
        <v>2250703819</v>
      </c>
      <c r="D24" s="105"/>
      <c r="E24" s="105"/>
      <c r="F24" s="102">
        <v>5880</v>
      </c>
      <c r="G24" s="103" t="s">
        <v>21</v>
      </c>
      <c r="H24" s="58">
        <v>0.28199999999999997</v>
      </c>
      <c r="I24" s="58">
        <v>4.16</v>
      </c>
      <c r="J24" s="104" t="s">
        <v>128</v>
      </c>
    </row>
    <row r="25" spans="1:10" ht="17.25" customHeight="1">
      <c r="A25" s="56">
        <v>4</v>
      </c>
      <c r="B25" s="57" t="s">
        <v>49</v>
      </c>
      <c r="C25" s="57">
        <v>2250304100</v>
      </c>
      <c r="D25" s="105"/>
      <c r="E25" s="105"/>
      <c r="F25" s="102">
        <v>26000</v>
      </c>
      <c r="G25" s="103" t="s">
        <v>21</v>
      </c>
      <c r="H25" s="58">
        <v>2.7E-2</v>
      </c>
      <c r="I25" s="58">
        <v>1.3</v>
      </c>
      <c r="J25" s="104" t="s">
        <v>129</v>
      </c>
    </row>
    <row r="26" spans="1:10" ht="17.25" customHeight="1">
      <c r="A26" s="56">
        <v>5</v>
      </c>
      <c r="B26" s="57" t="s">
        <v>49</v>
      </c>
      <c r="C26" s="57">
        <v>2250303696</v>
      </c>
      <c r="D26" s="105"/>
      <c r="E26" s="105"/>
      <c r="F26" s="102">
        <v>1000</v>
      </c>
      <c r="G26" s="103" t="s">
        <v>21</v>
      </c>
      <c r="H26" s="58">
        <v>0</v>
      </c>
      <c r="I26" s="58">
        <v>0</v>
      </c>
      <c r="J26" s="104" t="s">
        <v>63</v>
      </c>
    </row>
    <row r="27" spans="1:10" ht="17.25" customHeight="1">
      <c r="A27" s="56">
        <v>6</v>
      </c>
      <c r="B27" s="57" t="s">
        <v>49</v>
      </c>
      <c r="C27" s="57">
        <v>2250303696</v>
      </c>
      <c r="D27" s="105"/>
      <c r="E27" s="105"/>
      <c r="F27" s="102">
        <v>9000</v>
      </c>
      <c r="G27" s="103" t="s">
        <v>21</v>
      </c>
      <c r="H27" s="58">
        <v>8.9999999999999993E-3</v>
      </c>
      <c r="I27" s="58">
        <v>0.5</v>
      </c>
      <c r="J27" s="104" t="s">
        <v>64</v>
      </c>
    </row>
    <row r="28" spans="1:10" ht="17.25" customHeight="1">
      <c r="A28" s="56">
        <v>7</v>
      </c>
      <c r="B28" s="57" t="s">
        <v>81</v>
      </c>
      <c r="C28" s="57">
        <v>2250400578</v>
      </c>
      <c r="D28" s="105"/>
      <c r="E28" s="105"/>
      <c r="F28" s="102">
        <v>12000</v>
      </c>
      <c r="G28" s="103" t="s">
        <v>21</v>
      </c>
      <c r="H28" s="58">
        <v>0.216</v>
      </c>
      <c r="I28" s="58">
        <v>4.4000000000000004</v>
      </c>
      <c r="J28" s="104" t="s">
        <v>130</v>
      </c>
    </row>
    <row r="29" spans="1:10" ht="17.25" customHeight="1">
      <c r="A29" s="56">
        <v>8</v>
      </c>
      <c r="B29" s="57" t="s">
        <v>81</v>
      </c>
      <c r="C29" s="57">
        <v>2250400578</v>
      </c>
      <c r="D29" s="105"/>
      <c r="E29" s="105"/>
      <c r="F29" s="102">
        <v>15000</v>
      </c>
      <c r="G29" s="103" t="s">
        <v>21</v>
      </c>
      <c r="H29" s="58">
        <v>0</v>
      </c>
      <c r="I29" s="58">
        <v>0</v>
      </c>
      <c r="J29" s="104" t="s">
        <v>63</v>
      </c>
    </row>
    <row r="30" spans="1:10" ht="17.25" customHeight="1">
      <c r="A30" s="56">
        <v>9</v>
      </c>
      <c r="B30" s="57" t="s">
        <v>81</v>
      </c>
      <c r="C30" s="57">
        <v>2250400578</v>
      </c>
      <c r="D30" s="105"/>
      <c r="E30" s="105"/>
      <c r="F30" s="102">
        <v>12000</v>
      </c>
      <c r="G30" s="103" t="s">
        <v>21</v>
      </c>
      <c r="H30" s="58">
        <v>9.6000000000000002E-2</v>
      </c>
      <c r="I30" s="58">
        <v>2.4</v>
      </c>
      <c r="J30" s="104" t="s">
        <v>44</v>
      </c>
    </row>
    <row r="31" spans="1:10" ht="17.25" customHeight="1">
      <c r="A31" s="56">
        <v>10</v>
      </c>
      <c r="B31" s="57" t="s">
        <v>95</v>
      </c>
      <c r="C31" s="57">
        <v>2250201266</v>
      </c>
      <c r="D31" s="105"/>
      <c r="E31" s="105"/>
      <c r="F31" s="102">
        <v>32500</v>
      </c>
      <c r="G31" s="103" t="s">
        <v>21</v>
      </c>
      <c r="H31" s="58">
        <v>0.52</v>
      </c>
      <c r="I31" s="58">
        <v>5.2</v>
      </c>
      <c r="J31" s="104" t="s">
        <v>65</v>
      </c>
    </row>
    <row r="32" spans="1:10" ht="17.25" customHeight="1">
      <c r="A32" s="56">
        <v>11</v>
      </c>
      <c r="B32" s="57" t="s">
        <v>96</v>
      </c>
      <c r="C32" s="57">
        <v>2250201979</v>
      </c>
      <c r="D32" s="105"/>
      <c r="E32" s="105"/>
      <c r="F32" s="102">
        <v>32000</v>
      </c>
      <c r="G32" s="103" t="s">
        <v>21</v>
      </c>
      <c r="H32" s="58">
        <v>0.57599999999999996</v>
      </c>
      <c r="I32" s="58">
        <v>2.1</v>
      </c>
      <c r="J32" s="104" t="s">
        <v>69</v>
      </c>
    </row>
    <row r="33" spans="1:10" ht="17.25" customHeight="1">
      <c r="A33" s="56">
        <v>12</v>
      </c>
      <c r="B33" s="57" t="s">
        <v>78</v>
      </c>
      <c r="C33" s="57">
        <v>2250201024</v>
      </c>
      <c r="D33" s="105"/>
      <c r="E33" s="105"/>
      <c r="F33" s="102">
        <v>3000</v>
      </c>
      <c r="G33" s="103" t="s">
        <v>21</v>
      </c>
      <c r="H33" s="58">
        <v>1.845</v>
      </c>
      <c r="I33" s="58">
        <v>7.84</v>
      </c>
      <c r="J33" s="104" t="s">
        <v>89</v>
      </c>
    </row>
    <row r="34" spans="1:10" ht="17.25" customHeight="1">
      <c r="A34" s="56">
        <v>13</v>
      </c>
      <c r="B34" s="57" t="s">
        <v>78</v>
      </c>
      <c r="C34" s="57">
        <v>2250201265</v>
      </c>
      <c r="D34" s="105"/>
      <c r="E34" s="105"/>
      <c r="F34" s="102">
        <v>12000</v>
      </c>
      <c r="G34" s="103" t="s">
        <v>21</v>
      </c>
      <c r="H34" s="58">
        <v>0</v>
      </c>
      <c r="I34" s="58">
        <v>0</v>
      </c>
      <c r="J34" s="104" t="s">
        <v>63</v>
      </c>
    </row>
    <row r="35" spans="1:10" ht="17.25" customHeight="1">
      <c r="A35" s="56">
        <v>14</v>
      </c>
      <c r="B35" s="57" t="s">
        <v>78</v>
      </c>
      <c r="C35" s="57">
        <v>2250201265</v>
      </c>
      <c r="D35" s="105"/>
      <c r="E35" s="105"/>
      <c r="F35" s="102">
        <v>3000</v>
      </c>
      <c r="G35" s="103" t="s">
        <v>21</v>
      </c>
      <c r="H35" s="58">
        <v>0.36899999999999999</v>
      </c>
      <c r="I35" s="58">
        <v>1.8</v>
      </c>
      <c r="J35" s="104" t="s">
        <v>131</v>
      </c>
    </row>
    <row r="36" spans="1:10" ht="17.25" customHeight="1">
      <c r="A36" s="56">
        <v>15</v>
      </c>
      <c r="B36" s="57" t="s">
        <v>78</v>
      </c>
      <c r="C36" s="57">
        <v>2250201265</v>
      </c>
      <c r="D36" s="105"/>
      <c r="E36" s="105"/>
      <c r="F36" s="102">
        <v>9000</v>
      </c>
      <c r="G36" s="103" t="s">
        <v>21</v>
      </c>
      <c r="H36" s="58">
        <v>1.107</v>
      </c>
      <c r="I36" s="58">
        <v>4.8</v>
      </c>
      <c r="J36" s="104" t="s">
        <v>132</v>
      </c>
    </row>
    <row r="37" spans="1:10" ht="17.25" customHeight="1">
      <c r="A37" s="56">
        <v>16</v>
      </c>
      <c r="B37" s="57" t="s">
        <v>97</v>
      </c>
      <c r="C37" s="57">
        <v>2250600798</v>
      </c>
      <c r="D37" s="105"/>
      <c r="E37" s="105"/>
      <c r="F37" s="102">
        <v>6000</v>
      </c>
      <c r="G37" s="103" t="s">
        <v>21</v>
      </c>
      <c r="H37" s="58">
        <v>0.73799999999999999</v>
      </c>
      <c r="I37" s="58">
        <v>3.4</v>
      </c>
      <c r="J37" s="104" t="s">
        <v>68</v>
      </c>
    </row>
    <row r="38" spans="1:10" ht="17.25" customHeight="1">
      <c r="A38" s="56">
        <v>17</v>
      </c>
      <c r="B38" s="57" t="s">
        <v>98</v>
      </c>
      <c r="C38" s="57">
        <v>2250202632</v>
      </c>
      <c r="D38" s="105"/>
      <c r="E38" s="105"/>
      <c r="F38" s="102">
        <v>4500</v>
      </c>
      <c r="G38" s="103" t="s">
        <v>21</v>
      </c>
      <c r="H38" s="58">
        <v>2.7E-2</v>
      </c>
      <c r="I38" s="58">
        <v>1.4</v>
      </c>
      <c r="J38" s="104" t="s">
        <v>44</v>
      </c>
    </row>
    <row r="39" spans="1:10" ht="17.25" customHeight="1">
      <c r="A39" s="56">
        <v>18</v>
      </c>
      <c r="B39" s="57" t="s">
        <v>98</v>
      </c>
      <c r="C39" s="57">
        <v>2250202632</v>
      </c>
      <c r="D39" s="105"/>
      <c r="E39" s="105"/>
      <c r="F39" s="102">
        <v>22500</v>
      </c>
      <c r="G39" s="103" t="s">
        <v>21</v>
      </c>
      <c r="H39" s="58">
        <v>0.13500000000000001</v>
      </c>
      <c r="I39" s="58">
        <v>5.3</v>
      </c>
      <c r="J39" s="104" t="s">
        <v>65</v>
      </c>
    </row>
    <row r="40" spans="1:10" ht="17.25" customHeight="1">
      <c r="A40" s="56">
        <v>19</v>
      </c>
      <c r="B40" s="57" t="s">
        <v>98</v>
      </c>
      <c r="C40" s="57">
        <v>2250202632</v>
      </c>
      <c r="D40" s="105"/>
      <c r="E40" s="105"/>
      <c r="F40" s="102">
        <v>4500</v>
      </c>
      <c r="G40" s="103" t="s">
        <v>21</v>
      </c>
      <c r="H40" s="58">
        <v>2.7E-2</v>
      </c>
      <c r="I40" s="58">
        <v>1.4</v>
      </c>
      <c r="J40" s="104" t="s">
        <v>44</v>
      </c>
    </row>
    <row r="41" spans="1:10" ht="17.25" customHeight="1">
      <c r="A41" s="56">
        <v>20</v>
      </c>
      <c r="B41" s="57" t="s">
        <v>99</v>
      </c>
      <c r="C41" s="57">
        <v>2250702384</v>
      </c>
      <c r="D41" s="105"/>
      <c r="E41" s="105"/>
      <c r="F41" s="102">
        <v>4500</v>
      </c>
      <c r="G41" s="103" t="s">
        <v>21</v>
      </c>
      <c r="H41" s="58">
        <v>0.113</v>
      </c>
      <c r="I41" s="58">
        <v>1.4</v>
      </c>
      <c r="J41" s="104" t="s">
        <v>44</v>
      </c>
    </row>
    <row r="42" spans="1:10" ht="17.25" customHeight="1">
      <c r="A42" s="56">
        <v>21</v>
      </c>
      <c r="B42" s="57" t="s">
        <v>100</v>
      </c>
      <c r="C42" s="57">
        <v>2250600418</v>
      </c>
      <c r="D42" s="105"/>
      <c r="E42" s="105"/>
      <c r="F42" s="102">
        <v>6500</v>
      </c>
      <c r="G42" s="103" t="s">
        <v>21</v>
      </c>
      <c r="H42" s="58">
        <v>0.16300000000000001</v>
      </c>
      <c r="I42" s="58">
        <v>1.5</v>
      </c>
      <c r="J42" s="104" t="s">
        <v>44</v>
      </c>
    </row>
    <row r="43" spans="1:10" ht="17.25" customHeight="1">
      <c r="A43" s="56">
        <v>22</v>
      </c>
      <c r="B43" s="57" t="s">
        <v>101</v>
      </c>
      <c r="C43" s="57">
        <v>2250302722</v>
      </c>
      <c r="D43" s="105"/>
      <c r="E43" s="105"/>
      <c r="F43" s="102">
        <v>4500</v>
      </c>
      <c r="G43" s="103" t="s">
        <v>21</v>
      </c>
      <c r="H43" s="58">
        <v>0.19400000000000001</v>
      </c>
      <c r="I43" s="58">
        <v>1.2</v>
      </c>
      <c r="J43" s="104" t="s">
        <v>44</v>
      </c>
    </row>
    <row r="44" spans="1:10" ht="17.25" customHeight="1">
      <c r="A44" s="56">
        <v>23</v>
      </c>
      <c r="B44" s="57" t="s">
        <v>102</v>
      </c>
      <c r="C44" s="57">
        <v>2250201266</v>
      </c>
      <c r="D44" s="105"/>
      <c r="E44" s="105"/>
      <c r="F44" s="102">
        <v>22500</v>
      </c>
      <c r="G44" s="103" t="s">
        <v>21</v>
      </c>
      <c r="H44" s="58">
        <v>0.13500000000000001</v>
      </c>
      <c r="I44" s="58">
        <v>5.2</v>
      </c>
      <c r="J44" s="104" t="s">
        <v>67</v>
      </c>
    </row>
    <row r="45" spans="1:10" ht="17.25" customHeight="1">
      <c r="A45" s="56">
        <v>24</v>
      </c>
      <c r="B45" s="57" t="s">
        <v>102</v>
      </c>
      <c r="C45" s="57">
        <v>2250201266</v>
      </c>
      <c r="D45" s="105"/>
      <c r="E45" s="105"/>
      <c r="F45" s="102">
        <v>9000</v>
      </c>
      <c r="G45" s="103" t="s">
        <v>21</v>
      </c>
      <c r="H45" s="58">
        <v>5.3999999999999999E-2</v>
      </c>
      <c r="I45" s="58">
        <v>2.2999999999999998</v>
      </c>
      <c r="J45" s="104" t="s">
        <v>68</v>
      </c>
    </row>
    <row r="46" spans="1:10" ht="17.25" customHeight="1">
      <c r="A46" s="56">
        <v>25</v>
      </c>
      <c r="B46" s="57" t="s">
        <v>103</v>
      </c>
      <c r="C46" s="57">
        <v>2250201979</v>
      </c>
      <c r="D46" s="105"/>
      <c r="E46" s="105"/>
      <c r="F46" s="102">
        <v>16000</v>
      </c>
      <c r="G46" s="103" t="s">
        <v>21</v>
      </c>
      <c r="H46" s="58">
        <v>6.4000000000000001E-2</v>
      </c>
      <c r="I46" s="58">
        <v>1</v>
      </c>
      <c r="J46" s="104" t="s">
        <v>68</v>
      </c>
    </row>
    <row r="47" spans="1:10" ht="17.25" customHeight="1">
      <c r="A47" s="56">
        <v>26</v>
      </c>
      <c r="B47" s="57" t="s">
        <v>103</v>
      </c>
      <c r="C47" s="57">
        <v>2250201979</v>
      </c>
      <c r="D47" s="105"/>
      <c r="E47" s="105"/>
      <c r="F47" s="102">
        <v>16000</v>
      </c>
      <c r="G47" s="103" t="s">
        <v>21</v>
      </c>
      <c r="H47" s="58">
        <v>6.4000000000000001E-2</v>
      </c>
      <c r="I47" s="58">
        <v>1</v>
      </c>
      <c r="J47" s="104" t="s">
        <v>44</v>
      </c>
    </row>
    <row r="48" spans="1:10" ht="17.25" customHeight="1">
      <c r="A48" s="56">
        <v>27</v>
      </c>
      <c r="B48" s="57" t="s">
        <v>51</v>
      </c>
      <c r="C48" s="57">
        <v>2250500066</v>
      </c>
      <c r="D48" s="105"/>
      <c r="E48" s="105"/>
      <c r="F48" s="102">
        <v>12000</v>
      </c>
      <c r="G48" s="103" t="s">
        <v>21</v>
      </c>
      <c r="H48" s="58">
        <v>0.999</v>
      </c>
      <c r="I48" s="58">
        <v>1.7</v>
      </c>
      <c r="J48" s="104" t="s">
        <v>66</v>
      </c>
    </row>
    <row r="49" spans="1:10" ht="17.25" customHeight="1">
      <c r="A49" s="56">
        <v>28</v>
      </c>
      <c r="B49" s="57" t="s">
        <v>51</v>
      </c>
      <c r="C49" s="57">
        <v>2250500066</v>
      </c>
      <c r="D49" s="105"/>
      <c r="E49" s="105"/>
      <c r="F49" s="102">
        <v>18000</v>
      </c>
      <c r="G49" s="103" t="s">
        <v>21</v>
      </c>
      <c r="H49" s="58">
        <v>0</v>
      </c>
      <c r="I49" s="58">
        <v>0</v>
      </c>
      <c r="J49" s="104" t="s">
        <v>63</v>
      </c>
    </row>
    <row r="50" spans="1:10" ht="17.25" customHeight="1">
      <c r="A50" s="56">
        <v>29</v>
      </c>
      <c r="B50" s="57" t="s">
        <v>80</v>
      </c>
      <c r="C50" s="57">
        <v>2250203341</v>
      </c>
      <c r="D50" s="105"/>
      <c r="E50" s="105"/>
      <c r="F50" s="102">
        <v>9000</v>
      </c>
      <c r="G50" s="103" t="s">
        <v>21</v>
      </c>
      <c r="H50" s="58">
        <v>0.22500000000000001</v>
      </c>
      <c r="I50" s="58">
        <v>2.2000000000000002</v>
      </c>
      <c r="J50" s="104" t="s">
        <v>68</v>
      </c>
    </row>
    <row r="51" spans="1:10" ht="17.25" customHeight="1">
      <c r="A51" s="56">
        <v>30</v>
      </c>
      <c r="B51" s="57" t="s">
        <v>80</v>
      </c>
      <c r="C51" s="57">
        <v>2250203341</v>
      </c>
      <c r="D51" s="105"/>
      <c r="E51" s="105"/>
      <c r="F51" s="102">
        <v>9000</v>
      </c>
      <c r="G51" s="103" t="s">
        <v>21</v>
      </c>
      <c r="H51" s="58">
        <v>0.22500000000000001</v>
      </c>
      <c r="I51" s="58">
        <v>2.2000000000000002</v>
      </c>
      <c r="J51" s="104" t="s">
        <v>68</v>
      </c>
    </row>
    <row r="52" spans="1:10" ht="17.25" customHeight="1">
      <c r="A52" s="56">
        <v>31</v>
      </c>
      <c r="B52" s="57" t="s">
        <v>80</v>
      </c>
      <c r="C52" s="57">
        <v>2250203341</v>
      </c>
      <c r="D52" s="105"/>
      <c r="E52" s="105"/>
      <c r="F52" s="102">
        <v>4500</v>
      </c>
      <c r="G52" s="103" t="s">
        <v>21</v>
      </c>
      <c r="H52" s="58">
        <v>0.113</v>
      </c>
      <c r="I52" s="58">
        <v>1.2</v>
      </c>
      <c r="J52" s="104" t="s">
        <v>44</v>
      </c>
    </row>
    <row r="53" spans="1:10" ht="17.25" customHeight="1">
      <c r="A53" s="56">
        <v>32</v>
      </c>
      <c r="B53" s="57" t="s">
        <v>80</v>
      </c>
      <c r="C53" s="57">
        <v>2250203341</v>
      </c>
      <c r="D53" s="105"/>
      <c r="E53" s="105"/>
      <c r="F53" s="102">
        <v>9000</v>
      </c>
      <c r="G53" s="103" t="s">
        <v>21</v>
      </c>
      <c r="H53" s="58">
        <v>0.56299999999999994</v>
      </c>
      <c r="I53" s="58">
        <v>4.7</v>
      </c>
      <c r="J53" s="104" t="s">
        <v>67</v>
      </c>
    </row>
    <row r="54" spans="1:10" ht="17.25" customHeight="1">
      <c r="A54" s="56">
        <v>33</v>
      </c>
      <c r="B54" s="57" t="s">
        <v>80</v>
      </c>
      <c r="C54" s="57">
        <v>2250203341</v>
      </c>
      <c r="D54" s="105"/>
      <c r="E54" s="105"/>
      <c r="F54" s="102">
        <v>13500</v>
      </c>
      <c r="G54" s="103" t="s">
        <v>21</v>
      </c>
      <c r="H54" s="58">
        <v>0</v>
      </c>
      <c r="I54" s="58">
        <v>0</v>
      </c>
      <c r="J54" s="104" t="s">
        <v>63</v>
      </c>
    </row>
    <row r="55" spans="1:10" ht="17.25" customHeight="1">
      <c r="A55" s="56">
        <v>34</v>
      </c>
      <c r="B55" s="57" t="s">
        <v>79</v>
      </c>
      <c r="C55" s="57">
        <v>2250401314</v>
      </c>
      <c r="D55" s="105"/>
      <c r="E55" s="105"/>
      <c r="F55" s="102">
        <v>13500</v>
      </c>
      <c r="G55" s="103" t="s">
        <v>21</v>
      </c>
      <c r="H55" s="58">
        <v>0.33800000000000002</v>
      </c>
      <c r="I55" s="58">
        <v>3</v>
      </c>
      <c r="J55" s="104" t="s">
        <v>67</v>
      </c>
    </row>
    <row r="56" spans="1:10" ht="17.25" customHeight="1">
      <c r="A56" s="56">
        <v>35</v>
      </c>
      <c r="B56" s="57" t="s">
        <v>79</v>
      </c>
      <c r="C56" s="57">
        <v>2250401314</v>
      </c>
      <c r="D56" s="105"/>
      <c r="E56" s="105"/>
      <c r="F56" s="102">
        <v>4500</v>
      </c>
      <c r="G56" s="103" t="s">
        <v>21</v>
      </c>
      <c r="H56" s="58">
        <v>0.22500000000000001</v>
      </c>
      <c r="I56" s="58">
        <v>2.1</v>
      </c>
      <c r="J56" s="104" t="s">
        <v>68</v>
      </c>
    </row>
    <row r="57" spans="1:10" ht="17.25" customHeight="1">
      <c r="A57" s="56">
        <v>36</v>
      </c>
      <c r="B57" s="57" t="s">
        <v>79</v>
      </c>
      <c r="C57" s="57">
        <v>2250500066</v>
      </c>
      <c r="D57" s="105"/>
      <c r="E57" s="105"/>
      <c r="F57" s="102">
        <v>4500</v>
      </c>
      <c r="G57" s="103" t="s">
        <v>21</v>
      </c>
      <c r="H57" s="58">
        <v>0</v>
      </c>
      <c r="I57" s="58">
        <v>0</v>
      </c>
      <c r="J57" s="104" t="s">
        <v>63</v>
      </c>
    </row>
    <row r="58" spans="1:10" ht="17.25" customHeight="1">
      <c r="A58" s="56">
        <v>37</v>
      </c>
      <c r="B58" s="57" t="s">
        <v>50</v>
      </c>
      <c r="C58" s="57">
        <v>2250500066</v>
      </c>
      <c r="D58" s="105"/>
      <c r="E58" s="105"/>
      <c r="F58" s="102">
        <v>6000</v>
      </c>
      <c r="G58" s="103" t="s">
        <v>21</v>
      </c>
      <c r="H58" s="58">
        <v>0.18</v>
      </c>
      <c r="I58" s="58">
        <v>0.9</v>
      </c>
      <c r="J58" s="104" t="s">
        <v>133</v>
      </c>
    </row>
    <row r="59" spans="1:10" ht="17.25" customHeight="1">
      <c r="A59" s="56">
        <v>38</v>
      </c>
      <c r="B59" s="57" t="s">
        <v>50</v>
      </c>
      <c r="C59" s="57">
        <v>2250500066</v>
      </c>
      <c r="D59" s="105"/>
      <c r="E59" s="105"/>
      <c r="F59" s="102">
        <v>9000</v>
      </c>
      <c r="G59" s="103" t="s">
        <v>21</v>
      </c>
      <c r="H59" s="58">
        <v>0</v>
      </c>
      <c r="I59" s="58">
        <v>0</v>
      </c>
      <c r="J59" s="104" t="s">
        <v>63</v>
      </c>
    </row>
    <row r="60" spans="1:10" ht="17.25" customHeight="1">
      <c r="A60" s="56">
        <v>39</v>
      </c>
      <c r="B60" s="57" t="s">
        <v>50</v>
      </c>
      <c r="C60" s="57">
        <v>2250500066</v>
      </c>
      <c r="D60" s="105"/>
      <c r="E60" s="105"/>
      <c r="F60" s="102">
        <v>6000</v>
      </c>
      <c r="G60" s="103" t="s">
        <v>21</v>
      </c>
      <c r="H60" s="58">
        <v>7.1999999999999995E-2</v>
      </c>
      <c r="I60" s="58">
        <v>0.5</v>
      </c>
      <c r="J60" s="104" t="s">
        <v>64</v>
      </c>
    </row>
    <row r="61" spans="1:10" ht="17.25" customHeight="1">
      <c r="A61" s="56">
        <v>40</v>
      </c>
      <c r="B61" s="57" t="s">
        <v>104</v>
      </c>
      <c r="C61" s="57">
        <v>2230702546</v>
      </c>
      <c r="D61" s="105"/>
      <c r="E61" s="105"/>
      <c r="F61" s="102">
        <v>6000</v>
      </c>
      <c r="G61" s="103" t="s">
        <v>21</v>
      </c>
      <c r="H61" s="58">
        <v>3.5999999999999997E-2</v>
      </c>
      <c r="I61" s="58">
        <v>0.53</v>
      </c>
      <c r="J61" s="104" t="s">
        <v>64</v>
      </c>
    </row>
    <row r="62" spans="1:10" ht="17.25" customHeight="1">
      <c r="A62" s="38"/>
      <c r="B62" s="38"/>
      <c r="C62" s="77"/>
      <c r="D62" s="29"/>
      <c r="E62" s="54" t="s">
        <v>33</v>
      </c>
      <c r="F62" s="106">
        <f>SUM(F22:F61)</f>
        <v>431380</v>
      </c>
      <c r="G62" s="94"/>
      <c r="H62" s="95">
        <f>SUM(H22:H61)</f>
        <v>10.142999999999999</v>
      </c>
      <c r="I62" s="95">
        <f>SUM(I22:I61)</f>
        <v>80.930000000000007</v>
      </c>
      <c r="J62" s="96"/>
    </row>
    <row r="63" spans="1:10" ht="17.25" customHeight="1">
      <c r="A63" s="38"/>
      <c r="E63" s="55" t="s">
        <v>45</v>
      </c>
      <c r="F63" s="55">
        <v>33</v>
      </c>
      <c r="J63" s="98"/>
    </row>
    <row r="64" spans="1:10" ht="17.25" customHeight="1">
      <c r="A64" s="38"/>
      <c r="E64" s="55" t="s">
        <v>46</v>
      </c>
      <c r="F64" s="97"/>
      <c r="J64" s="98"/>
    </row>
    <row r="65" spans="1:10" ht="17.25" customHeight="1">
      <c r="A65" s="38"/>
      <c r="E65" s="55" t="s">
        <v>47</v>
      </c>
      <c r="F65" s="97"/>
      <c r="J65" s="98"/>
    </row>
    <row r="66" spans="1:10" ht="17.25" customHeight="1">
      <c r="A66" s="99"/>
      <c r="B66" s="100"/>
      <c r="C66" s="100"/>
      <c r="D66" s="100"/>
      <c r="E66" s="100"/>
      <c r="F66" s="100"/>
      <c r="G66" s="100"/>
      <c r="H66" s="100"/>
      <c r="I66" s="100"/>
      <c r="J66" s="101"/>
    </row>
  </sheetData>
  <mergeCells count="15">
    <mergeCell ref="J20:J21"/>
    <mergeCell ref="D20:E21"/>
    <mergeCell ref="A19:C19"/>
    <mergeCell ref="D19:E19"/>
    <mergeCell ref="A20:A21"/>
    <mergeCell ref="B20:B21"/>
    <mergeCell ref="C20:C21"/>
    <mergeCell ref="F20:F21"/>
    <mergeCell ref="G20:G21"/>
    <mergeCell ref="A1:J1"/>
    <mergeCell ref="F15:G15"/>
    <mergeCell ref="F16:G16"/>
    <mergeCell ref="A17:C17"/>
    <mergeCell ref="D17:E17"/>
    <mergeCell ref="F17:G17"/>
  </mergeCells>
  <phoneticPr fontId="3" type="noConversion"/>
  <pageMargins left="0.75" right="0.75" top="1" bottom="1" header="0.5" footer="0.5"/>
  <pageSetup paperSize="9" scale="9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Zoe Hsu(許佳諭)(TPE)</cp:lastModifiedBy>
  <dcterms:created xsi:type="dcterms:W3CDTF">2025-07-17T08:11:00Z</dcterms:created>
  <dcterms:modified xsi:type="dcterms:W3CDTF">2025-08-14T11:05:18Z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