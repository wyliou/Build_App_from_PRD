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INVOICE" sheetId="1" r:id="rId1"/>
    <sheet name="PACKING" sheetId="2" r:id="rId2"/>
  </sheets>
  <calcPr calcId="144525"/>
</workbook>
</file>

<file path=xl/sharedStrings.xml><?xml version="1.0" encoding="utf-8"?>
<sst xmlns="http://schemas.openxmlformats.org/spreadsheetml/2006/main" count="168" uniqueCount="91">
  <si>
    <t>COMMERCIAL INVOICE</t>
  </si>
  <si>
    <t>Shipper/Exporter</t>
  </si>
  <si>
    <t>No. &amp; Date of Invoice</t>
  </si>
  <si>
    <t>萬旭電業股份有限公司</t>
  </si>
  <si>
    <t>No. A2G3-251200052</t>
  </si>
  <si>
    <t>WANSHIH  ELECTRONIC CO.,LTD</t>
  </si>
  <si>
    <r>
      <rPr>
        <sz val="10"/>
        <rFont val="Arial"/>
        <charset val="134"/>
      </rPr>
      <t>DATE</t>
    </r>
    <r>
      <rPr>
        <sz val="10"/>
        <rFont val="細明體"/>
        <charset val="136"/>
      </rPr>
      <t>：</t>
    </r>
    <r>
      <rPr>
        <sz val="10"/>
        <rFont val="Arial"/>
        <charset val="134"/>
      </rPr>
      <t>2025/12/18</t>
    </r>
  </si>
  <si>
    <t>Bill To:</t>
  </si>
  <si>
    <t xml:space="preserve"> Payment Term</t>
  </si>
  <si>
    <t>Sernet (Suzhou) Technologies Corporation    </t>
  </si>
  <si>
    <t>T150</t>
  </si>
  <si>
    <t>No.8,Tangzhuang Road, Suzhou Industrial Park, Jiangsu, China</t>
  </si>
  <si>
    <t>Ship To:</t>
  </si>
  <si>
    <t xml:space="preserve"> Trade Term</t>
  </si>
  <si>
    <r>
      <rPr>
        <sz val="10"/>
        <rFont val="Arial"/>
        <charset val="134"/>
      </rPr>
      <t>CIF-</t>
    </r>
    <r>
      <rPr>
        <sz val="10"/>
        <rFont val="細明體"/>
        <charset val="136"/>
      </rPr>
      <t>物流園</t>
    </r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</si>
  <si>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</si>
  <si>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</si>
  <si>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</si>
  <si>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</si>
  <si>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</si>
  <si>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</si>
  <si>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中國台灣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</si>
  <si>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</si>
  <si>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</si>
  <si>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</si>
  <si>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</si>
  <si>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</si>
  <si>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</si>
  <si>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</si>
  <si>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</si>
  <si>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</si>
  <si>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</si>
  <si>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</si>
  <si>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</si>
  <si>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</si>
  <si>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</si>
  <si>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617211CN</t>
  </si>
  <si>
    <t>ANTENNA,21mm WH 35x17.2x0.8 (HF) SRM</t>
  </si>
  <si>
    <t>PCS</t>
  </si>
  <si>
    <t>USD</t>
  </si>
  <si>
    <t>中國</t>
  </si>
  <si>
    <t>无品牌</t>
  </si>
  <si>
    <t>无类型</t>
  </si>
  <si>
    <t>无型号</t>
  </si>
  <si>
    <t>617211CP</t>
  </si>
  <si>
    <t>2250703123</t>
  </si>
  <si>
    <t>ANTENNA,35mm BK 35x17.2x0.8 (HF) SRM</t>
  </si>
  <si>
    <t>617211CQ</t>
  </si>
  <si>
    <t>ANTENNA,151mm GY 20.5x17.2 x0.8 (HF) SRM</t>
  </si>
  <si>
    <t>6172119P</t>
  </si>
  <si>
    <t>ANTENNA,55mm 31x10x1.6 SRM</t>
  </si>
  <si>
    <t>617211GZ</t>
  </si>
  <si>
    <t>2250901336</t>
  </si>
  <si>
    <t>ANTENNA,45mm WH 31x10x1.6 (HF) SRM</t>
  </si>
  <si>
    <t>617211UD</t>
  </si>
  <si>
    <t xml:space="preserve"> ANTENNA,145mm GY SRM</t>
  </si>
  <si>
    <t xml:space="preserve">                  TOTAL</t>
  </si>
  <si>
    <t>报关行</t>
  </si>
  <si>
    <t>江苏众诚报关代理有限公司</t>
  </si>
  <si>
    <t>申报地海关</t>
  </si>
  <si>
    <t>关联备案号</t>
  </si>
  <si>
    <t>新帐册号T2358W000197</t>
  </si>
  <si>
    <t>运输方式</t>
  </si>
  <si>
    <t>保税港区</t>
  </si>
  <si>
    <t>PACKING LIST</t>
  </si>
  <si>
    <t>No &amp; Date of Invoice</t>
  </si>
  <si>
    <t>Remarks: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</si>
  <si>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</si>
  <si>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</si>
  <si>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</si>
  <si>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</si>
  <si>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</si>
  <si>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</si>
  <si>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</si>
  <si>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1-6</t>
  </si>
  <si>
    <t>33*23*26cm</t>
  </si>
  <si>
    <t>7-12</t>
  </si>
  <si>
    <t>13-20</t>
  </si>
  <si>
    <t>21-23</t>
  </si>
  <si>
    <t>24-26</t>
  </si>
  <si>
    <t>27-30</t>
  </si>
  <si>
    <t>棧板</t>
  </si>
  <si>
    <t>TOTAL</t>
  </si>
  <si>
    <t>件数</t>
  </si>
  <si>
    <r>
      <rPr>
        <sz val="10"/>
        <rFont val="Arial"/>
        <charset val="134"/>
      </rPr>
      <t>30</t>
    </r>
    <r>
      <rPr>
        <sz val="10"/>
        <rFont val="細明體"/>
        <charset val="136"/>
      </rPr>
      <t>箱</t>
    </r>
    <r>
      <rPr>
        <sz val="10"/>
        <rFont val="Arial"/>
        <charset val="134"/>
      </rPr>
      <t>(</t>
    </r>
    <r>
      <rPr>
        <sz val="10"/>
        <rFont val="細明體"/>
        <charset val="136"/>
      </rPr>
      <t>兩托)</t>
    </r>
  </si>
  <si>
    <t>1栈板尺寸100CM*120CM*70.5CM (前段)</t>
  </si>
  <si>
    <t>包装种类</t>
  </si>
  <si>
    <t>纸箱+托盘</t>
  </si>
  <si>
    <t>2栈板尺寸100CM*120CM*43.5CM (後段)</t>
  </si>
  <si>
    <t>托盘材质</t>
  </si>
  <si>
    <t>再生木托</t>
  </si>
</sst>
</file>

<file path=xl/styles.xml><?xml version="1.0" encoding="utf-8"?>
<styleSheet xmlns="http://schemas.openxmlformats.org/spreadsheetml/2006/main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0.00_ "/>
    <numFmt numFmtId="178" formatCode="_ * #,##0.00_ ;_ * \-#,##0.00_ ;_ * &quot;-&quot;??_ ;_ @_ "/>
    <numFmt numFmtId="179" formatCode="yyyy/m/d;@"/>
    <numFmt numFmtId="180" formatCode="m&quot;月&quot;d&quot;日&quot;"/>
    <numFmt numFmtId="181" formatCode="0_ "/>
    <numFmt numFmtId="182" formatCode="0.000_ "/>
    <numFmt numFmtId="183" formatCode="0.00_);[Red]\(0.00\)"/>
    <numFmt numFmtId="184" formatCode="#,##0.00_ "/>
    <numFmt numFmtId="185" formatCode="0.00000_);[Red]\(0.00000\)"/>
    <numFmt numFmtId="186" formatCode="0.0000_);[Red]\(0.0000\)"/>
  </numFmts>
  <fonts count="39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color theme="1"/>
      <name val="宋体"/>
      <charset val="136"/>
      <scheme val="minor"/>
    </font>
    <font>
      <sz val="10"/>
      <name val="Arial"/>
      <charset val="134"/>
    </font>
    <font>
      <sz val="10"/>
      <color rgb="FFFF0000"/>
      <name val="宋体"/>
      <charset val="136"/>
    </font>
    <font>
      <sz val="10"/>
      <name val="宋体"/>
      <charset val="136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細明體"/>
      <charset val="136"/>
    </font>
    <font>
      <sz val="11"/>
      <color theme="1"/>
      <name val="宋体"/>
      <charset val="136"/>
      <scheme val="minor"/>
    </font>
    <font>
      <sz val="10"/>
      <name val="新細明體"/>
      <charset val="136"/>
    </font>
    <font>
      <b/>
      <sz val="10"/>
      <name val="宋体"/>
      <charset val="136"/>
    </font>
    <font>
      <b/>
      <sz val="10"/>
      <name val="新細明體"/>
      <charset val="136"/>
    </font>
    <font>
      <sz val="18"/>
      <color theme="1"/>
      <name val="宋体"/>
      <charset val="136"/>
      <scheme val="minor"/>
    </font>
    <font>
      <b/>
      <sz val="18"/>
      <name val="Arial"/>
      <charset val="134"/>
    </font>
    <font>
      <sz val="12"/>
      <color rgb="FF000000"/>
      <name val="Calibri"/>
      <charset val="134"/>
    </font>
    <font>
      <sz val="10"/>
      <color indexed="12"/>
      <name val="新細明體"/>
      <charset val="136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6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0" fillId="13" borderId="16" applyNumberFormat="0" applyAlignment="0" applyProtection="0">
      <alignment vertical="center"/>
    </xf>
    <xf numFmtId="0" fontId="31" fillId="13" borderId="12" applyNumberFormat="0" applyAlignment="0" applyProtection="0">
      <alignment vertical="center"/>
    </xf>
    <xf numFmtId="0" fontId="32" fillId="14" borderId="17" applyNumberFormat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0"/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38" fillId="0" borderId="0"/>
  </cellStyleXfs>
  <cellXfs count="20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31" applyFont="1" applyBorder="1" applyAlignment="1">
      <alignment vertical="center"/>
    </xf>
    <xf numFmtId="0" fontId="1" fillId="0" borderId="2" xfId="3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31" applyFont="1" applyFill="1" applyBorder="1" applyAlignment="1"/>
    <xf numFmtId="0" fontId="1" fillId="2" borderId="2" xfId="31" applyFont="1" applyFill="1" applyBorder="1" applyAlignment="1"/>
    <xf numFmtId="0" fontId="3" fillId="0" borderId="2" xfId="31" applyFont="1" applyBorder="1" applyAlignment="1"/>
    <xf numFmtId="0" fontId="4" fillId="0" borderId="4" xfId="31" applyFont="1" applyBorder="1" applyAlignment="1"/>
    <xf numFmtId="0" fontId="5" fillId="0" borderId="3" xfId="0" applyFont="1" applyFill="1" applyBorder="1" applyAlignment="1"/>
    <xf numFmtId="0" fontId="3" fillId="2" borderId="0" xfId="31" applyFont="1" applyFill="1" applyBorder="1" applyAlignment="1"/>
    <xf numFmtId="0" fontId="3" fillId="0" borderId="0" xfId="31" applyFont="1" applyBorder="1" applyAlignment="1"/>
    <xf numFmtId="0" fontId="3" fillId="0" borderId="5" xfId="31" applyFont="1" applyBorder="1" applyAlignment="1"/>
    <xf numFmtId="0" fontId="3" fillId="0" borderId="3" xfId="0" applyFont="1" applyFill="1" applyBorder="1" applyAlignment="1"/>
    <xf numFmtId="0" fontId="3" fillId="0" borderId="3" xfId="50" applyFont="1" applyBorder="1" applyAlignment="1">
      <alignment vertical="top" wrapText="1"/>
    </xf>
    <xf numFmtId="0" fontId="3" fillId="0" borderId="0" xfId="50" applyFont="1" applyBorder="1" applyAlignment="1">
      <alignment vertical="top" wrapText="1"/>
    </xf>
    <xf numFmtId="0" fontId="3" fillId="0" borderId="5" xfId="50" applyFont="1" applyBorder="1" applyAlignment="1">
      <alignment vertical="top" wrapText="1"/>
    </xf>
    <xf numFmtId="179" fontId="3" fillId="0" borderId="3" xfId="0" applyNumberFormat="1" applyFont="1" applyFill="1" applyBorder="1" applyAlignment="1"/>
    <xf numFmtId="0" fontId="3" fillId="0" borderId="3" xfId="31" applyFont="1" applyBorder="1" applyAlignment="1"/>
    <xf numFmtId="0" fontId="3" fillId="0" borderId="6" xfId="50" applyFont="1" applyBorder="1" applyAlignment="1"/>
    <xf numFmtId="0" fontId="3" fillId="0" borderId="7" xfId="50" applyFont="1" applyBorder="1" applyAlignment="1"/>
    <xf numFmtId="0" fontId="3" fillId="0" borderId="7" xfId="52" applyFont="1" applyBorder="1" applyAlignment="1"/>
    <xf numFmtId="0" fontId="3" fillId="0" borderId="8" xfId="52" applyFont="1" applyBorder="1" applyAlignment="1"/>
    <xf numFmtId="0" fontId="3" fillId="0" borderId="6" xfId="31" applyFont="1" applyBorder="1" applyAlignment="1"/>
    <xf numFmtId="0" fontId="3" fillId="0" borderId="7" xfId="31" applyFont="1" applyBorder="1" applyAlignment="1"/>
    <xf numFmtId="0" fontId="1" fillId="2" borderId="1" xfId="50" applyFont="1" applyFill="1" applyBorder="1" applyAlignment="1"/>
    <xf numFmtId="0" fontId="3" fillId="2" borderId="2" xfId="31" applyFont="1" applyFill="1" applyBorder="1" applyAlignment="1"/>
    <xf numFmtId="0" fontId="3" fillId="2" borderId="4" xfId="31" applyFont="1" applyFill="1" applyBorder="1" applyAlignment="1"/>
    <xf numFmtId="0" fontId="1" fillId="0" borderId="2" xfId="31" applyFont="1" applyBorder="1" applyAlignment="1"/>
    <xf numFmtId="0" fontId="3" fillId="0" borderId="0" xfId="31" applyFont="1" applyAlignment="1"/>
    <xf numFmtId="0" fontId="3" fillId="0" borderId="3" xfId="31" applyFont="1" applyFill="1" applyBorder="1" applyAlignment="1"/>
    <xf numFmtId="0" fontId="3" fillId="0" borderId="0" xfId="31" applyFont="1" applyFill="1" applyBorder="1" applyAlignment="1"/>
    <xf numFmtId="0" fontId="1" fillId="0" borderId="0" xfId="31" applyFont="1" applyFill="1" applyBorder="1" applyAlignment="1"/>
    <xf numFmtId="0" fontId="1" fillId="0" borderId="5" xfId="31" applyFont="1" applyFill="1" applyBorder="1" applyAlignment="1"/>
    <xf numFmtId="0" fontId="3" fillId="0" borderId="5" xfId="31" applyFont="1" applyFill="1" applyBorder="1" applyAlignment="1"/>
    <xf numFmtId="0" fontId="1" fillId="0" borderId="0" xfId="31" applyFont="1" applyAlignment="1"/>
    <xf numFmtId="0" fontId="3" fillId="0" borderId="0" xfId="50" applyFont="1" applyAlignment="1"/>
    <xf numFmtId="0" fontId="3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/>
    <xf numFmtId="0" fontId="6" fillId="0" borderId="0" xfId="31" applyFont="1" applyAlignment="1"/>
    <xf numFmtId="0" fontId="1" fillId="2" borderId="3" xfId="50" applyFont="1" applyFill="1" applyBorder="1" applyAlignment="1"/>
    <xf numFmtId="0" fontId="7" fillId="0" borderId="0" xfId="31" applyFont="1" applyBorder="1" applyAlignment="1"/>
    <xf numFmtId="0" fontId="3" fillId="0" borderId="8" xfId="31" applyFont="1" applyBorder="1" applyAlignment="1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1" xfId="31" applyFont="1" applyBorder="1" applyAlignment="1"/>
    <xf numFmtId="0" fontId="4" fillId="0" borderId="4" xfId="50" applyFont="1" applyBorder="1" applyAlignment="1"/>
    <xf numFmtId="177" fontId="3" fillId="0" borderId="0" xfId="0" applyNumberFormat="1" applyFont="1" applyFill="1" applyBorder="1" applyAlignment="1">
      <alignment vertical="center"/>
    </xf>
    <xf numFmtId="0" fontId="3" fillId="0" borderId="6" xfId="0" applyFont="1" applyFill="1" applyBorder="1" applyAlignment="1"/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0" fontId="1" fillId="0" borderId="0" xfId="31" applyFont="1" applyBorder="1" applyAlignment="1"/>
    <xf numFmtId="0" fontId="4" fillId="0" borderId="5" xfId="31" applyFont="1" applyBorder="1" applyAlignment="1"/>
    <xf numFmtId="0" fontId="8" fillId="0" borderId="5" xfId="31" applyFont="1" applyBorder="1" applyAlignment="1"/>
    <xf numFmtId="179" fontId="3" fillId="0" borderId="6" xfId="0" applyNumberFormat="1" applyFont="1" applyFill="1" applyBorder="1" applyAlignment="1"/>
    <xf numFmtId="179" fontId="3" fillId="0" borderId="8" xfId="0" applyNumberFormat="1" applyFont="1" applyFill="1" applyBorder="1" applyAlignment="1"/>
    <xf numFmtId="0" fontId="1" fillId="2" borderId="3" xfId="50" applyFont="1" applyFill="1" applyBorder="1" applyAlignment="1">
      <alignment vertical="center"/>
    </xf>
    <xf numFmtId="0" fontId="1" fillId="2" borderId="0" xfId="50" applyFont="1" applyFill="1" applyBorder="1" applyAlignment="1">
      <alignment vertical="center"/>
    </xf>
    <xf numFmtId="0" fontId="1" fillId="2" borderId="0" xfId="31" applyFont="1" applyFill="1" applyBorder="1" applyAlignment="1">
      <alignment vertical="center"/>
    </xf>
    <xf numFmtId="0" fontId="1" fillId="2" borderId="0" xfId="31" applyFont="1" applyFill="1" applyBorder="1" applyAlignment="1"/>
    <xf numFmtId="180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9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181" fontId="3" fillId="0" borderId="9" xfId="0" applyNumberFormat="1" applyFont="1" applyFill="1" applyBorder="1" applyAlignment="1">
      <alignment horizontal="center" vertical="center" shrinkToFit="1"/>
    </xf>
    <xf numFmtId="182" fontId="3" fillId="0" borderId="9" xfId="0" applyNumberFormat="1" applyFont="1" applyFill="1" applyBorder="1" applyAlignment="1">
      <alignment horizontal="center" vertical="center" wrapText="1" shrinkToFit="1"/>
    </xf>
    <xf numFmtId="177" fontId="3" fillId="0" borderId="9" xfId="0" applyNumberFormat="1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vertical="center" wrapText="1" shrinkToFit="1"/>
    </xf>
    <xf numFmtId="0" fontId="3" fillId="2" borderId="10" xfId="0" applyFont="1" applyFill="1" applyBorder="1" applyAlignment="1">
      <alignment vertical="center" wrapText="1" shrinkToFit="1"/>
    </xf>
    <xf numFmtId="0" fontId="3" fillId="2" borderId="11" xfId="0" applyFont="1" applyFill="1" applyBorder="1" applyAlignment="1">
      <alignment vertical="center" wrapText="1" shrinkToFit="1"/>
    </xf>
    <xf numFmtId="181" fontId="3" fillId="0" borderId="9" xfId="0" applyNumberFormat="1" applyFont="1" applyFill="1" applyBorder="1" applyAlignment="1">
      <alignment vertical="center" shrinkToFit="1"/>
    </xf>
    <xf numFmtId="182" fontId="3" fillId="0" borderId="9" xfId="0" applyNumberFormat="1" applyFont="1" applyFill="1" applyBorder="1" applyAlignment="1">
      <alignment vertical="center" wrapText="1" shrinkToFit="1"/>
    </xf>
    <xf numFmtId="183" fontId="3" fillId="0" borderId="9" xfId="0" applyNumberFormat="1" applyFont="1" applyFill="1" applyBorder="1" applyAlignment="1">
      <alignment vertical="center" wrapText="1" shrinkToFit="1"/>
    </xf>
    <xf numFmtId="0" fontId="3" fillId="2" borderId="10" xfId="0" applyFont="1" applyFill="1" applyBorder="1" applyAlignment="1">
      <alignment vertical="center" shrinkToFit="1"/>
    </xf>
    <xf numFmtId="0" fontId="3" fillId="2" borderId="11" xfId="0" applyFont="1" applyFill="1" applyBorder="1" applyAlignment="1">
      <alignment vertical="center" shrinkToFit="1"/>
    </xf>
    <xf numFmtId="0" fontId="3" fillId="0" borderId="3" xfId="0" applyFont="1" applyFill="1" applyBorder="1" applyAlignment="1">
      <alignment vertical="center" wrapText="1" shrinkToFit="1"/>
    </xf>
    <xf numFmtId="0" fontId="3" fillId="0" borderId="0" xfId="51" applyFont="1" applyFill="1" applyBorder="1" applyAlignment="1">
      <alignment vertical="center" wrapText="1" shrinkToFit="1"/>
    </xf>
    <xf numFmtId="0" fontId="3" fillId="0" borderId="0" xfId="0" applyFont="1" applyFill="1" applyBorder="1" applyAlignment="1">
      <alignment vertical="center" wrapText="1" shrinkToFit="1"/>
    </xf>
    <xf numFmtId="0" fontId="3" fillId="2" borderId="0" xfId="0" applyFont="1" applyFill="1" applyBorder="1" applyAlignment="1">
      <alignment vertical="center" shrinkToFit="1"/>
    </xf>
    <xf numFmtId="181" fontId="3" fillId="0" borderId="0" xfId="0" applyNumberFormat="1" applyFont="1" applyFill="1" applyBorder="1" applyAlignment="1">
      <alignment vertical="center" shrinkToFit="1"/>
    </xf>
    <xf numFmtId="182" fontId="9" fillId="0" borderId="0" xfId="0" applyNumberFormat="1" applyFont="1" applyFill="1" applyBorder="1" applyAlignment="1">
      <alignment vertical="center" wrapText="1" shrinkToFit="1"/>
    </xf>
    <xf numFmtId="183" fontId="3" fillId="0" borderId="0" xfId="0" applyNumberFormat="1" applyFont="1" applyFill="1" applyBorder="1" applyAlignment="1">
      <alignment vertical="center" wrapText="1" shrinkToFit="1"/>
    </xf>
    <xf numFmtId="181" fontId="1" fillId="0" borderId="3" xfId="31" applyNumberFormat="1" applyFont="1" applyFill="1" applyBorder="1" applyAlignment="1"/>
    <xf numFmtId="182" fontId="1" fillId="0" borderId="0" xfId="31" applyNumberFormat="1" applyFont="1" applyFill="1" applyBorder="1" applyAlignment="1"/>
    <xf numFmtId="183" fontId="1" fillId="0" borderId="0" xfId="31" applyNumberFormat="1" applyFont="1" applyFill="1" applyBorder="1" applyAlignment="1"/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5" fillId="0" borderId="0" xfId="31" applyFont="1" applyFill="1" applyAlignment="1">
      <alignment vertical="center"/>
    </xf>
    <xf numFmtId="0" fontId="3" fillId="0" borderId="0" xfId="31" applyFont="1" applyFill="1" applyAlignment="1"/>
    <xf numFmtId="0" fontId="10" fillId="0" borderId="0" xfId="0" applyFont="1" applyFill="1" applyAlignment="1">
      <alignment vertical="center"/>
    </xf>
    <xf numFmtId="0" fontId="5" fillId="0" borderId="0" xfId="31" applyFont="1" applyFill="1" applyAlignment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4" xfId="3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1" fillId="0" borderId="5" xfId="0" applyFont="1" applyFill="1" applyBorder="1" applyAlignment="1"/>
    <xf numFmtId="0" fontId="3" fillId="0" borderId="0" xfId="31" applyFont="1" applyAlignment="1">
      <alignment vertical="center"/>
    </xf>
    <xf numFmtId="0" fontId="12" fillId="2" borderId="4" xfId="0" applyFont="1" applyFill="1" applyBorder="1" applyAlignment="1">
      <alignment vertical="center" wrapText="1"/>
    </xf>
    <xf numFmtId="0" fontId="13" fillId="2" borderId="5" xfId="0" applyFont="1" applyFill="1" applyBorder="1" applyAlignment="1">
      <alignment vertical="center" wrapText="1"/>
    </xf>
    <xf numFmtId="177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183" fontId="1" fillId="0" borderId="5" xfId="31" applyNumberFormat="1" applyFont="1" applyFill="1" applyBorder="1" applyAlignment="1"/>
    <xf numFmtId="0" fontId="10" fillId="0" borderId="5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14" fillId="0" borderId="0" xfId="0" applyFont="1">
      <alignment vertical="center"/>
    </xf>
    <xf numFmtId="0" fontId="15" fillId="0" borderId="1" xfId="50" applyFont="1" applyFill="1" applyBorder="1" applyAlignment="1">
      <alignment horizontal="center"/>
    </xf>
    <xf numFmtId="0" fontId="15" fillId="0" borderId="2" xfId="50" applyFont="1" applyFill="1" applyBorder="1" applyAlignment="1">
      <alignment horizontal="center"/>
    </xf>
    <xf numFmtId="0" fontId="1" fillId="0" borderId="1" xfId="50" applyFont="1" applyFill="1" applyBorder="1"/>
    <xf numFmtId="0" fontId="1" fillId="0" borderId="2" xfId="50" applyFont="1" applyFill="1" applyBorder="1"/>
    <xf numFmtId="0" fontId="3" fillId="0" borderId="2" xfId="50" applyFont="1" applyFill="1" applyBorder="1"/>
    <xf numFmtId="0" fontId="4" fillId="0" borderId="4" xfId="31" applyFont="1" applyFill="1" applyBorder="1"/>
    <xf numFmtId="0" fontId="3" fillId="0" borderId="0" xfId="31" applyFont="1" applyFill="1" applyBorder="1" applyAlignment="1">
      <alignment horizontal="left"/>
    </xf>
    <xf numFmtId="0" fontId="3" fillId="0" borderId="0" xfId="50" applyFont="1" applyFill="1" applyBorder="1"/>
    <xf numFmtId="0" fontId="3" fillId="0" borderId="5" xfId="50" applyFont="1" applyFill="1" applyBorder="1"/>
    <xf numFmtId="49" fontId="3" fillId="0" borderId="0" xfId="5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vertical="top" wrapText="1"/>
    </xf>
    <xf numFmtId="0" fontId="3" fillId="0" borderId="5" xfId="0" applyFont="1" applyFill="1" applyBorder="1" applyAlignment="1">
      <alignment vertical="top" wrapText="1"/>
    </xf>
    <xf numFmtId="179" fontId="3" fillId="0" borderId="0" xfId="0" applyNumberFormat="1" applyFont="1" applyFill="1" applyBorder="1" applyAlignment="1"/>
    <xf numFmtId="179" fontId="3" fillId="0" borderId="0" xfId="0" applyNumberFormat="1" applyFont="1" applyFill="1" applyBorder="1" applyAlignment="1">
      <alignment horizontal="left"/>
    </xf>
    <xf numFmtId="0" fontId="3" fillId="0" borderId="3" xfId="50" applyFont="1" applyFill="1" applyBorder="1"/>
    <xf numFmtId="0" fontId="3" fillId="0" borderId="6" xfId="50" applyFont="1" applyFill="1" applyBorder="1" applyAlignment="1">
      <alignment horizontal="left"/>
    </xf>
    <xf numFmtId="0" fontId="3" fillId="0" borderId="7" xfId="50" applyFont="1" applyFill="1" applyBorder="1" applyAlignment="1">
      <alignment horizontal="left"/>
    </xf>
    <xf numFmtId="0" fontId="3" fillId="0" borderId="7" xfId="50" applyFont="1" applyFill="1" applyBorder="1"/>
    <xf numFmtId="0" fontId="3" fillId="0" borderId="8" xfId="50" applyFont="1" applyFill="1" applyBorder="1"/>
    <xf numFmtId="0" fontId="3" fillId="0" borderId="6" xfId="50" applyFont="1" applyFill="1" applyBorder="1"/>
    <xf numFmtId="0" fontId="3" fillId="0" borderId="4" xfId="50" applyFont="1" applyFill="1" applyBorder="1"/>
    <xf numFmtId="0" fontId="3" fillId="0" borderId="3" xfId="31" applyFont="1" applyFill="1" applyBorder="1" applyAlignment="1">
      <alignment horizontal="left"/>
    </xf>
    <xf numFmtId="0" fontId="1" fillId="0" borderId="0" xfId="31" applyFont="1" applyFill="1" applyBorder="1" applyAlignment="1">
      <alignment horizontal="left"/>
    </xf>
    <xf numFmtId="0" fontId="1" fillId="0" borderId="5" xfId="31" applyFont="1" applyFill="1" applyBorder="1" applyAlignment="1">
      <alignment horizontal="left"/>
    </xf>
    <xf numFmtId="0" fontId="3" fillId="0" borderId="3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3" xfId="50" applyFont="1" applyFill="1" applyBorder="1" applyAlignment="1">
      <alignment horizontal="center"/>
    </xf>
    <xf numFmtId="0" fontId="3" fillId="0" borderId="0" xfId="50" applyFont="1" applyFill="1" applyBorder="1" applyAlignment="1">
      <alignment horizontal="center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6" xfId="31" applyFont="1" applyFill="1" applyBorder="1"/>
    <xf numFmtId="0" fontId="3" fillId="0" borderId="7" xfId="31" applyFont="1" applyFill="1" applyBorder="1"/>
    <xf numFmtId="0" fontId="1" fillId="0" borderId="0" xfId="50" applyFont="1" applyFill="1" applyBorder="1"/>
    <xf numFmtId="0" fontId="3" fillId="0" borderId="0" xfId="31" applyFont="1" applyFill="1"/>
    <xf numFmtId="0" fontId="3" fillId="0" borderId="3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5" fillId="0" borderId="0" xfId="50" applyFont="1" applyFill="1" applyBorder="1"/>
    <xf numFmtId="0" fontId="5" fillId="0" borderId="6" xfId="0" applyFont="1" applyFill="1" applyBorder="1" applyAlignment="1"/>
    <xf numFmtId="0" fontId="3" fillId="0" borderId="8" xfId="50" applyFont="1" applyFill="1" applyBorder="1" applyAlignment="1"/>
    <xf numFmtId="0" fontId="1" fillId="0" borderId="1" xfId="50" applyFont="1" applyFill="1" applyBorder="1" applyAlignment="1">
      <alignment horizontal="center"/>
    </xf>
    <xf numFmtId="0" fontId="3" fillId="0" borderId="4" xfId="50" applyFont="1" applyFill="1" applyBorder="1" applyAlignment="1">
      <alignment horizontal="center"/>
    </xf>
    <xf numFmtId="0" fontId="1" fillId="0" borderId="3" xfId="50" applyFont="1" applyFill="1" applyBorder="1" applyAlignment="1">
      <alignment horizontal="center"/>
    </xf>
    <xf numFmtId="0" fontId="8" fillId="0" borderId="5" xfId="31" applyFont="1" applyFill="1" applyBorder="1" applyAlignment="1">
      <alignment horizontal="center"/>
    </xf>
    <xf numFmtId="0" fontId="5" fillId="0" borderId="0" xfId="5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50" applyFont="1" applyFill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79" fontId="3" fillId="0" borderId="6" xfId="0" applyNumberFormat="1" applyFont="1" applyFill="1" applyBorder="1" applyAlignment="1">
      <alignment horizontal="center"/>
    </xf>
    <xf numFmtId="179" fontId="3" fillId="0" borderId="8" xfId="0" applyNumberFormat="1" applyFont="1" applyFill="1" applyBorder="1" applyAlignment="1">
      <alignment horizontal="center"/>
    </xf>
    <xf numFmtId="0" fontId="5" fillId="0" borderId="6" xfId="50" applyFont="1" applyFill="1" applyBorder="1" applyAlignment="1">
      <alignment horizontal="center"/>
    </xf>
    <xf numFmtId="0" fontId="9" fillId="0" borderId="7" xfId="50" applyFont="1" applyFill="1" applyBorder="1" applyAlignment="1">
      <alignment horizontal="center"/>
    </xf>
    <xf numFmtId="0" fontId="3" fillId="0" borderId="7" xfId="50" applyFont="1" applyFill="1" applyBorder="1" applyAlignment="1">
      <alignment horizontal="center"/>
    </xf>
    <xf numFmtId="0" fontId="1" fillId="0" borderId="3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center" vertical="center"/>
    </xf>
    <xf numFmtId="0" fontId="1" fillId="0" borderId="0" xfId="50" applyFont="1" applyFill="1" applyBorder="1" applyAlignment="1">
      <alignment horizontal="center" vertical="center" wrapText="1"/>
    </xf>
    <xf numFmtId="184" fontId="3" fillId="0" borderId="9" xfId="0" applyNumberFormat="1" applyFont="1" applyFill="1" applyBorder="1" applyAlignment="1">
      <alignment horizontal="center" vertical="center" wrapText="1" shrinkToFit="1"/>
    </xf>
    <xf numFmtId="185" fontId="3" fillId="0" borderId="9" xfId="0" applyNumberFormat="1" applyFont="1" applyFill="1" applyBorder="1" applyAlignment="1">
      <alignment horizontal="center" vertical="center" wrapText="1" shrinkToFit="1"/>
    </xf>
    <xf numFmtId="0" fontId="3" fillId="0" borderId="9" xfId="0" applyNumberFormat="1" applyFont="1" applyFill="1" applyBorder="1" applyAlignment="1">
      <alignment horizontal="center" vertical="center" wrapText="1" shrinkToFit="1"/>
    </xf>
    <xf numFmtId="186" fontId="3" fillId="0" borderId="9" xfId="0" applyNumberFormat="1" applyFont="1" applyFill="1" applyBorder="1" applyAlignment="1">
      <alignment horizontal="center" vertical="center" wrapText="1" shrinkToFit="1"/>
    </xf>
    <xf numFmtId="181" fontId="1" fillId="0" borderId="7" xfId="50" applyNumberFormat="1" applyFont="1" applyFill="1" applyBorder="1" applyAlignment="1">
      <alignment horizontal="center"/>
    </xf>
    <xf numFmtId="0" fontId="1" fillId="0" borderId="7" xfId="50" applyFont="1" applyFill="1" applyBorder="1"/>
    <xf numFmtId="186" fontId="1" fillId="0" borderId="7" xfId="50" applyNumberFormat="1" applyFont="1" applyFill="1" applyBorder="1" applyAlignment="1">
      <alignment horizontal="center"/>
    </xf>
    <xf numFmtId="0" fontId="16" fillId="3" borderId="0" xfId="0" applyFont="1" applyFill="1">
      <alignment vertical="center"/>
    </xf>
    <xf numFmtId="0" fontId="16" fillId="3" borderId="0" xfId="0" applyFont="1" applyFill="1" applyAlignment="1">
      <alignment horizontal="right" vertical="center"/>
    </xf>
    <xf numFmtId="184" fontId="14" fillId="0" borderId="0" xfId="0" applyNumberFormat="1" applyFont="1">
      <alignment vertical="center"/>
    </xf>
    <xf numFmtId="0" fontId="15" fillId="0" borderId="4" xfId="50" applyFont="1" applyFill="1" applyBorder="1" applyAlignment="1">
      <alignment horizontal="center"/>
    </xf>
    <xf numFmtId="0" fontId="11" fillId="0" borderId="2" xfId="0" applyFont="1" applyFill="1" applyBorder="1" applyAlignment="1"/>
    <xf numFmtId="0" fontId="11" fillId="0" borderId="0" xfId="0" applyFont="1" applyFill="1" applyAlignment="1"/>
    <xf numFmtId="0" fontId="11" fillId="0" borderId="7" xfId="0" applyFont="1" applyFill="1" applyBorder="1" applyAlignment="1">
      <alignment vertical="center"/>
    </xf>
    <xf numFmtId="0" fontId="17" fillId="0" borderId="8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5" xfId="0" applyFont="1" applyFill="1" applyBorder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5" xfId="0" applyFont="1" applyFill="1" applyBorder="1" applyAlignment="1">
      <alignment vertical="center"/>
    </xf>
    <xf numFmtId="0" fontId="11" fillId="0" borderId="0" xfId="0" applyFont="1" applyFill="1" applyBorder="1" applyAlignment="1"/>
    <xf numFmtId="0" fontId="4" fillId="0" borderId="7" xfId="31" applyFont="1" applyFill="1" applyBorder="1"/>
    <xf numFmtId="0" fontId="3" fillId="0" borderId="0" xfId="50" applyFont="1" applyFill="1"/>
    <xf numFmtId="0" fontId="11" fillId="0" borderId="0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 wrapText="1"/>
    </xf>
    <xf numFmtId="183" fontId="3" fillId="0" borderId="9" xfId="0" applyNumberFormat="1" applyFont="1" applyFill="1" applyBorder="1" applyAlignment="1">
      <alignment horizontal="center" vertical="center" wrapText="1" shrinkToFit="1"/>
    </xf>
    <xf numFmtId="0" fontId="9" fillId="0" borderId="9" xfId="0" applyFont="1" applyFill="1" applyBorder="1" applyAlignment="1">
      <alignment horizontal="center" vertical="center" wrapText="1" shrinkToFit="1"/>
    </xf>
    <xf numFmtId="183" fontId="1" fillId="0" borderId="7" xfId="50" applyNumberFormat="1" applyFont="1" applyFill="1" applyBorder="1" applyAlignment="1">
      <alignment horizontal="center"/>
    </xf>
    <xf numFmtId="0" fontId="13" fillId="0" borderId="7" xfId="0" applyFont="1" applyFill="1" applyBorder="1" applyAlignment="1"/>
    <xf numFmtId="180" fontId="3" fillId="0" borderId="9" xfId="0" applyNumberFormat="1" applyFont="1" applyFill="1" applyBorder="1" applyAlignment="1" quotePrefix="1">
      <alignment horizontal="center" vertical="center" wrapText="1" shrinkToFi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一般_OMRON海運出口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一般_OMRON" xfId="50"/>
    <cellStyle name="常规_Sheet1_1" xfId="51"/>
    <cellStyle name="常规_啟德一般貿易" xf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139701</xdr:colOff>
      <xdr:row>27</xdr:row>
      <xdr:rowOff>168275</xdr:rowOff>
    </xdr:from>
    <xdr:to>
      <xdr:col>14</xdr:col>
      <xdr:colOff>1</xdr:colOff>
      <xdr:row>35</xdr:row>
      <xdr:rowOff>181337</xdr:rowOff>
    </xdr:to>
    <xdr:pic>
      <xdr:nvPicPr>
        <xdr:cNvPr id="2" name="圖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51060" y="5988050"/>
          <a:ext cx="4040505" cy="204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304800</xdr:colOff>
      <xdr:row>42</xdr:row>
      <xdr:rowOff>133350</xdr:rowOff>
    </xdr:from>
    <xdr:to>
      <xdr:col>9</xdr:col>
      <xdr:colOff>2009775</xdr:colOff>
      <xdr:row>55</xdr:row>
      <xdr:rowOff>136887</xdr:rowOff>
    </xdr:to>
    <xdr:pic>
      <xdr:nvPicPr>
        <xdr:cNvPr id="2" name="圖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76185" y="7410450"/>
          <a:ext cx="3762375" cy="223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33"/>
  <sheetViews>
    <sheetView tabSelected="1" view="pageBreakPreview" zoomScaleNormal="100" topLeftCell="C11" workbookViewId="0">
      <selection activeCell="O22" sqref="O22"/>
    </sheetView>
  </sheetViews>
  <sheetFormatPr defaultColWidth="9" defaultRowHeight="22.5"/>
  <cols>
    <col min="1" max="1" width="13.7083333333333" style="108" customWidth="1"/>
    <col min="2" max="2" width="10.425" style="108" customWidth="1"/>
    <col min="3" max="3" width="18" style="108" customWidth="1"/>
    <col min="4" max="4" width="45" style="108" customWidth="1"/>
    <col min="5" max="5" width="12" style="108" customWidth="1"/>
    <col min="6" max="8" width="9" style="108"/>
    <col min="9" max="9" width="9.85833333333333" style="108" customWidth="1"/>
    <col min="10" max="16384" width="9" style="108"/>
  </cols>
  <sheetData>
    <row r="1" ht="23.25" spans="1:15">
      <c r="A1" s="109" t="s">
        <v>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77"/>
    </row>
    <row r="2" ht="13.5" spans="1:15">
      <c r="A2" s="111" t="s">
        <v>1</v>
      </c>
      <c r="B2" s="112"/>
      <c r="C2" s="113"/>
      <c r="D2" s="114"/>
      <c r="E2" s="111" t="s">
        <v>2</v>
      </c>
      <c r="F2" s="113"/>
      <c r="G2" s="113"/>
      <c r="H2" s="113"/>
      <c r="I2" s="113"/>
      <c r="J2" s="178"/>
      <c r="K2" s="178"/>
      <c r="L2" s="178"/>
      <c r="M2" s="178"/>
      <c r="N2" s="178"/>
      <c r="O2" s="96"/>
    </row>
    <row r="3" ht="13.5" spans="1:15">
      <c r="A3" s="10" t="s">
        <v>3</v>
      </c>
      <c r="B3" s="115"/>
      <c r="C3" s="116"/>
      <c r="D3" s="117"/>
      <c r="E3" s="14" t="s">
        <v>4</v>
      </c>
      <c r="F3" s="116"/>
      <c r="G3" s="118"/>
      <c r="H3" s="118"/>
      <c r="I3" s="116"/>
      <c r="J3" s="179"/>
      <c r="K3" s="179"/>
      <c r="L3" s="179"/>
      <c r="M3" s="179"/>
      <c r="N3" s="179"/>
      <c r="O3" s="96"/>
    </row>
    <row r="4" ht="13.5" spans="1:15">
      <c r="A4" s="119" t="s">
        <v>5</v>
      </c>
      <c r="B4" s="38"/>
      <c r="C4" s="38"/>
      <c r="D4" s="120"/>
      <c r="E4" s="18" t="s">
        <v>6</v>
      </c>
      <c r="F4" s="121"/>
      <c r="G4" s="121"/>
      <c r="H4" s="122"/>
      <c r="I4" s="116"/>
      <c r="J4" s="179"/>
      <c r="K4" s="179"/>
      <c r="L4" s="179"/>
      <c r="M4" s="179"/>
      <c r="N4" s="179"/>
      <c r="O4" s="96"/>
    </row>
    <row r="5" ht="13.5" spans="1:15">
      <c r="A5" s="119"/>
      <c r="B5" s="38"/>
      <c r="C5" s="38"/>
      <c r="D5" s="120"/>
      <c r="E5" s="123"/>
      <c r="F5" s="116"/>
      <c r="G5" s="116"/>
      <c r="H5" s="116"/>
      <c r="I5" s="116"/>
      <c r="J5" s="179"/>
      <c r="K5" s="179"/>
      <c r="L5" s="179"/>
      <c r="M5" s="179"/>
      <c r="N5" s="179"/>
      <c r="O5" s="96"/>
    </row>
    <row r="6" ht="13.5" spans="1:15">
      <c r="A6" s="124"/>
      <c r="B6" s="125"/>
      <c r="C6" s="126"/>
      <c r="D6" s="127"/>
      <c r="E6" s="128"/>
      <c r="F6" s="126"/>
      <c r="G6" s="126"/>
      <c r="H6" s="126"/>
      <c r="I6" s="126"/>
      <c r="J6" s="180"/>
      <c r="K6" s="180"/>
      <c r="L6" s="180"/>
      <c r="M6" s="180"/>
      <c r="N6" s="180"/>
      <c r="O6" s="181"/>
    </row>
    <row r="7" ht="13.5" spans="1:15">
      <c r="A7" s="111" t="s">
        <v>7</v>
      </c>
      <c r="B7" s="112"/>
      <c r="C7" s="113"/>
      <c r="D7" s="129"/>
      <c r="E7" s="111" t="s">
        <v>8</v>
      </c>
      <c r="F7" s="113"/>
      <c r="G7" s="113"/>
      <c r="H7" s="113"/>
      <c r="I7" s="113"/>
      <c r="J7" s="182"/>
      <c r="K7" s="183"/>
      <c r="L7" s="183"/>
      <c r="M7" s="183"/>
      <c r="N7" s="183"/>
      <c r="O7" s="184"/>
    </row>
    <row r="8" ht="13.5" spans="1:15">
      <c r="A8" s="130" t="s">
        <v>9</v>
      </c>
      <c r="B8" s="115"/>
      <c r="C8" s="131"/>
      <c r="D8" s="132"/>
      <c r="E8" s="123" t="s">
        <v>10</v>
      </c>
      <c r="F8" s="116"/>
      <c r="G8" s="116"/>
      <c r="H8" s="116"/>
      <c r="I8" s="116"/>
      <c r="J8" s="183"/>
      <c r="K8" s="183"/>
      <c r="L8" s="183"/>
      <c r="M8" s="183"/>
      <c r="N8" s="183"/>
      <c r="O8" s="184"/>
    </row>
    <row r="9" ht="25.5" customHeight="1" spans="1:15">
      <c r="A9" s="133" t="s">
        <v>11</v>
      </c>
      <c r="B9" s="134"/>
      <c r="C9" s="134"/>
      <c r="D9" s="135"/>
      <c r="E9" s="136"/>
      <c r="F9" s="137"/>
      <c r="G9" s="137"/>
      <c r="H9" s="137"/>
      <c r="I9" s="137"/>
      <c r="J9" s="185"/>
      <c r="K9" s="185"/>
      <c r="L9" s="185"/>
      <c r="M9" s="185"/>
      <c r="N9" s="185"/>
      <c r="O9" s="186"/>
    </row>
    <row r="10" ht="13.5" spans="1:15">
      <c r="A10" s="138"/>
      <c r="B10" s="139"/>
      <c r="C10" s="139"/>
      <c r="D10" s="140"/>
      <c r="E10" s="123"/>
      <c r="F10" s="116"/>
      <c r="G10" s="116"/>
      <c r="H10" s="116"/>
      <c r="I10" s="116"/>
      <c r="J10" s="185"/>
      <c r="K10" s="185"/>
      <c r="L10" s="185"/>
      <c r="M10" s="185"/>
      <c r="N10" s="185"/>
      <c r="O10" s="186"/>
    </row>
    <row r="11" ht="13.5" spans="1:15">
      <c r="A11" s="111" t="s">
        <v>12</v>
      </c>
      <c r="B11" s="113"/>
      <c r="C11" s="113"/>
      <c r="D11" s="129"/>
      <c r="E11" s="111" t="s">
        <v>13</v>
      </c>
      <c r="F11" s="113"/>
      <c r="G11" s="113"/>
      <c r="H11" s="113"/>
      <c r="I11" s="113"/>
      <c r="J11" s="113"/>
      <c r="K11" s="113"/>
      <c r="L11" s="113"/>
      <c r="M11" s="113"/>
      <c r="N11" s="113"/>
      <c r="O11" s="129"/>
    </row>
    <row r="12" ht="13.5" spans="1:15">
      <c r="A12" s="130" t="s">
        <v>9</v>
      </c>
      <c r="B12" s="115"/>
      <c r="C12" s="115"/>
      <c r="D12" s="117"/>
      <c r="E12" s="14" t="s">
        <v>14</v>
      </c>
      <c r="F12" s="39"/>
      <c r="G12" s="39"/>
      <c r="H12" s="39"/>
      <c r="I12" s="39"/>
      <c r="J12" s="187"/>
      <c r="K12" s="187"/>
      <c r="L12" s="187"/>
      <c r="M12" s="187"/>
      <c r="N12" s="187"/>
      <c r="O12" s="96"/>
    </row>
    <row r="13" ht="13.5" spans="1:15">
      <c r="A13" s="141" t="s">
        <v>11</v>
      </c>
      <c r="B13" s="142"/>
      <c r="C13" s="142"/>
      <c r="D13" s="127"/>
      <c r="E13" s="128"/>
      <c r="F13" s="126"/>
      <c r="G13" s="126"/>
      <c r="H13" s="126"/>
      <c r="I13" s="188"/>
      <c r="J13" s="187"/>
      <c r="K13" s="187"/>
      <c r="L13" s="187"/>
      <c r="M13" s="187"/>
      <c r="N13" s="187"/>
      <c r="O13" s="181"/>
    </row>
    <row r="14" ht="13.5" spans="1:15">
      <c r="A14" s="111" t="s">
        <v>15</v>
      </c>
      <c r="B14" s="113"/>
      <c r="C14" s="111" t="s">
        <v>16</v>
      </c>
      <c r="D14" s="129"/>
      <c r="E14" s="143" t="s">
        <v>17</v>
      </c>
      <c r="F14" s="144"/>
      <c r="G14" s="144"/>
      <c r="H14" s="144"/>
      <c r="I14" s="189"/>
      <c r="J14" s="178"/>
      <c r="K14" s="178"/>
      <c r="L14" s="178"/>
      <c r="M14" s="178"/>
      <c r="N14" s="178"/>
      <c r="O14" s="96"/>
    </row>
    <row r="15" ht="13.5" spans="1:15">
      <c r="A15" s="145"/>
      <c r="B15" s="146"/>
      <c r="C15" s="145"/>
      <c r="D15" s="146"/>
      <c r="E15" s="147"/>
      <c r="F15" s="116"/>
      <c r="G15" s="116"/>
      <c r="H15" s="116"/>
      <c r="I15" s="189"/>
      <c r="J15" s="187"/>
      <c r="K15" s="187"/>
      <c r="L15" s="187"/>
      <c r="M15" s="187"/>
      <c r="N15" s="187"/>
      <c r="O15" s="96"/>
    </row>
    <row r="16" ht="13.5" spans="1:15">
      <c r="A16" s="49"/>
      <c r="B16" s="50"/>
      <c r="C16" s="148"/>
      <c r="D16" s="149"/>
      <c r="E16" s="147"/>
      <c r="F16" s="39"/>
      <c r="G16" s="116"/>
      <c r="H16" s="116"/>
      <c r="I16" s="189"/>
      <c r="J16" s="187"/>
      <c r="K16" s="187"/>
      <c r="L16" s="187"/>
      <c r="M16" s="187"/>
      <c r="N16" s="187"/>
      <c r="O16" s="96"/>
    </row>
    <row r="17" ht="13.5" spans="1:15">
      <c r="A17" s="150" t="s">
        <v>18</v>
      </c>
      <c r="B17" s="151"/>
      <c r="C17" s="152" t="s">
        <v>19</v>
      </c>
      <c r="D17" s="153"/>
      <c r="E17" s="154"/>
      <c r="F17" s="155"/>
      <c r="G17" s="156"/>
      <c r="H17" s="156"/>
      <c r="I17" s="156"/>
      <c r="J17" s="190"/>
      <c r="K17" s="190"/>
      <c r="L17" s="190"/>
      <c r="M17" s="190"/>
      <c r="N17" s="190"/>
      <c r="O17" s="191"/>
    </row>
    <row r="18" ht="13.5" spans="1:15">
      <c r="A18" s="157"/>
      <c r="B18" s="158"/>
      <c r="C18" s="159"/>
      <c r="D18" s="160"/>
      <c r="E18" s="161" t="s">
        <v>20</v>
      </c>
      <c r="F18" s="162" t="s">
        <v>21</v>
      </c>
      <c r="G18" s="163"/>
      <c r="H18" s="163"/>
      <c r="I18" s="163"/>
      <c r="J18" s="192"/>
      <c r="K18" s="190"/>
      <c r="L18" s="190"/>
      <c r="M18" s="190"/>
      <c r="N18" s="190"/>
      <c r="O18" s="191"/>
    </row>
    <row r="19" ht="13.5" spans="1:15">
      <c r="A19" s="164" t="s">
        <v>22</v>
      </c>
      <c r="B19" s="165" t="s">
        <v>23</v>
      </c>
      <c r="C19" s="165" t="s">
        <v>24</v>
      </c>
      <c r="D19" s="166" t="s">
        <v>25</v>
      </c>
      <c r="E19" s="165" t="s">
        <v>26</v>
      </c>
      <c r="F19" s="165" t="s">
        <v>27</v>
      </c>
      <c r="G19" s="165" t="s">
        <v>28</v>
      </c>
      <c r="H19" s="165" t="s">
        <v>29</v>
      </c>
      <c r="I19" s="165" t="s">
        <v>30</v>
      </c>
      <c r="J19" s="193" t="s">
        <v>31</v>
      </c>
      <c r="K19" s="193" t="s">
        <v>32</v>
      </c>
      <c r="L19" s="194" t="s">
        <v>33</v>
      </c>
      <c r="M19" s="194" t="s">
        <v>34</v>
      </c>
      <c r="N19" s="194" t="s">
        <v>35</v>
      </c>
      <c r="O19" s="195"/>
    </row>
    <row r="20" spans="1:15">
      <c r="A20" s="62">
        <v>1</v>
      </c>
      <c r="B20" s="62" t="s">
        <v>36</v>
      </c>
      <c r="C20" s="62">
        <v>2250703123</v>
      </c>
      <c r="D20" s="62" t="s">
        <v>37</v>
      </c>
      <c r="E20" s="62">
        <v>30000</v>
      </c>
      <c r="F20" s="167" t="s">
        <v>38</v>
      </c>
      <c r="G20" s="168">
        <v>0.0946</v>
      </c>
      <c r="H20" s="169" t="s">
        <v>39</v>
      </c>
      <c r="I20" s="196">
        <f t="shared" ref="I20:I25" si="0">E20*G20</f>
        <v>2838</v>
      </c>
      <c r="J20" s="197" t="s">
        <v>40</v>
      </c>
      <c r="K20" s="197"/>
      <c r="L20" s="197" t="s">
        <v>41</v>
      </c>
      <c r="M20" s="197" t="s">
        <v>42</v>
      </c>
      <c r="N20" s="197" t="s">
        <v>43</v>
      </c>
      <c r="O20" s="196"/>
    </row>
    <row r="21" spans="1:15">
      <c r="A21" s="62">
        <v>2</v>
      </c>
      <c r="B21" s="62" t="s">
        <v>44</v>
      </c>
      <c r="C21" s="62" t="s">
        <v>45</v>
      </c>
      <c r="D21" s="62" t="s">
        <v>46</v>
      </c>
      <c r="E21" s="62">
        <v>30000</v>
      </c>
      <c r="F21" s="167" t="s">
        <v>38</v>
      </c>
      <c r="G21" s="168">
        <v>0.09651</v>
      </c>
      <c r="H21" s="169" t="s">
        <v>39</v>
      </c>
      <c r="I21" s="196">
        <f t="shared" si="0"/>
        <v>2895.3</v>
      </c>
      <c r="J21" s="197" t="s">
        <v>40</v>
      </c>
      <c r="K21" s="197"/>
      <c r="L21" s="197" t="s">
        <v>41</v>
      </c>
      <c r="M21" s="197" t="s">
        <v>42</v>
      </c>
      <c r="N21" s="197" t="s">
        <v>43</v>
      </c>
      <c r="O21" s="196"/>
    </row>
    <row r="22" spans="1:15">
      <c r="A22" s="62">
        <v>3</v>
      </c>
      <c r="B22" s="62" t="s">
        <v>47</v>
      </c>
      <c r="C22" s="62" t="s">
        <v>45</v>
      </c>
      <c r="D22" s="62" t="s">
        <v>48</v>
      </c>
      <c r="E22" s="62">
        <v>32000</v>
      </c>
      <c r="F22" s="167" t="s">
        <v>38</v>
      </c>
      <c r="G22" s="168">
        <v>0.08408</v>
      </c>
      <c r="H22" s="169" t="s">
        <v>39</v>
      </c>
      <c r="I22" s="196">
        <f t="shared" si="0"/>
        <v>2690.56</v>
      </c>
      <c r="J22" s="197" t="s">
        <v>40</v>
      </c>
      <c r="K22" s="197"/>
      <c r="L22" s="197" t="s">
        <v>41</v>
      </c>
      <c r="M22" s="197" t="s">
        <v>42</v>
      </c>
      <c r="N22" s="197" t="s">
        <v>43</v>
      </c>
      <c r="O22" s="196"/>
    </row>
    <row r="23" spans="1:15">
      <c r="A23" s="62">
        <v>4</v>
      </c>
      <c r="B23" s="62" t="s">
        <v>49</v>
      </c>
      <c r="C23" s="62">
        <v>2250901336</v>
      </c>
      <c r="D23" s="62" t="s">
        <v>50</v>
      </c>
      <c r="E23" s="62">
        <v>15000</v>
      </c>
      <c r="F23" s="167" t="s">
        <v>38</v>
      </c>
      <c r="G23" s="168">
        <v>0.09264</v>
      </c>
      <c r="H23" s="169" t="s">
        <v>39</v>
      </c>
      <c r="I23" s="196">
        <f t="shared" si="0"/>
        <v>1389.6</v>
      </c>
      <c r="J23" s="197" t="s">
        <v>40</v>
      </c>
      <c r="K23" s="197"/>
      <c r="L23" s="197" t="s">
        <v>41</v>
      </c>
      <c r="M23" s="197" t="s">
        <v>42</v>
      </c>
      <c r="N23" s="197" t="s">
        <v>43</v>
      </c>
      <c r="O23" s="196"/>
    </row>
    <row r="24" spans="1:15">
      <c r="A24" s="62">
        <v>5</v>
      </c>
      <c r="B24" s="62" t="s">
        <v>51</v>
      </c>
      <c r="C24" s="62" t="s">
        <v>52</v>
      </c>
      <c r="D24" s="62" t="s">
        <v>53</v>
      </c>
      <c r="E24" s="62">
        <v>15000</v>
      </c>
      <c r="F24" s="167" t="s">
        <v>38</v>
      </c>
      <c r="G24" s="168">
        <v>0.09172</v>
      </c>
      <c r="H24" s="169" t="s">
        <v>39</v>
      </c>
      <c r="I24" s="196">
        <f t="shared" si="0"/>
        <v>1375.8</v>
      </c>
      <c r="J24" s="197" t="s">
        <v>40</v>
      </c>
      <c r="K24" s="197"/>
      <c r="L24" s="197" t="s">
        <v>41</v>
      </c>
      <c r="M24" s="197" t="s">
        <v>42</v>
      </c>
      <c r="N24" s="197" t="s">
        <v>43</v>
      </c>
      <c r="O24" s="196"/>
    </row>
    <row r="25" spans="1:15">
      <c r="A25" s="62">
        <v>6</v>
      </c>
      <c r="B25" s="62" t="s">
        <v>54</v>
      </c>
      <c r="C25" s="62">
        <v>2250803344</v>
      </c>
      <c r="D25" s="62" t="s">
        <v>55</v>
      </c>
      <c r="E25" s="62">
        <v>16000</v>
      </c>
      <c r="F25" s="167" t="s">
        <v>38</v>
      </c>
      <c r="G25" s="168">
        <v>0.0776</v>
      </c>
      <c r="H25" s="169" t="s">
        <v>39</v>
      </c>
      <c r="I25" s="196">
        <f t="shared" si="0"/>
        <v>1241.6</v>
      </c>
      <c r="J25" s="197" t="s">
        <v>40</v>
      </c>
      <c r="K25" s="197"/>
      <c r="L25" s="197" t="s">
        <v>41</v>
      </c>
      <c r="M25" s="197" t="s">
        <v>42</v>
      </c>
      <c r="N25" s="197" t="s">
        <v>43</v>
      </c>
      <c r="O25" s="196"/>
    </row>
    <row r="26" spans="1:15">
      <c r="A26" s="62"/>
      <c r="B26" s="62"/>
      <c r="C26" s="62"/>
      <c r="D26" s="62"/>
      <c r="E26" s="62"/>
      <c r="F26" s="167"/>
      <c r="G26" s="170"/>
      <c r="H26" s="169"/>
      <c r="I26" s="196"/>
      <c r="J26" s="197"/>
      <c r="K26" s="197"/>
      <c r="L26" s="197"/>
      <c r="M26" s="197"/>
      <c r="N26" s="197"/>
      <c r="O26" s="73"/>
    </row>
    <row r="27" spans="1:15">
      <c r="A27" s="128"/>
      <c r="B27" s="126"/>
      <c r="C27" s="125" t="s">
        <v>56</v>
      </c>
      <c r="D27" s="125"/>
      <c r="E27" s="171">
        <f>SUM(E20:E26)</f>
        <v>138000</v>
      </c>
      <c r="F27" s="172"/>
      <c r="G27" s="173"/>
      <c r="H27" s="173"/>
      <c r="I27" s="198">
        <f>SUM(I20:I26)</f>
        <v>12430.86</v>
      </c>
      <c r="J27" s="199"/>
      <c r="K27" s="199"/>
      <c r="L27" s="199"/>
      <c r="M27" s="199"/>
      <c r="N27" s="199"/>
      <c r="O27" s="198"/>
    </row>
    <row r="30" ht="15.75" spans="1:2">
      <c r="A30" s="174" t="s">
        <v>57</v>
      </c>
      <c r="B30" s="174" t="s">
        <v>58</v>
      </c>
    </row>
    <row r="31" spans="1:6">
      <c r="A31" s="174" t="s">
        <v>59</v>
      </c>
      <c r="B31" s="175">
        <v>2358</v>
      </c>
      <c r="F31" s="176"/>
    </row>
    <row r="32" ht="15.75" spans="1:2">
      <c r="A32" s="174" t="s">
        <v>60</v>
      </c>
      <c r="B32" s="174" t="s">
        <v>61</v>
      </c>
    </row>
    <row r="33" ht="15.75" spans="1:2">
      <c r="A33" s="174" t="s">
        <v>62</v>
      </c>
      <c r="B33" s="174" t="s">
        <v>63</v>
      </c>
    </row>
  </sheetData>
  <mergeCells count="8">
    <mergeCell ref="A1:O1"/>
    <mergeCell ref="E9:I9"/>
    <mergeCell ref="A15:B15"/>
    <mergeCell ref="C15:D15"/>
    <mergeCell ref="C18:D18"/>
    <mergeCell ref="C27:D27"/>
    <mergeCell ref="A4:D5"/>
    <mergeCell ref="A9:D10"/>
  </mergeCells>
  <pageMargins left="0.7" right="0.7" top="0.75" bottom="0.75" header="0.3" footer="0.3"/>
  <pageSetup paperSize="9" scale="47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41"/>
  <sheetViews>
    <sheetView topLeftCell="A13" workbookViewId="0">
      <selection activeCell="I39" sqref="I39"/>
    </sheetView>
  </sheetViews>
  <sheetFormatPr defaultColWidth="9" defaultRowHeight="13.5"/>
  <cols>
    <col min="1" max="1" width="9" style="1"/>
    <col min="2" max="2" width="11" style="1" customWidth="1"/>
    <col min="3" max="3" width="11.8583333333333" style="1" customWidth="1"/>
    <col min="4" max="4" width="43.425" style="1" customWidth="1"/>
    <col min="5" max="5" width="8.14166666666667" style="1" customWidth="1"/>
    <col min="6" max="6" width="12" style="1" customWidth="1"/>
    <col min="7" max="9" width="9" style="1"/>
    <col min="10" max="10" width="38.8583333333333" style="1" customWidth="1"/>
    <col min="11" max="16384" width="9" style="1"/>
  </cols>
  <sheetData>
    <row r="1" spans="1:10">
      <c r="A1" s="2" t="s">
        <v>64</v>
      </c>
      <c r="B1" s="3"/>
      <c r="C1" s="3"/>
      <c r="D1" s="3"/>
      <c r="E1" s="3"/>
      <c r="F1" s="3"/>
      <c r="G1" s="3"/>
      <c r="H1" s="3"/>
      <c r="I1" s="3"/>
      <c r="J1" s="94"/>
    </row>
    <row r="2" spans="1:10">
      <c r="A2" s="4"/>
      <c r="B2" s="5"/>
      <c r="C2" s="5"/>
      <c r="D2" s="5"/>
      <c r="E2" s="5"/>
      <c r="F2" s="5"/>
      <c r="G2" s="5"/>
      <c r="H2" s="5"/>
      <c r="I2" s="5"/>
      <c r="J2" s="95"/>
    </row>
    <row r="3" spans="1:10">
      <c r="A3" s="6" t="s">
        <v>1</v>
      </c>
      <c r="B3" s="7"/>
      <c r="C3" s="8"/>
      <c r="D3" s="8"/>
      <c r="E3" s="9"/>
      <c r="F3" s="7" t="s">
        <v>65</v>
      </c>
      <c r="G3" s="8"/>
      <c r="H3" s="8"/>
      <c r="I3" s="8"/>
      <c r="J3" s="96"/>
    </row>
    <row r="4" spans="1:10">
      <c r="A4" s="10" t="s">
        <v>3</v>
      </c>
      <c r="B4" s="11"/>
      <c r="C4" s="12"/>
      <c r="D4" s="12"/>
      <c r="E4" s="13"/>
      <c r="F4" s="14" t="s">
        <v>4</v>
      </c>
      <c r="G4" s="12"/>
      <c r="H4" s="12"/>
      <c r="I4" s="12"/>
      <c r="J4" s="96"/>
    </row>
    <row r="5" spans="1:10">
      <c r="A5" s="15"/>
      <c r="B5" s="16"/>
      <c r="C5" s="16"/>
      <c r="D5" s="16"/>
      <c r="E5" s="17"/>
      <c r="F5" s="18" t="s">
        <v>6</v>
      </c>
      <c r="G5" s="12"/>
      <c r="H5" s="12"/>
      <c r="I5" s="12"/>
      <c r="J5" s="96"/>
    </row>
    <row r="6" spans="1:10">
      <c r="A6" s="15"/>
      <c r="B6" s="16"/>
      <c r="C6" s="16"/>
      <c r="D6" s="16"/>
      <c r="E6" s="17"/>
      <c r="F6" s="19"/>
      <c r="G6" s="12"/>
      <c r="H6" s="12"/>
      <c r="I6" s="12"/>
      <c r="J6" s="96"/>
    </row>
    <row r="7" spans="1:10">
      <c r="A7" s="20"/>
      <c r="B7" s="21"/>
      <c r="C7" s="22"/>
      <c r="D7" s="22"/>
      <c r="E7" s="23"/>
      <c r="F7" s="24"/>
      <c r="G7" s="25"/>
      <c r="H7" s="25"/>
      <c r="I7" s="25"/>
      <c r="J7" s="43"/>
    </row>
    <row r="8" spans="1:10">
      <c r="A8" s="26" t="s">
        <v>7</v>
      </c>
      <c r="B8" s="7"/>
      <c r="C8" s="27"/>
      <c r="D8" s="27"/>
      <c r="E8" s="28"/>
      <c r="F8" s="29" t="s">
        <v>66</v>
      </c>
      <c r="G8" s="30"/>
      <c r="H8" s="30"/>
      <c r="I8" s="30"/>
      <c r="J8" s="96"/>
    </row>
    <row r="9" spans="1:10">
      <c r="A9" s="31" t="s">
        <v>9</v>
      </c>
      <c r="B9" s="32"/>
      <c r="C9" s="33"/>
      <c r="D9" s="34"/>
      <c r="E9" s="35"/>
      <c r="F9" s="36"/>
      <c r="G9" s="37"/>
      <c r="H9" s="37"/>
      <c r="I9" s="37"/>
      <c r="J9" s="96"/>
    </row>
    <row r="10" spans="1:10">
      <c r="A10" s="38" t="s">
        <v>11</v>
      </c>
      <c r="B10" s="38"/>
      <c r="C10" s="38"/>
      <c r="D10" s="38"/>
      <c r="E10" s="35"/>
      <c r="F10" s="36"/>
      <c r="G10" s="30"/>
      <c r="H10" s="12"/>
      <c r="I10" s="37"/>
      <c r="J10" s="96"/>
    </row>
    <row r="11" spans="1:10">
      <c r="A11" s="38"/>
      <c r="B11" s="38"/>
      <c r="C11" s="38"/>
      <c r="D11" s="38"/>
      <c r="E11" s="35"/>
      <c r="F11" s="36"/>
      <c r="G11" s="30"/>
      <c r="H11" s="12"/>
      <c r="I11" s="37"/>
      <c r="J11" s="96"/>
    </row>
    <row r="12" spans="1:10">
      <c r="A12" s="39"/>
      <c r="B12" s="39"/>
      <c r="C12" s="12"/>
      <c r="D12" s="12"/>
      <c r="E12" s="13"/>
      <c r="F12" s="12"/>
      <c r="G12" s="40"/>
      <c r="H12" s="40"/>
      <c r="I12" s="30"/>
      <c r="J12" s="96"/>
    </row>
    <row r="13" ht="16.5" spans="1:10">
      <c r="A13" s="41" t="s">
        <v>12</v>
      </c>
      <c r="B13" s="36"/>
      <c r="C13" s="30"/>
      <c r="D13" s="30"/>
      <c r="E13" s="13"/>
      <c r="F13" s="42"/>
      <c r="G13" s="39"/>
      <c r="H13" s="12"/>
      <c r="I13" s="30"/>
      <c r="J13" s="96"/>
    </row>
    <row r="14" ht="16.5" spans="1:10">
      <c r="A14" s="31" t="s">
        <v>9</v>
      </c>
      <c r="B14" s="30"/>
      <c r="C14" s="30"/>
      <c r="D14" s="30"/>
      <c r="E14" s="13"/>
      <c r="F14" s="42"/>
      <c r="G14" s="39"/>
      <c r="H14" s="12"/>
      <c r="I14" s="30"/>
      <c r="J14" s="96"/>
    </row>
    <row r="15" spans="1:10">
      <c r="A15" s="19"/>
      <c r="B15" s="30"/>
      <c r="C15" s="12"/>
      <c r="D15" s="12"/>
      <c r="E15" s="13"/>
      <c r="F15" s="30"/>
      <c r="G15" s="30"/>
      <c r="H15" s="30"/>
      <c r="I15" s="30"/>
      <c r="J15" s="96"/>
    </row>
    <row r="16" spans="1:10">
      <c r="A16" s="24"/>
      <c r="B16" s="25"/>
      <c r="C16" s="25"/>
      <c r="D16" s="25"/>
      <c r="E16" s="43"/>
      <c r="F16" s="44"/>
      <c r="G16" s="44"/>
      <c r="H16" s="45"/>
      <c r="I16" s="97"/>
      <c r="J16" s="96"/>
    </row>
    <row r="17" spans="1:10">
      <c r="A17" s="46" t="s">
        <v>67</v>
      </c>
      <c r="B17" s="29"/>
      <c r="C17" s="9"/>
      <c r="D17" s="29" t="s">
        <v>68</v>
      </c>
      <c r="E17" s="47"/>
      <c r="F17" s="44"/>
      <c r="G17" s="44"/>
      <c r="H17" s="48"/>
      <c r="I17" s="30"/>
      <c r="J17" s="96"/>
    </row>
    <row r="18" spans="1:10">
      <c r="A18" s="49"/>
      <c r="B18" s="50"/>
      <c r="C18" s="51"/>
      <c r="D18" s="49"/>
      <c r="E18" s="51"/>
      <c r="F18" s="44"/>
      <c r="G18" s="44"/>
      <c r="H18" s="48"/>
      <c r="I18" s="30"/>
      <c r="J18" s="96"/>
    </row>
    <row r="19" spans="1:10">
      <c r="A19" s="46" t="s">
        <v>18</v>
      </c>
      <c r="B19" s="52"/>
      <c r="C19" s="53"/>
      <c r="D19" s="29" t="s">
        <v>19</v>
      </c>
      <c r="E19" s="54"/>
      <c r="F19" s="12"/>
      <c r="G19" s="30"/>
      <c r="H19" s="30"/>
      <c r="I19" s="30"/>
      <c r="J19" s="96"/>
    </row>
    <row r="20" spans="1:10">
      <c r="A20" s="49"/>
      <c r="B20" s="50"/>
      <c r="C20" s="51"/>
      <c r="D20" s="55" t="s">
        <v>37</v>
      </c>
      <c r="E20" s="56"/>
      <c r="F20" s="25"/>
      <c r="G20" s="25"/>
      <c r="H20" s="25"/>
      <c r="I20" s="25"/>
      <c r="J20" s="96"/>
    </row>
    <row r="21" spans="1:10">
      <c r="A21" s="57" t="s">
        <v>69</v>
      </c>
      <c r="B21" s="58" t="s">
        <v>24</v>
      </c>
      <c r="C21" s="58" t="s">
        <v>23</v>
      </c>
      <c r="D21" s="58" t="s">
        <v>25</v>
      </c>
      <c r="E21" s="58"/>
      <c r="F21" s="59" t="s">
        <v>26</v>
      </c>
      <c r="G21" s="59" t="s">
        <v>27</v>
      </c>
      <c r="H21" s="60" t="s">
        <v>70</v>
      </c>
      <c r="I21" s="60" t="s">
        <v>71</v>
      </c>
      <c r="J21" s="98" t="s">
        <v>72</v>
      </c>
    </row>
    <row r="22" spans="1:10">
      <c r="A22" s="57"/>
      <c r="B22" s="58"/>
      <c r="C22" s="58"/>
      <c r="D22" s="58"/>
      <c r="E22" s="58"/>
      <c r="F22" s="59"/>
      <c r="G22" s="59"/>
      <c r="H22" s="60" t="s">
        <v>73</v>
      </c>
      <c r="I22" s="60" t="s">
        <v>73</v>
      </c>
      <c r="J22" s="99"/>
    </row>
    <row r="23" spans="1:10">
      <c r="A23" s="200" t="s">
        <v>74</v>
      </c>
      <c r="B23" s="62">
        <v>2250703123</v>
      </c>
      <c r="C23" s="62" t="s">
        <v>36</v>
      </c>
      <c r="D23" s="63" t="s">
        <v>37</v>
      </c>
      <c r="E23" s="64"/>
      <c r="F23" s="65">
        <v>30000</v>
      </c>
      <c r="G23" s="66" t="s">
        <v>38</v>
      </c>
      <c r="H23" s="67">
        <f>5.2*6</f>
        <v>31.2</v>
      </c>
      <c r="I23" s="100">
        <f>6.2*6</f>
        <v>37.2</v>
      </c>
      <c r="J23" s="101" t="s">
        <v>75</v>
      </c>
    </row>
    <row r="24" spans="1:10">
      <c r="A24" s="200" t="s">
        <v>76</v>
      </c>
      <c r="B24" s="62" t="s">
        <v>45</v>
      </c>
      <c r="C24" s="62" t="s">
        <v>44</v>
      </c>
      <c r="D24" s="63" t="s">
        <v>46</v>
      </c>
      <c r="E24" s="64"/>
      <c r="F24" s="65">
        <v>30000</v>
      </c>
      <c r="G24" s="66" t="s">
        <v>38</v>
      </c>
      <c r="H24" s="67">
        <v>31.2</v>
      </c>
      <c r="I24" s="100">
        <v>37.2</v>
      </c>
      <c r="J24" s="101" t="s">
        <v>75</v>
      </c>
    </row>
    <row r="25" spans="1:10">
      <c r="A25" s="200" t="s">
        <v>77</v>
      </c>
      <c r="B25" s="62" t="s">
        <v>45</v>
      </c>
      <c r="C25" s="62" t="s">
        <v>47</v>
      </c>
      <c r="D25" s="63" t="s">
        <v>48</v>
      </c>
      <c r="E25" s="64"/>
      <c r="F25" s="65">
        <v>32000</v>
      </c>
      <c r="G25" s="66" t="s">
        <v>38</v>
      </c>
      <c r="H25" s="67">
        <v>33.6</v>
      </c>
      <c r="I25" s="100">
        <v>41.6</v>
      </c>
      <c r="J25" s="101" t="s">
        <v>75</v>
      </c>
    </row>
    <row r="26" spans="1:10">
      <c r="A26" s="200" t="s">
        <v>78</v>
      </c>
      <c r="B26" s="62">
        <v>2250901336</v>
      </c>
      <c r="C26" s="62" t="s">
        <v>49</v>
      </c>
      <c r="D26" s="63" t="s">
        <v>50</v>
      </c>
      <c r="E26" s="64"/>
      <c r="F26" s="65">
        <v>15000</v>
      </c>
      <c r="G26" s="66" t="s">
        <v>38</v>
      </c>
      <c r="H26" s="67">
        <v>20.1</v>
      </c>
      <c r="I26" s="100">
        <v>23.1</v>
      </c>
      <c r="J26" s="101" t="s">
        <v>75</v>
      </c>
    </row>
    <row r="27" spans="1:10">
      <c r="A27" s="200" t="s">
        <v>79</v>
      </c>
      <c r="B27" s="62" t="s">
        <v>52</v>
      </c>
      <c r="C27" s="62" t="s">
        <v>51</v>
      </c>
      <c r="D27" s="63" t="s">
        <v>53</v>
      </c>
      <c r="E27" s="64"/>
      <c r="F27" s="65">
        <v>15000</v>
      </c>
      <c r="G27" s="66" t="s">
        <v>38</v>
      </c>
      <c r="H27" s="67">
        <v>19.62</v>
      </c>
      <c r="I27" s="100">
        <v>22.62</v>
      </c>
      <c r="J27" s="101" t="s">
        <v>75</v>
      </c>
    </row>
    <row r="28" spans="1:10">
      <c r="A28" s="200" t="s">
        <v>80</v>
      </c>
      <c r="B28" s="62">
        <v>2250803344</v>
      </c>
      <c r="C28" s="62" t="s">
        <v>54</v>
      </c>
      <c r="D28" s="63" t="s">
        <v>55</v>
      </c>
      <c r="E28" s="64"/>
      <c r="F28" s="65">
        <v>16000</v>
      </c>
      <c r="G28" s="66" t="s">
        <v>38</v>
      </c>
      <c r="H28" s="67">
        <v>10.88</v>
      </c>
      <c r="I28" s="100">
        <v>14.88</v>
      </c>
      <c r="J28" s="101" t="s">
        <v>75</v>
      </c>
    </row>
    <row r="29" spans="1:10">
      <c r="A29" s="68"/>
      <c r="B29" s="68"/>
      <c r="C29" s="68"/>
      <c r="D29" s="69"/>
      <c r="E29" s="70"/>
      <c r="F29" s="71"/>
      <c r="G29" s="72"/>
      <c r="H29" s="73"/>
      <c r="I29" s="73"/>
      <c r="J29" s="102"/>
    </row>
    <row r="30" spans="1:10">
      <c r="A30" s="68"/>
      <c r="B30" s="68"/>
      <c r="C30" s="68"/>
      <c r="D30" s="74"/>
      <c r="E30" s="75"/>
      <c r="F30" s="71"/>
      <c r="G30" s="72"/>
      <c r="H30" s="73"/>
      <c r="I30" s="73"/>
      <c r="J30" s="102"/>
    </row>
    <row r="31" spans="1:10">
      <c r="A31" s="68"/>
      <c r="B31" s="68"/>
      <c r="C31" s="68"/>
      <c r="D31" s="74"/>
      <c r="E31" s="75"/>
      <c r="F31" s="71"/>
      <c r="G31" s="72"/>
      <c r="H31" s="73"/>
      <c r="I31" s="73"/>
      <c r="J31" s="102"/>
    </row>
    <row r="32" spans="1:10">
      <c r="A32" s="68"/>
      <c r="B32" s="68"/>
      <c r="C32" s="68"/>
      <c r="D32" s="74"/>
      <c r="E32" s="75"/>
      <c r="F32" s="71"/>
      <c r="G32" s="72"/>
      <c r="H32" s="73"/>
      <c r="I32" s="73"/>
      <c r="J32" s="102"/>
    </row>
    <row r="33" spans="1:10">
      <c r="A33" s="68"/>
      <c r="B33" s="68"/>
      <c r="C33" s="68"/>
      <c r="D33" s="74"/>
      <c r="E33" s="75"/>
      <c r="F33" s="71"/>
      <c r="G33" s="72"/>
      <c r="H33" s="73"/>
      <c r="I33" s="73"/>
      <c r="J33" s="102"/>
    </row>
    <row r="34" spans="1:10">
      <c r="A34" s="68"/>
      <c r="B34" s="68"/>
      <c r="C34" s="68"/>
      <c r="D34" s="74"/>
      <c r="E34" s="75"/>
      <c r="F34" s="71"/>
      <c r="G34" s="72"/>
      <c r="H34" s="73"/>
      <c r="I34" s="73"/>
      <c r="J34" s="102"/>
    </row>
    <row r="35" spans="1:10">
      <c r="A35" s="68"/>
      <c r="B35" s="68"/>
      <c r="C35" s="68"/>
      <c r="D35" s="74"/>
      <c r="E35" s="75"/>
      <c r="F35" s="71"/>
      <c r="G35" s="72"/>
      <c r="H35" s="73"/>
      <c r="I35" s="73"/>
      <c r="J35" s="102"/>
    </row>
    <row r="36" spans="1:10">
      <c r="A36" s="76"/>
      <c r="B36" s="77"/>
      <c r="C36" s="78"/>
      <c r="D36" s="79"/>
      <c r="E36" s="79"/>
      <c r="F36" s="80"/>
      <c r="G36" s="81" t="s">
        <v>81</v>
      </c>
      <c r="H36" s="82"/>
      <c r="I36" s="82">
        <f>16.5*2</f>
        <v>33</v>
      </c>
      <c r="J36" s="103"/>
    </row>
    <row r="37" spans="1:10">
      <c r="A37" s="83">
        <v>30</v>
      </c>
      <c r="B37" s="32"/>
      <c r="C37" s="33"/>
      <c r="D37" s="33"/>
      <c r="E37" s="33" t="s">
        <v>82</v>
      </c>
      <c r="F37" s="84">
        <f>SUM(F23:F35)</f>
        <v>138000</v>
      </c>
      <c r="G37" s="33"/>
      <c r="H37" s="85">
        <f>SUM(H23:H35)</f>
        <v>146.6</v>
      </c>
      <c r="I37" s="85">
        <f>SUM(I23:I36)</f>
        <v>209.6</v>
      </c>
      <c r="J37" s="104"/>
    </row>
    <row r="38" spans="1:10">
      <c r="A38" s="86"/>
      <c r="B38" s="87"/>
      <c r="C38" s="87"/>
      <c r="D38" s="87"/>
      <c r="E38" s="88" t="s">
        <v>83</v>
      </c>
      <c r="F38" s="89" t="s">
        <v>84</v>
      </c>
      <c r="G38" s="90"/>
      <c r="H38" s="87"/>
      <c r="I38" s="87"/>
      <c r="J38" s="105" t="s">
        <v>85</v>
      </c>
    </row>
    <row r="39" spans="1:10">
      <c r="A39" s="86"/>
      <c r="B39" s="87"/>
      <c r="C39" s="87"/>
      <c r="D39" s="87"/>
      <c r="E39" s="88" t="s">
        <v>86</v>
      </c>
      <c r="F39" s="91" t="s">
        <v>87</v>
      </c>
      <c r="G39" s="87"/>
      <c r="H39" s="87"/>
      <c r="I39" s="87"/>
      <c r="J39" s="105" t="s">
        <v>88</v>
      </c>
    </row>
    <row r="40" spans="1:10">
      <c r="A40" s="86"/>
      <c r="B40" s="87"/>
      <c r="C40" s="87"/>
      <c r="D40" s="87"/>
      <c r="E40" s="88" t="s">
        <v>89</v>
      </c>
      <c r="F40" s="91" t="s">
        <v>90</v>
      </c>
      <c r="G40" s="87"/>
      <c r="H40" s="87"/>
      <c r="I40" s="87"/>
      <c r="J40" s="106"/>
    </row>
    <row r="41" spans="1:10">
      <c r="A41" s="92"/>
      <c r="B41" s="93"/>
      <c r="C41" s="93"/>
      <c r="D41" s="93"/>
      <c r="E41" s="93"/>
      <c r="F41" s="93"/>
      <c r="G41" s="93"/>
      <c r="H41" s="93"/>
      <c r="I41" s="93"/>
      <c r="J41" s="107"/>
    </row>
  </sheetData>
  <mergeCells count="31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G38:I38"/>
    <mergeCell ref="A21:A22"/>
    <mergeCell ref="B21:B22"/>
    <mergeCell ref="C21:C22"/>
    <mergeCell ref="F21:F22"/>
    <mergeCell ref="G21:G22"/>
    <mergeCell ref="J21:J22"/>
    <mergeCell ref="A5:E6"/>
    <mergeCell ref="D21:E22"/>
    <mergeCell ref="A10:D11"/>
  </mergeCells>
  <pageMargins left="0.7" right="0.7" top="0.75" bottom="0.75" header="0.3" footer="0.3"/>
  <pageSetup paperSize="9" scale="5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INVOICE</vt:lpstr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D000208</dc:creator>
  <cp:lastModifiedBy>D000208</cp:lastModifiedBy>
  <dcterms:created xsi:type="dcterms:W3CDTF">2025-07-17T08:11:00Z</dcterms:created>
  <cp:lastPrinted>2025-12-15T08:37:00Z</cp:lastPrinted>
  <dcterms:modified xsi:type="dcterms:W3CDTF">2025-12-16T06:09:17Z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