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INVOICE" sheetId="1" r:id="rId1"/>
    <sheet name="PACKING" sheetId="2" r:id="rId2"/>
  </sheet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19" authorId="0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>
  <authors>
    <author>D000208</author>
  </authors>
  <commentList>
    <comment ref="E32" authorId="0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<sst xmlns="http://schemas.openxmlformats.org/spreadsheetml/2006/main" count="137" uniqueCount="70">
  <si>
    <t>COMMERCIAL INVOICE</t>
  </si>
  <si>
    <t>Shipper/Exporter</t>
  </si>
  <si>
    <t>No. &amp; Date of Invoice</t>
  </si>
  <si>
    <t>Concord  Advanced  Technology Co.,Ltd.</t>
  </si>
  <si>
    <t>HA20250804002</t>
  </si>
  <si>
    <t>8F.,No.10,Jiankang Rd., Zhonghe Dist.,New Taipei City 23586, Taiwan,China</t>
  </si>
  <si>
    <t>Bill To:</t>
  </si>
  <si>
    <t xml:space="preserve"> Payment Term</t>
  </si>
  <si>
    <t>Sernet  (SuZhou)  Technologies Corporation</t>
  </si>
  <si>
    <t>T/T After 150DAYS</t>
  </si>
  <si>
    <t>No.8,Tangzhuang Road, Suzhou Industrial Park, Jiangsu, China</t>
  </si>
  <si>
    <t>Ship To:</t>
  </si>
  <si>
    <t xml:space="preserve"> Trade Term</t>
  </si>
  <si>
    <t>DDU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</si>
  <si>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</si>
  <si>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</si>
  <si>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</si>
  <si>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</si>
  <si>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</si>
  <si>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</si>
  <si>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中国台湾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</si>
  <si>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</si>
  <si>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</si>
  <si>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</si>
  <si>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</si>
  <si>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</si>
  <si>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</si>
  <si>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</si>
  <si>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</si>
  <si>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</si>
  <si>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</si>
  <si>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</si>
  <si>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</si>
  <si>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</si>
  <si>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</si>
  <si>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</si>
  <si>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</si>
  <si>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3601551JCN</t>
  </si>
  <si>
    <t xml:space="preserve">INDUCTOR HMMQ25201B-1R5MSR,1.5uH/20%/68mohm/3.5A 2.5x2.0 CNC </t>
  </si>
  <si>
    <t>PCS</t>
  </si>
  <si>
    <t>USD</t>
  </si>
  <si>
    <t>中国</t>
  </si>
  <si>
    <t>CYNTEC</t>
  </si>
  <si>
    <r>
      <rPr>
        <sz val="10"/>
        <rFont val="宋体"/>
        <charset val="134"/>
      </rPr>
      <t>境外品牌</t>
    </r>
    <r>
      <rPr>
        <sz val="10"/>
        <rFont val="Arial"/>
        <charset val="134"/>
      </rPr>
      <t>(</t>
    </r>
    <r>
      <rPr>
        <sz val="10"/>
        <rFont val="宋体"/>
        <charset val="134"/>
      </rPr>
      <t>其他</t>
    </r>
    <r>
      <rPr>
        <sz val="10"/>
        <rFont val="Arial"/>
        <charset val="134"/>
      </rPr>
      <t>)</t>
    </r>
  </si>
  <si>
    <t>HMMQ25201B-1R5MSR</t>
  </si>
  <si>
    <t>2</t>
  </si>
  <si>
    <t>3</t>
  </si>
  <si>
    <t>3601053TCN</t>
  </si>
  <si>
    <t>INDUCTOR HTTK25201T1R0MSR,1.0uH/20%/30mohm/4.8A 2.5x2.0 CNC</t>
  </si>
  <si>
    <t>HTTK25201T-1R0MSR</t>
  </si>
  <si>
    <t>4</t>
  </si>
  <si>
    <t>5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</si>
  <si>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</si>
  <si>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</si>
  <si>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</si>
  <si>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</si>
  <si>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</si>
  <si>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</si>
  <si>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</si>
  <si>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</si>
  <si>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</si>
  <si>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</si>
  <si>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</si>
  <si>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40*20*20</t>
  </si>
  <si>
    <t>TOTAL</t>
  </si>
  <si>
    <t>0.032m³</t>
  </si>
  <si>
    <t>件数</t>
  </si>
  <si>
    <t>包装种类</t>
  </si>
  <si>
    <r>
      <rPr>
        <sz val="10"/>
        <rFont val="宋体"/>
        <charset val="134"/>
      </rPr>
      <t>纸箱</t>
    </r>
  </si>
  <si>
    <t>托盘材质</t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</si>
</sst>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yyyy/m/d;@"/>
    <numFmt numFmtId="178" formatCode="_ * #,##0_ ;_ * \-#,##0_ ;_ * &quot;-&quot;_ ;_ @_ "/>
    <numFmt numFmtId="179" formatCode="0.0000_);[Red]\(0.0000\)"/>
    <numFmt numFmtId="180" formatCode="0.00_ "/>
    <numFmt numFmtId="181" formatCode="0.000_ "/>
    <numFmt numFmtId="182" formatCode="0.00_);[Red]\(0.00\)"/>
    <numFmt numFmtId="183" formatCode="0_ "/>
    <numFmt numFmtId="184" formatCode="#,##0.00_ "/>
  </numFmts>
  <fonts count="38">
    <font>
      <sz val="11"/>
      <color theme="1"/>
      <name val="宋体"/>
      <charset val="134"/>
      <scheme val="minor"/>
    </font>
    <font>
      <b/>
      <sz val="18"/>
      <name val="Arial"/>
      <charset val="134"/>
    </font>
    <font>
      <sz val="10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宋体"/>
      <charset val="134"/>
    </font>
    <font>
      <sz val="10"/>
      <name val="新細明體"/>
      <charset val="134"/>
    </font>
    <font>
      <b/>
      <sz val="10"/>
      <name val="宋体"/>
      <charset val="134"/>
    </font>
    <font>
      <b/>
      <sz val="10"/>
      <name val="新細明體"/>
      <charset val="134"/>
    </font>
    <font>
      <sz val="18"/>
      <color theme="1"/>
      <name val="宋体"/>
      <charset val="134"/>
      <scheme val="minor"/>
    </font>
    <font>
      <sz val="10"/>
      <color indexed="12"/>
      <name val="新細明體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4"/>
    </font>
    <font>
      <sz val="14"/>
      <name val="宋体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" fillId="13" borderId="19" applyNumberFormat="0" applyAlignment="0" applyProtection="0">
      <alignment vertical="center"/>
    </xf>
    <xf numFmtId="0" fontId="28" fillId="13" borderId="15" applyNumberFormat="0" applyAlignment="0" applyProtection="0">
      <alignment vertical="center"/>
    </xf>
    <xf numFmtId="0" fontId="29" fillId="14" borderId="20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0"/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5" fillId="0" borderId="0"/>
  </cellStyleXfs>
  <cellXfs count="178">
    <xf numFmtId="0" fontId="0" fillId="0" borderId="0" xfId="0">
      <alignment vertical="center"/>
    </xf>
    <xf numFmtId="0" fontId="1" fillId="0" borderId="1" xfId="31" applyFont="1" applyBorder="1" applyAlignment="1">
      <alignment horizontal="center" vertical="center"/>
    </xf>
    <xf numFmtId="0" fontId="1" fillId="0" borderId="2" xfId="3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3" fillId="2" borderId="1" xfId="31" applyFont="1" applyFill="1" applyBorder="1"/>
    <xf numFmtId="0" fontId="3" fillId="2" borderId="2" xfId="31" applyFont="1" applyFill="1" applyBorder="1"/>
    <xf numFmtId="0" fontId="4" fillId="0" borderId="2" xfId="31" applyFont="1" applyBorder="1"/>
    <xf numFmtId="0" fontId="5" fillId="0" borderId="4" xfId="31" applyFont="1" applyBorder="1"/>
    <xf numFmtId="0" fontId="4" fillId="0" borderId="3" xfId="31" applyFont="1" applyBorder="1" applyAlignment="1">
      <alignment horizontal="left"/>
    </xf>
    <xf numFmtId="0" fontId="4" fillId="2" borderId="0" xfId="31" applyFont="1" applyFill="1" applyBorder="1" applyAlignment="1">
      <alignment horizontal="left"/>
    </xf>
    <xf numFmtId="0" fontId="4" fillId="0" borderId="0" xfId="31" applyFont="1" applyBorder="1"/>
    <xf numFmtId="0" fontId="4" fillId="0" borderId="5" xfId="31" applyFont="1" applyBorder="1"/>
    <xf numFmtId="0" fontId="4" fillId="0" borderId="3" xfId="0" applyFont="1" applyFill="1" applyBorder="1" applyAlignment="1"/>
    <xf numFmtId="0" fontId="4" fillId="0" borderId="3" xfId="50" applyFont="1" applyBorder="1" applyAlignment="1">
      <alignment horizontal="left" vertical="top" wrapText="1"/>
    </xf>
    <xf numFmtId="0" fontId="4" fillId="0" borderId="0" xfId="50" applyFont="1" applyBorder="1" applyAlignment="1">
      <alignment horizontal="left" vertical="top" wrapText="1"/>
    </xf>
    <xf numFmtId="0" fontId="4" fillId="0" borderId="5" xfId="50" applyFont="1" applyBorder="1" applyAlignment="1">
      <alignment horizontal="left" vertical="top" wrapText="1"/>
    </xf>
    <xf numFmtId="177" fontId="4" fillId="0" borderId="3" xfId="0" applyNumberFormat="1" applyFont="1" applyFill="1" applyBorder="1" applyAlignment="1"/>
    <xf numFmtId="0" fontId="4" fillId="0" borderId="3" xfId="31" applyFont="1" applyBorder="1"/>
    <xf numFmtId="0" fontId="4" fillId="0" borderId="6" xfId="50" applyFont="1" applyBorder="1" applyAlignment="1">
      <alignment horizontal="left"/>
    </xf>
    <xf numFmtId="0" fontId="4" fillId="0" borderId="7" xfId="50" applyFont="1" applyBorder="1"/>
    <xf numFmtId="0" fontId="4" fillId="0" borderId="7" xfId="52" applyFont="1" applyBorder="1"/>
    <xf numFmtId="0" fontId="4" fillId="0" borderId="8" xfId="52" applyFont="1" applyBorder="1"/>
    <xf numFmtId="0" fontId="4" fillId="0" borderId="6" xfId="31" applyFont="1" applyBorder="1"/>
    <xf numFmtId="0" fontId="4" fillId="0" borderId="7" xfId="31" applyFont="1" applyBorder="1"/>
    <xf numFmtId="0" fontId="3" fillId="2" borderId="1" xfId="50" applyFont="1" applyFill="1" applyBorder="1"/>
    <xf numFmtId="0" fontId="4" fillId="2" borderId="2" xfId="31" applyFont="1" applyFill="1" applyBorder="1"/>
    <xf numFmtId="0" fontId="4" fillId="2" borderId="4" xfId="31" applyFont="1" applyFill="1" applyBorder="1"/>
    <xf numFmtId="0" fontId="3" fillId="0" borderId="2" xfId="31" applyFont="1" applyBorder="1"/>
    <xf numFmtId="0" fontId="4" fillId="0" borderId="0" xfId="31" applyFont="1"/>
    <xf numFmtId="0" fontId="4" fillId="0" borderId="3" xfId="31" applyFont="1" applyFill="1" applyBorder="1" applyAlignment="1">
      <alignment horizontal="left"/>
    </xf>
    <xf numFmtId="0" fontId="4" fillId="2" borderId="0" xfId="31" applyFont="1" applyFill="1" applyBorder="1"/>
    <xf numFmtId="0" fontId="4" fillId="2" borderId="5" xfId="31" applyFont="1" applyFill="1" applyBorder="1"/>
    <xf numFmtId="0" fontId="3" fillId="0" borderId="0" xfId="31" applyFont="1"/>
    <xf numFmtId="0" fontId="4" fillId="0" borderId="0" xfId="50" applyFont="1"/>
    <xf numFmtId="0" fontId="4" fillId="2" borderId="3" xfId="31" applyFont="1" applyFill="1" applyBorder="1" applyAlignment="1">
      <alignment vertical="top" wrapText="1"/>
    </xf>
    <xf numFmtId="0" fontId="4" fillId="2" borderId="0" xfId="31" applyFont="1" applyFill="1" applyBorder="1" applyAlignment="1">
      <alignment vertical="top" wrapText="1"/>
    </xf>
    <xf numFmtId="0" fontId="4" fillId="2" borderId="5" xfId="31" applyFont="1" applyFill="1" applyBorder="1" applyAlignment="1">
      <alignment vertical="top" wrapText="1"/>
    </xf>
    <xf numFmtId="0" fontId="4" fillId="0" borderId="6" xfId="0" applyFont="1" applyFill="1" applyBorder="1" applyAlignment="1"/>
    <xf numFmtId="0" fontId="4" fillId="0" borderId="7" xfId="0" applyFont="1" applyFill="1" applyBorder="1" applyAlignment="1"/>
    <xf numFmtId="0" fontId="4" fillId="0" borderId="8" xfId="31" applyFont="1" applyBorder="1"/>
    <xf numFmtId="0" fontId="6" fillId="0" borderId="0" xfId="31" applyFont="1"/>
    <xf numFmtId="0" fontId="7" fillId="0" borderId="0" xfId="31" applyFont="1" applyBorder="1"/>
    <xf numFmtId="0" fontId="4" fillId="0" borderId="0" xfId="0" applyFont="1" applyFill="1" applyBorder="1" applyAlignment="1"/>
    <xf numFmtId="0" fontId="4" fillId="0" borderId="0" xfId="31" applyFont="1" applyBorder="1" applyAlignment="1">
      <alignment horizontal="left"/>
    </xf>
    <xf numFmtId="0" fontId="4" fillId="0" borderId="0" xfId="50" applyFont="1" applyBorder="1"/>
    <xf numFmtId="0" fontId="4" fillId="0" borderId="3" xfId="31" applyFont="1" applyBorder="1" applyAlignment="1">
      <alignment horizontal="left" wrapText="1"/>
    </xf>
    <xf numFmtId="0" fontId="4" fillId="0" borderId="0" xfId="31" applyFont="1" applyBorder="1" applyAlignment="1">
      <alignment horizontal="left" wrapText="1"/>
    </xf>
    <xf numFmtId="0" fontId="4" fillId="0" borderId="5" xfId="31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1" xfId="31" applyFont="1" applyBorder="1"/>
    <xf numFmtId="0" fontId="5" fillId="0" borderId="4" xfId="50" applyFont="1" applyBorder="1" applyAlignment="1"/>
    <xf numFmtId="180" fontId="4" fillId="0" borderId="0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3" fillId="0" borderId="0" xfId="31" applyFont="1" applyBorder="1"/>
    <xf numFmtId="0" fontId="5" fillId="0" borderId="5" xfId="31" applyFont="1" applyBorder="1"/>
    <xf numFmtId="0" fontId="8" fillId="0" borderId="5" xfId="31" applyFont="1" applyBorder="1" applyAlignment="1">
      <alignment horizontal="right"/>
    </xf>
    <xf numFmtId="177" fontId="4" fillId="0" borderId="6" xfId="0" applyNumberFormat="1" applyFont="1" applyFill="1" applyBorder="1" applyAlignment="1">
      <alignment horizontal="left"/>
    </xf>
    <xf numFmtId="177" fontId="4" fillId="0" borderId="8" xfId="0" applyNumberFormat="1" applyFont="1" applyFill="1" applyBorder="1" applyAlignment="1">
      <alignment horizontal="left"/>
    </xf>
    <xf numFmtId="0" fontId="3" fillId="2" borderId="3" xfId="50" applyFont="1" applyFill="1" applyBorder="1" applyAlignment="1">
      <alignment horizontal="center" vertical="center"/>
    </xf>
    <xf numFmtId="0" fontId="3" fillId="2" borderId="0" xfId="50" applyFont="1" applyFill="1" applyBorder="1" applyAlignment="1">
      <alignment horizontal="center" vertical="center"/>
    </xf>
    <xf numFmtId="0" fontId="3" fillId="2" borderId="0" xfId="31" applyFont="1" applyFill="1" applyBorder="1" applyAlignment="1">
      <alignment horizontal="center" vertical="center"/>
    </xf>
    <xf numFmtId="0" fontId="3" fillId="2" borderId="0" xfId="3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wrapText="1" shrinkToFit="1"/>
    </xf>
    <xf numFmtId="0" fontId="4" fillId="0" borderId="0" xfId="0" applyFont="1" applyFill="1" applyAlignment="1">
      <alignment horizontal="left" vertical="center" shrinkToFit="1"/>
    </xf>
    <xf numFmtId="181" fontId="4" fillId="0" borderId="0" xfId="0" applyNumberFormat="1" applyFont="1" applyFill="1" applyBorder="1" applyAlignment="1">
      <alignment horizontal="center" vertical="center" wrapText="1" shrinkToFit="1"/>
    </xf>
    <xf numFmtId="0" fontId="4" fillId="0" borderId="5" xfId="0" applyFont="1" applyFill="1" applyBorder="1" applyAlignment="1">
      <alignment horizontal="center" vertical="center" wrapText="1" shrinkToFit="1"/>
    </xf>
    <xf numFmtId="0" fontId="4" fillId="0" borderId="9" xfId="51" applyFont="1" applyFill="1" applyBorder="1" applyAlignment="1">
      <alignment horizontal="center" vertical="center" wrapText="1" shrinkToFit="1"/>
    </xf>
    <xf numFmtId="0" fontId="4" fillId="0" borderId="10" xfId="51" applyFont="1" applyFill="1" applyBorder="1" applyAlignment="1">
      <alignment horizontal="center" vertical="center" wrapText="1" shrinkToFit="1"/>
    </xf>
    <xf numFmtId="0" fontId="4" fillId="0" borderId="10" xfId="31" applyFont="1" applyBorder="1" applyAlignment="1">
      <alignment horizontal="center" vertical="center" wrapText="1" shrinkToFit="1"/>
    </xf>
    <xf numFmtId="181" fontId="5" fillId="0" borderId="10" xfId="31" applyNumberFormat="1" applyFont="1" applyBorder="1" applyAlignment="1">
      <alignment horizontal="center" vertical="center" wrapText="1" shrinkToFit="1"/>
    </xf>
    <xf numFmtId="182" fontId="4" fillId="0" borderId="10" xfId="31" applyNumberFormat="1" applyFont="1" applyBorder="1" applyAlignment="1">
      <alignment horizontal="center" vertical="center" wrapText="1" shrinkToFit="1"/>
    </xf>
    <xf numFmtId="183" fontId="3" fillId="3" borderId="3" xfId="31" applyNumberFormat="1" applyFont="1" applyFill="1" applyBorder="1" applyAlignment="1">
      <alignment horizontal="center"/>
    </xf>
    <xf numFmtId="0" fontId="3" fillId="0" borderId="0" xfId="31" applyFont="1" applyFill="1" applyBorder="1" applyAlignment="1">
      <alignment horizontal="left"/>
    </xf>
    <xf numFmtId="0" fontId="3" fillId="0" borderId="0" xfId="31" applyFont="1" applyFill="1" applyBorder="1" applyAlignment="1">
      <alignment horizontal="center"/>
    </xf>
    <xf numFmtId="181" fontId="3" fillId="3" borderId="0" xfId="31" applyNumberFormat="1" applyFont="1" applyFill="1" applyBorder="1" applyAlignment="1">
      <alignment horizontal="center"/>
    </xf>
    <xf numFmtId="0" fontId="3" fillId="3" borderId="0" xfId="31" applyFont="1" applyFill="1" applyBorder="1" applyAlignment="1">
      <alignment horizontal="center"/>
    </xf>
    <xf numFmtId="182" fontId="3" fillId="3" borderId="0" xfId="31" applyNumberFormat="1" applyFont="1" applyFill="1" applyBorder="1" applyAlignment="1">
      <alignment horizontal="center"/>
    </xf>
    <xf numFmtId="0" fontId="0" fillId="0" borderId="3" xfId="0" applyBorder="1">
      <alignment vertical="center"/>
    </xf>
    <xf numFmtId="0" fontId="9" fillId="3" borderId="0" xfId="31" applyFont="1" applyFill="1" applyAlignment="1">
      <alignment horizontal="center" vertical="center"/>
    </xf>
    <xf numFmtId="183" fontId="4" fillId="3" borderId="0" xfId="31" applyNumberFormat="1" applyFont="1" applyFill="1"/>
    <xf numFmtId="0" fontId="9" fillId="3" borderId="0" xfId="31" applyFont="1" applyFill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4" xfId="3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10" fillId="0" borderId="5" xfId="0" applyFont="1" applyFill="1" applyBorder="1" applyAlignment="1"/>
    <xf numFmtId="0" fontId="4" fillId="0" borderId="0" xfId="31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182" fontId="4" fillId="0" borderId="0" xfId="0" applyNumberFormat="1" applyFont="1" applyFill="1" applyBorder="1" applyAlignment="1">
      <alignment horizontal="center" vertical="center" wrapText="1" shrinkToFit="1"/>
    </xf>
    <xf numFmtId="0" fontId="4" fillId="0" borderId="5" xfId="0" applyFont="1" applyFill="1" applyBorder="1" applyAlignment="1">
      <alignment horizontal="center" vertical="center" wrapText="1"/>
    </xf>
    <xf numFmtId="182" fontId="3" fillId="0" borderId="10" xfId="31" applyNumberFormat="1" applyFont="1" applyBorder="1" applyAlignment="1">
      <alignment horizontal="center" vertical="center" wrapText="1" shrinkToFit="1"/>
    </xf>
    <xf numFmtId="182" fontId="3" fillId="0" borderId="11" xfId="31" applyNumberFormat="1" applyFont="1" applyBorder="1" applyAlignment="1">
      <alignment horizontal="center" vertical="center" wrapText="1" shrinkToFit="1"/>
    </xf>
    <xf numFmtId="182" fontId="3" fillId="3" borderId="5" xfId="31" applyNumberFormat="1" applyFont="1" applyFill="1" applyBorder="1" applyAlignment="1">
      <alignment horizont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3" fillId="0" borderId="0" xfId="0" applyFont="1">
      <alignment vertical="center"/>
    </xf>
    <xf numFmtId="0" fontId="1" fillId="0" borderId="1" xfId="50" applyFont="1" applyBorder="1" applyAlignment="1">
      <alignment horizontal="center"/>
    </xf>
    <xf numFmtId="0" fontId="1" fillId="0" borderId="2" xfId="50" applyFont="1" applyBorder="1" applyAlignment="1">
      <alignment horizontal="center"/>
    </xf>
    <xf numFmtId="0" fontId="3" fillId="2" borderId="2" xfId="50" applyFont="1" applyFill="1" applyBorder="1"/>
    <xf numFmtId="0" fontId="4" fillId="0" borderId="2" xfId="50" applyFont="1" applyBorder="1"/>
    <xf numFmtId="0" fontId="4" fillId="2" borderId="2" xfId="50" applyFont="1" applyFill="1" applyBorder="1"/>
    <xf numFmtId="0" fontId="4" fillId="0" borderId="5" xfId="50" applyFont="1" applyBorder="1"/>
    <xf numFmtId="0" fontId="4" fillId="2" borderId="0" xfId="50" applyFont="1" applyFill="1" applyBorder="1"/>
    <xf numFmtId="49" fontId="4" fillId="2" borderId="0" xfId="50" applyNumberFormat="1" applyFont="1" applyFill="1" applyBorder="1" applyAlignment="1">
      <alignment horizontal="center"/>
    </xf>
    <xf numFmtId="49" fontId="4" fillId="0" borderId="0" xfId="50" applyNumberFormat="1" applyFont="1" applyBorder="1" applyAlignment="1">
      <alignment horizontal="center"/>
    </xf>
    <xf numFmtId="0" fontId="4" fillId="0" borderId="3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177" fontId="4" fillId="2" borderId="0" xfId="0" applyNumberFormat="1" applyFont="1" applyFill="1" applyBorder="1" applyAlignment="1"/>
    <xf numFmtId="177" fontId="4" fillId="0" borderId="0" xfId="0" applyNumberFormat="1" applyFont="1" applyFill="1" applyBorder="1" applyAlignment="1">
      <alignment horizontal="left"/>
    </xf>
    <xf numFmtId="0" fontId="4" fillId="0" borderId="3" xfId="50" applyFont="1" applyBorder="1"/>
    <xf numFmtId="0" fontId="4" fillId="0" borderId="7" xfId="50" applyFont="1" applyBorder="1" applyAlignment="1">
      <alignment horizontal="left"/>
    </xf>
    <xf numFmtId="0" fontId="4" fillId="0" borderId="8" xfId="50" applyFont="1" applyBorder="1"/>
    <xf numFmtId="0" fontId="4" fillId="0" borderId="6" xfId="50" applyFont="1" applyBorder="1"/>
    <xf numFmtId="0" fontId="4" fillId="2" borderId="4" xfId="50" applyFont="1" applyFill="1" applyBorder="1"/>
    <xf numFmtId="0" fontId="3" fillId="0" borderId="1" xfId="50" applyFont="1" applyBorder="1"/>
    <xf numFmtId="0" fontId="3" fillId="2" borderId="0" xfId="31" applyFont="1" applyFill="1" applyBorder="1" applyAlignment="1">
      <alignment horizontal="left"/>
    </xf>
    <xf numFmtId="0" fontId="3" fillId="2" borderId="5" xfId="31" applyFont="1" applyFill="1" applyBorder="1" applyAlignment="1">
      <alignment horizontal="left"/>
    </xf>
    <xf numFmtId="0" fontId="4" fillId="2" borderId="3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3" xfId="50" applyFont="1" applyBorder="1" applyAlignment="1">
      <alignment horizontal="center"/>
    </xf>
    <xf numFmtId="0" fontId="4" fillId="0" borderId="0" xfId="50" applyFont="1" applyBorder="1" applyAlignment="1">
      <alignment horizontal="center"/>
    </xf>
    <xf numFmtId="0" fontId="4" fillId="0" borderId="4" xfId="50" applyFont="1" applyBorder="1"/>
    <xf numFmtId="0" fontId="4" fillId="2" borderId="0" xfId="0" applyFont="1" applyFill="1" applyBorder="1" applyAlignment="1"/>
    <xf numFmtId="0" fontId="4" fillId="0" borderId="6" xfId="31" applyFont="1" applyBorder="1" applyAlignment="1">
      <alignment horizontal="left" wrapText="1"/>
    </xf>
    <xf numFmtId="0" fontId="4" fillId="0" borderId="7" xfId="31" applyFont="1" applyBorder="1" applyAlignment="1">
      <alignment horizontal="left" wrapText="1"/>
    </xf>
    <xf numFmtId="0" fontId="4" fillId="0" borderId="8" xfId="31" applyFont="1" applyBorder="1" applyAlignment="1">
      <alignment horizontal="left" wrapText="1"/>
    </xf>
    <xf numFmtId="0" fontId="3" fillId="0" borderId="0" xfId="50" applyFont="1" applyBorder="1"/>
    <xf numFmtId="0" fontId="4" fillId="0" borderId="3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9" fillId="0" borderId="0" xfId="50" applyFont="1" applyBorder="1"/>
    <xf numFmtId="0" fontId="9" fillId="0" borderId="6" xfId="0" applyFont="1" applyFill="1" applyBorder="1" applyAlignment="1"/>
    <xf numFmtId="0" fontId="4" fillId="0" borderId="8" xfId="50" applyFont="1" applyBorder="1" applyAlignment="1"/>
    <xf numFmtId="0" fontId="3" fillId="0" borderId="3" xfId="50" applyFont="1" applyBorder="1"/>
    <xf numFmtId="0" fontId="4" fillId="0" borderId="8" xfId="0" applyFont="1" applyFill="1" applyBorder="1" applyAlignment="1">
      <alignment horizontal="center"/>
    </xf>
    <xf numFmtId="0" fontId="9" fillId="0" borderId="6" xfId="50" applyFont="1" applyFill="1" applyBorder="1"/>
    <xf numFmtId="0" fontId="9" fillId="0" borderId="7" xfId="50" applyFont="1" applyFill="1" applyBorder="1"/>
    <xf numFmtId="0" fontId="3" fillId="0" borderId="3" xfId="50" applyFont="1" applyBorder="1" applyAlignment="1">
      <alignment horizontal="center" vertical="center"/>
    </xf>
    <xf numFmtId="0" fontId="3" fillId="0" borderId="0" xfId="50" applyFont="1" applyBorder="1" applyAlignment="1">
      <alignment horizontal="center" vertical="center" wrapText="1"/>
    </xf>
    <xf numFmtId="184" fontId="4" fillId="0" borderId="0" xfId="0" applyNumberFormat="1" applyFont="1" applyFill="1" applyBorder="1" applyAlignment="1">
      <alignment horizontal="center" vertical="center" wrapText="1" shrinkToFit="1"/>
    </xf>
    <xf numFmtId="179" fontId="4" fillId="0" borderId="0" xfId="0" applyNumberFormat="1" applyFont="1" applyFill="1" applyBorder="1" applyAlignment="1">
      <alignment horizontal="center" vertical="center" wrapText="1" shrinkToFit="1"/>
    </xf>
    <xf numFmtId="0" fontId="4" fillId="0" borderId="0" xfId="0" applyNumberFormat="1" applyFont="1" applyFill="1" applyBorder="1" applyAlignment="1">
      <alignment horizontal="center" vertical="center" wrapText="1" shrinkToFit="1"/>
    </xf>
    <xf numFmtId="0" fontId="13" fillId="0" borderId="3" xfId="0" applyFont="1" applyBorder="1">
      <alignment vertical="center"/>
    </xf>
    <xf numFmtId="0" fontId="4" fillId="0" borderId="12" xfId="50" applyFont="1" applyBorder="1"/>
    <xf numFmtId="0" fontId="4" fillId="0" borderId="13" xfId="50" applyFont="1" applyBorder="1"/>
    <xf numFmtId="0" fontId="4" fillId="0" borderId="13" xfId="50" applyFont="1" applyBorder="1" applyAlignment="1">
      <alignment horizontal="left"/>
    </xf>
    <xf numFmtId="181" fontId="3" fillId="0" borderId="13" xfId="50" applyNumberFormat="1" applyFont="1" applyFill="1" applyBorder="1" applyAlignment="1">
      <alignment horizontal="center"/>
    </xf>
    <xf numFmtId="0" fontId="3" fillId="0" borderId="13" xfId="50" applyFont="1" applyFill="1" applyBorder="1"/>
    <xf numFmtId="179" fontId="3" fillId="0" borderId="13" xfId="50" applyNumberFormat="1" applyFont="1" applyFill="1" applyBorder="1" applyAlignment="1">
      <alignment horizontal="center"/>
    </xf>
    <xf numFmtId="0" fontId="13" fillId="0" borderId="0" xfId="0" applyFont="1" applyFill="1">
      <alignment vertical="center"/>
    </xf>
    <xf numFmtId="0" fontId="1" fillId="0" borderId="4" xfId="50" applyFont="1" applyBorder="1" applyAlignment="1">
      <alignment horizontal="center"/>
    </xf>
    <xf numFmtId="0" fontId="10" fillId="0" borderId="2" xfId="0" applyFont="1" applyFill="1" applyBorder="1" applyAlignment="1"/>
    <xf numFmtId="0" fontId="10" fillId="0" borderId="0" xfId="0" applyFont="1" applyFill="1" applyAlignment="1"/>
    <xf numFmtId="0" fontId="10" fillId="0" borderId="7" xfId="0" applyFont="1" applyFill="1" applyBorder="1" applyAlignment="1">
      <alignment vertical="center"/>
    </xf>
    <xf numFmtId="0" fontId="14" fillId="0" borderId="8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5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4" fillId="0" borderId="5" xfId="0" applyFont="1" applyFill="1" applyBorder="1" applyAlignment="1">
      <alignment vertical="center"/>
    </xf>
    <xf numFmtId="0" fontId="10" fillId="0" borderId="0" xfId="0" applyFont="1" applyFill="1" applyBorder="1" applyAlignment="1"/>
    <xf numFmtId="0" fontId="5" fillId="0" borderId="7" xfId="31" applyFont="1" applyBorder="1"/>
    <xf numFmtId="0" fontId="10" fillId="0" borderId="7" xfId="0" applyFont="1" applyFill="1" applyBorder="1" applyAlignment="1"/>
    <xf numFmtId="0" fontId="12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 shrinkToFit="1"/>
    </xf>
    <xf numFmtId="0" fontId="13" fillId="0" borderId="8" xfId="0" applyFont="1" applyBorder="1">
      <alignment vertical="center"/>
    </xf>
    <xf numFmtId="182" fontId="3" fillId="0" borderId="13" xfId="50" applyNumberFormat="1" applyFont="1" applyFill="1" applyBorder="1" applyAlignment="1">
      <alignment horizontal="center"/>
    </xf>
    <xf numFmtId="0" fontId="12" fillId="0" borderId="13" xfId="0" applyFont="1" applyFill="1" applyBorder="1" applyAlignment="1"/>
    <xf numFmtId="182" fontId="3" fillId="0" borderId="14" xfId="50" applyNumberFormat="1" applyFont="1" applyFill="1" applyBorder="1" applyAlignment="1">
      <alignment horizont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一般_OMRON" xfId="50"/>
    <cellStyle name="常规_Sheet1_1" xfId="51"/>
    <cellStyle name="常规_啟德一般貿易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7"/>
  <sheetViews>
    <sheetView tabSelected="1" workbookViewId="0">
      <selection activeCell="A13" sqref="$A13:$XFD13"/>
    </sheetView>
  </sheetViews>
  <sheetFormatPr defaultColWidth="9" defaultRowHeight="22.5"/>
  <cols>
    <col min="1" max="1" width="9" style="101"/>
    <col min="2" max="3" width="12.7083333333333" style="101" customWidth="1"/>
    <col min="4" max="4" width="22.1416666666667" style="101" customWidth="1"/>
    <col min="5" max="5" width="11.2833333333333" style="101" customWidth="1"/>
    <col min="6" max="10" width="9" style="101"/>
    <col min="11" max="11" width="5.28333333333333" style="101" customWidth="1"/>
    <col min="12" max="12" width="9" style="101"/>
    <col min="13" max="13" width="13.1416666666667" style="101" customWidth="1"/>
    <col min="14" max="14" width="20.7083333333333" style="101" customWidth="1"/>
    <col min="15" max="16384" width="9" style="101"/>
  </cols>
  <sheetData>
    <row r="1" ht="23.25" spans="1:15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57"/>
    </row>
    <row r="2" ht="13.5" spans="1:15">
      <c r="A2" s="25" t="s">
        <v>1</v>
      </c>
      <c r="B2" s="104"/>
      <c r="C2" s="105"/>
      <c r="D2" s="8"/>
      <c r="E2" s="25" t="s">
        <v>2</v>
      </c>
      <c r="F2" s="106"/>
      <c r="G2" s="106"/>
      <c r="H2" s="105"/>
      <c r="I2" s="105"/>
      <c r="J2" s="158"/>
      <c r="K2" s="158"/>
      <c r="L2" s="158"/>
      <c r="M2" s="158"/>
      <c r="N2" s="158"/>
      <c r="O2" s="90"/>
    </row>
    <row r="3" ht="13.5" spans="1:15">
      <c r="A3" s="9" t="s">
        <v>3</v>
      </c>
      <c r="B3" s="10"/>
      <c r="C3" s="45"/>
      <c r="D3" s="107"/>
      <c r="E3" s="13" t="s">
        <v>4</v>
      </c>
      <c r="F3" s="108"/>
      <c r="G3" s="109"/>
      <c r="H3" s="110"/>
      <c r="I3" s="45"/>
      <c r="J3" s="159"/>
      <c r="K3" s="159"/>
      <c r="L3" s="159"/>
      <c r="M3" s="159"/>
      <c r="N3" s="159"/>
      <c r="O3" s="90"/>
    </row>
    <row r="4" ht="13.5" spans="1:15">
      <c r="A4" s="111" t="s">
        <v>5</v>
      </c>
      <c r="B4" s="112"/>
      <c r="C4" s="112"/>
      <c r="D4" s="113"/>
      <c r="E4" s="17">
        <v>45875</v>
      </c>
      <c r="F4" s="114"/>
      <c r="G4" s="114"/>
      <c r="H4" s="115"/>
      <c r="I4" s="45"/>
      <c r="J4" s="159"/>
      <c r="K4" s="159"/>
      <c r="L4" s="159"/>
      <c r="M4" s="159"/>
      <c r="N4" s="159"/>
      <c r="O4" s="90"/>
    </row>
    <row r="5" ht="13.5" spans="1:15">
      <c r="A5" s="111"/>
      <c r="B5" s="112"/>
      <c r="C5" s="112"/>
      <c r="D5" s="113"/>
      <c r="E5" s="116"/>
      <c r="F5" s="45"/>
      <c r="G5" s="45"/>
      <c r="H5" s="45"/>
      <c r="I5" s="45"/>
      <c r="J5" s="159"/>
      <c r="K5" s="159"/>
      <c r="L5" s="159"/>
      <c r="M5" s="159"/>
      <c r="N5" s="159"/>
      <c r="O5" s="90"/>
    </row>
    <row r="6" ht="13.5" spans="1:15">
      <c r="A6" s="19"/>
      <c r="B6" s="117"/>
      <c r="C6" s="20"/>
      <c r="D6" s="118"/>
      <c r="E6" s="119"/>
      <c r="F6" s="20"/>
      <c r="G6" s="20"/>
      <c r="H6" s="20"/>
      <c r="I6" s="20"/>
      <c r="J6" s="160"/>
      <c r="K6" s="160"/>
      <c r="L6" s="160"/>
      <c r="M6" s="160"/>
      <c r="N6" s="160"/>
      <c r="O6" s="161"/>
    </row>
    <row r="7" ht="13.5" spans="1:15">
      <c r="A7" s="25" t="s">
        <v>6</v>
      </c>
      <c r="B7" s="104"/>
      <c r="C7" s="106"/>
      <c r="D7" s="120"/>
      <c r="E7" s="121" t="s">
        <v>7</v>
      </c>
      <c r="F7" s="105"/>
      <c r="G7" s="105"/>
      <c r="H7" s="105"/>
      <c r="I7" s="105"/>
      <c r="J7" s="162"/>
      <c r="K7" s="163"/>
      <c r="L7" s="163"/>
      <c r="M7" s="163"/>
      <c r="N7" s="163"/>
      <c r="O7" s="164"/>
    </row>
    <row r="8" ht="13.5" spans="1:15">
      <c r="A8" s="30" t="s">
        <v>8</v>
      </c>
      <c r="B8" s="10"/>
      <c r="C8" s="122"/>
      <c r="D8" s="123"/>
      <c r="E8" s="116" t="s">
        <v>9</v>
      </c>
      <c r="F8" s="45"/>
      <c r="G8" s="45"/>
      <c r="H8" s="45"/>
      <c r="I8" s="45"/>
      <c r="J8" s="163"/>
      <c r="K8" s="163"/>
      <c r="L8" s="163"/>
      <c r="M8" s="163"/>
      <c r="N8" s="163"/>
      <c r="O8" s="164"/>
    </row>
    <row r="9" ht="13.5" spans="1:15">
      <c r="A9" s="124" t="s">
        <v>10</v>
      </c>
      <c r="B9" s="125"/>
      <c r="C9" s="125"/>
      <c r="D9" s="126"/>
      <c r="E9" s="127"/>
      <c r="F9" s="128"/>
      <c r="G9" s="128"/>
      <c r="H9" s="128"/>
      <c r="I9" s="128"/>
      <c r="J9" s="165"/>
      <c r="K9" s="165"/>
      <c r="L9" s="165"/>
      <c r="M9" s="165"/>
      <c r="N9" s="165"/>
      <c r="O9" s="166"/>
    </row>
    <row r="10" ht="13.5" spans="1:15">
      <c r="A10" s="124"/>
      <c r="B10" s="125"/>
      <c r="C10" s="125"/>
      <c r="D10" s="126"/>
      <c r="E10" s="116"/>
      <c r="F10" s="45"/>
      <c r="G10" s="45"/>
      <c r="H10" s="45"/>
      <c r="I10" s="45"/>
      <c r="J10" s="165"/>
      <c r="K10" s="165"/>
      <c r="L10" s="165"/>
      <c r="M10" s="165"/>
      <c r="N10" s="165"/>
      <c r="O10" s="166"/>
    </row>
    <row r="11" ht="13.5" spans="1:15">
      <c r="A11" s="25" t="s">
        <v>11</v>
      </c>
      <c r="B11" s="105"/>
      <c r="C11" s="105"/>
      <c r="D11" s="129"/>
      <c r="E11" s="25" t="s">
        <v>12</v>
      </c>
      <c r="F11" s="106"/>
      <c r="G11" s="106"/>
      <c r="H11" s="106"/>
      <c r="I11" s="106"/>
      <c r="J11" s="105"/>
      <c r="K11" s="105"/>
      <c r="L11" s="105"/>
      <c r="M11" s="105"/>
      <c r="N11" s="105"/>
      <c r="O11" s="129"/>
    </row>
    <row r="12" ht="13.5" spans="1:15">
      <c r="A12" s="9" t="s">
        <v>8</v>
      </c>
      <c r="B12" s="44"/>
      <c r="C12" s="44"/>
      <c r="D12" s="107"/>
      <c r="E12" s="13" t="s">
        <v>13</v>
      </c>
      <c r="F12" s="130"/>
      <c r="G12" s="130"/>
      <c r="H12" s="130"/>
      <c r="I12" s="130"/>
      <c r="J12" s="167"/>
      <c r="K12" s="167"/>
      <c r="L12" s="167"/>
      <c r="M12" s="167"/>
      <c r="N12" s="167"/>
      <c r="O12" s="90"/>
    </row>
    <row r="13" ht="26.1" customHeight="1" spans="1:15">
      <c r="A13" s="131" t="s">
        <v>10</v>
      </c>
      <c r="B13" s="132"/>
      <c r="C13" s="132"/>
      <c r="D13" s="133"/>
      <c r="E13" s="119"/>
      <c r="F13" s="20"/>
      <c r="G13" s="20"/>
      <c r="H13" s="20"/>
      <c r="I13" s="168"/>
      <c r="J13" s="167"/>
      <c r="K13" s="167"/>
      <c r="L13" s="167"/>
      <c r="M13" s="167"/>
      <c r="N13" s="167"/>
      <c r="O13" s="161"/>
    </row>
    <row r="14" ht="13.5" spans="1:15">
      <c r="A14" s="121" t="s">
        <v>14</v>
      </c>
      <c r="B14" s="105"/>
      <c r="C14" s="121" t="s">
        <v>15</v>
      </c>
      <c r="D14" s="129"/>
      <c r="E14" s="134" t="s">
        <v>16</v>
      </c>
      <c r="F14" s="29"/>
      <c r="G14" s="29"/>
      <c r="H14" s="29"/>
      <c r="I14" s="34"/>
      <c r="J14" s="158"/>
      <c r="K14" s="158"/>
      <c r="L14" s="158"/>
      <c r="M14" s="158"/>
      <c r="N14" s="158"/>
      <c r="O14" s="90"/>
    </row>
    <row r="15" ht="13.5" spans="1:15">
      <c r="A15" s="135"/>
      <c r="B15" s="136"/>
      <c r="C15" s="135"/>
      <c r="D15" s="136"/>
      <c r="E15" s="137"/>
      <c r="F15" s="45"/>
      <c r="G15" s="45"/>
      <c r="H15" s="45"/>
      <c r="I15" s="34"/>
      <c r="J15" s="167"/>
      <c r="K15" s="167"/>
      <c r="L15" s="167"/>
      <c r="M15" s="167"/>
      <c r="N15" s="167"/>
      <c r="O15" s="90"/>
    </row>
    <row r="16" ht="13.5" spans="1:15">
      <c r="A16" s="38"/>
      <c r="B16" s="39"/>
      <c r="C16" s="138"/>
      <c r="D16" s="139"/>
      <c r="E16" s="137"/>
      <c r="F16" s="43"/>
      <c r="G16" s="45"/>
      <c r="H16" s="45"/>
      <c r="I16" s="34"/>
      <c r="J16" s="167"/>
      <c r="K16" s="167"/>
      <c r="L16" s="167"/>
      <c r="M16" s="167"/>
      <c r="N16" s="167"/>
      <c r="O16" s="90"/>
    </row>
    <row r="17" ht="13.5" spans="1:15">
      <c r="A17" s="121" t="s">
        <v>17</v>
      </c>
      <c r="B17" s="129"/>
      <c r="C17" s="140" t="s">
        <v>18</v>
      </c>
      <c r="D17" s="59"/>
      <c r="E17" s="137"/>
      <c r="F17" s="43"/>
      <c r="G17" s="34"/>
      <c r="H17" s="34"/>
      <c r="I17" s="34"/>
      <c r="J17" s="167"/>
      <c r="K17" s="167"/>
      <c r="L17" s="167"/>
      <c r="M17" s="167"/>
      <c r="N17" s="167"/>
      <c r="O17" s="90"/>
    </row>
    <row r="18" ht="13.5" spans="1:15">
      <c r="A18" s="54"/>
      <c r="B18" s="141"/>
      <c r="C18" s="60"/>
      <c r="D18" s="61"/>
      <c r="E18" s="142" t="s">
        <v>19</v>
      </c>
      <c r="F18" s="143" t="s">
        <v>20</v>
      </c>
      <c r="G18" s="20"/>
      <c r="H18" s="20"/>
      <c r="I18" s="20"/>
      <c r="J18" s="169"/>
      <c r="K18" s="167"/>
      <c r="L18" s="167"/>
      <c r="M18" s="167"/>
      <c r="N18" s="167"/>
      <c r="O18" s="90"/>
    </row>
    <row r="19" ht="24" spans="1:15">
      <c r="A19" s="144" t="s">
        <v>21</v>
      </c>
      <c r="B19" s="63" t="s">
        <v>22</v>
      </c>
      <c r="C19" s="63" t="s">
        <v>23</v>
      </c>
      <c r="D19" s="145" t="s">
        <v>24</v>
      </c>
      <c r="E19" s="63" t="s">
        <v>25</v>
      </c>
      <c r="F19" s="63" t="s">
        <v>26</v>
      </c>
      <c r="G19" s="63" t="s">
        <v>27</v>
      </c>
      <c r="H19" s="63" t="s">
        <v>28</v>
      </c>
      <c r="I19" s="63" t="s">
        <v>29</v>
      </c>
      <c r="J19" s="170" t="s">
        <v>30</v>
      </c>
      <c r="K19" s="170" t="s">
        <v>31</v>
      </c>
      <c r="L19" s="171" t="s">
        <v>32</v>
      </c>
      <c r="M19" s="171" t="s">
        <v>33</v>
      </c>
      <c r="N19" s="171" t="s">
        <v>34</v>
      </c>
      <c r="O19" s="172" t="s">
        <v>35</v>
      </c>
    </row>
    <row r="20" ht="38.25" spans="1:15">
      <c r="A20" s="66" t="s">
        <v>36</v>
      </c>
      <c r="B20" s="67" t="s">
        <v>37</v>
      </c>
      <c r="C20" s="67">
        <v>2250501004</v>
      </c>
      <c r="D20" s="67" t="s">
        <v>38</v>
      </c>
      <c r="E20" s="67">
        <v>6000</v>
      </c>
      <c r="F20" s="146" t="s">
        <v>39</v>
      </c>
      <c r="G20" s="147">
        <v>0.0352</v>
      </c>
      <c r="H20" s="148" t="s">
        <v>40</v>
      </c>
      <c r="I20" s="94">
        <f t="shared" ref="I20" si="0">ROUND(E20*G20,2)</f>
        <v>211.2</v>
      </c>
      <c r="J20" s="173" t="s">
        <v>41</v>
      </c>
      <c r="K20" s="67"/>
      <c r="L20" s="67" t="s">
        <v>42</v>
      </c>
      <c r="M20" s="67" t="s">
        <v>43</v>
      </c>
      <c r="N20" s="67" t="s">
        <v>44</v>
      </c>
      <c r="O20" s="70">
        <v>0.38</v>
      </c>
    </row>
    <row r="21" ht="38.25" spans="1:15">
      <c r="A21" s="66" t="s">
        <v>45</v>
      </c>
      <c r="B21" s="67" t="s">
        <v>37</v>
      </c>
      <c r="C21" s="67">
        <v>2250501396</v>
      </c>
      <c r="D21" s="67" t="s">
        <v>38</v>
      </c>
      <c r="E21" s="67">
        <v>12000</v>
      </c>
      <c r="F21" s="146" t="s">
        <v>39</v>
      </c>
      <c r="G21" s="147">
        <v>0.0352</v>
      </c>
      <c r="H21" s="148" t="s">
        <v>40</v>
      </c>
      <c r="I21" s="94">
        <f t="shared" ref="I21:I24" si="1">ROUND(E21*G21,2)</f>
        <v>422.4</v>
      </c>
      <c r="J21" s="173" t="s">
        <v>41</v>
      </c>
      <c r="K21" s="67"/>
      <c r="L21" s="67" t="s">
        <v>42</v>
      </c>
      <c r="M21" s="67" t="s">
        <v>43</v>
      </c>
      <c r="N21" s="67" t="s">
        <v>44</v>
      </c>
      <c r="O21" s="70">
        <v>0.77</v>
      </c>
    </row>
    <row r="22" ht="51" spans="1:15">
      <c r="A22" s="66" t="s">
        <v>46</v>
      </c>
      <c r="B22" s="67" t="s">
        <v>47</v>
      </c>
      <c r="C22" s="67">
        <v>2250501984</v>
      </c>
      <c r="D22" s="67" t="s">
        <v>48</v>
      </c>
      <c r="E22" s="67">
        <v>9000</v>
      </c>
      <c r="F22" s="146" t="s">
        <v>39</v>
      </c>
      <c r="G22" s="147">
        <v>0.0315</v>
      </c>
      <c r="H22" s="148" t="s">
        <v>40</v>
      </c>
      <c r="I22" s="94">
        <f t="shared" si="1"/>
        <v>283.5</v>
      </c>
      <c r="J22" s="173" t="s">
        <v>41</v>
      </c>
      <c r="K22" s="67"/>
      <c r="L22" s="67" t="s">
        <v>42</v>
      </c>
      <c r="M22" s="67" t="s">
        <v>43</v>
      </c>
      <c r="N22" s="67" t="s">
        <v>49</v>
      </c>
      <c r="O22" s="70">
        <v>0.52</v>
      </c>
    </row>
    <row r="23" ht="51" spans="1:15">
      <c r="A23" s="66" t="s">
        <v>50</v>
      </c>
      <c r="B23" s="67" t="s">
        <v>47</v>
      </c>
      <c r="C23" s="67">
        <v>2250502018</v>
      </c>
      <c r="D23" s="67" t="s">
        <v>48</v>
      </c>
      <c r="E23" s="67">
        <v>3000</v>
      </c>
      <c r="F23" s="146" t="s">
        <v>39</v>
      </c>
      <c r="G23" s="147">
        <v>0.0315</v>
      </c>
      <c r="H23" s="148" t="s">
        <v>40</v>
      </c>
      <c r="I23" s="94">
        <f t="shared" si="1"/>
        <v>94.5</v>
      </c>
      <c r="J23" s="173" t="s">
        <v>41</v>
      </c>
      <c r="K23" s="67"/>
      <c r="L23" s="67" t="s">
        <v>42</v>
      </c>
      <c r="M23" s="67" t="s">
        <v>43</v>
      </c>
      <c r="N23" s="67" t="s">
        <v>49</v>
      </c>
      <c r="O23" s="70">
        <v>0.17</v>
      </c>
    </row>
    <row r="24" ht="51" spans="1:15">
      <c r="A24" s="66" t="s">
        <v>51</v>
      </c>
      <c r="B24" s="67" t="s">
        <v>47</v>
      </c>
      <c r="C24" s="67">
        <v>2250502437</v>
      </c>
      <c r="D24" s="67" t="s">
        <v>48</v>
      </c>
      <c r="E24" s="67">
        <v>3000</v>
      </c>
      <c r="F24" s="146" t="s">
        <v>39</v>
      </c>
      <c r="G24" s="147">
        <v>0.0315</v>
      </c>
      <c r="H24" s="148" t="s">
        <v>40</v>
      </c>
      <c r="I24" s="94">
        <f t="shared" si="1"/>
        <v>94.5</v>
      </c>
      <c r="J24" s="173" t="s">
        <v>41</v>
      </c>
      <c r="K24" s="67"/>
      <c r="L24" s="67" t="s">
        <v>42</v>
      </c>
      <c r="M24" s="67" t="s">
        <v>43</v>
      </c>
      <c r="N24" s="67" t="s">
        <v>49</v>
      </c>
      <c r="O24" s="70">
        <v>0.17</v>
      </c>
    </row>
    <row r="25" spans="1:15">
      <c r="A25" s="149"/>
      <c r="O25" s="174"/>
    </row>
    <row r="26" ht="13.5" spans="1:15">
      <c r="A26" s="150"/>
      <c r="B26" s="151"/>
      <c r="C26" s="152" t="s">
        <v>52</v>
      </c>
      <c r="D26" s="152"/>
      <c r="E26" s="153">
        <f>SUM(E20:E25)</f>
        <v>33000</v>
      </c>
      <c r="F26" s="154"/>
      <c r="G26" s="155"/>
      <c r="H26" s="155"/>
      <c r="I26" s="175">
        <f>SUM(I20:I25)</f>
        <v>1106.1</v>
      </c>
      <c r="J26" s="176"/>
      <c r="K26" s="176"/>
      <c r="L26" s="176"/>
      <c r="M26" s="176"/>
      <c r="N26" s="176"/>
      <c r="O26" s="177">
        <f>SUM(O20:O25)</f>
        <v>2.01</v>
      </c>
    </row>
    <row r="27" spans="5:10">
      <c r="E27" s="156"/>
      <c r="F27" s="156"/>
      <c r="G27" s="156"/>
      <c r="H27" s="156"/>
      <c r="I27" s="156"/>
      <c r="J27" s="156"/>
    </row>
  </sheetData>
  <mergeCells count="9">
    <mergeCell ref="A1:O1"/>
    <mergeCell ref="E9:I9"/>
    <mergeCell ref="A13:D13"/>
    <mergeCell ref="A15:B15"/>
    <mergeCell ref="C15:D15"/>
    <mergeCell ref="C18:D18"/>
    <mergeCell ref="C26:D26"/>
    <mergeCell ref="A4:D5"/>
    <mergeCell ref="A9:D10"/>
  </mergeCells>
  <pageMargins left="0.15748031496063" right="0.15748031496063" top="0.984251968503937" bottom="0.984251968503937" header="0.511811023622047" footer="0.118110236220472"/>
  <pageSetup paperSize="9" scale="60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3"/>
  <sheetViews>
    <sheetView workbookViewId="0">
      <selection activeCell="B2" sqref="B$1:B$1048576"/>
    </sheetView>
  </sheetViews>
  <sheetFormatPr defaultColWidth="9" defaultRowHeight="13.5"/>
  <cols>
    <col min="1" max="1" width="9.14166666666667" customWidth="1"/>
    <col min="2" max="3" width="12.7083333333333" customWidth="1"/>
    <col min="4" max="4" width="34.2833333333333" customWidth="1"/>
    <col min="5" max="5" width="23.425" customWidth="1"/>
    <col min="6" max="6" width="11.1416666666667" customWidth="1"/>
    <col min="8" max="9" width="9.14166666666667" customWidth="1"/>
    <col min="10" max="10" width="15.5666666666667" customWidth="1"/>
  </cols>
  <sheetData>
    <row r="1" ht="23.25" spans="1:10">
      <c r="A1" s="1" t="s">
        <v>53</v>
      </c>
      <c r="B1" s="2"/>
      <c r="C1" s="2"/>
      <c r="D1" s="2"/>
      <c r="E1" s="2"/>
      <c r="F1" s="2"/>
      <c r="G1" s="2"/>
      <c r="H1" s="2"/>
      <c r="I1" s="2"/>
      <c r="J1" s="88"/>
    </row>
    <row r="2" spans="1:10">
      <c r="A2" s="3"/>
      <c r="B2" s="4"/>
      <c r="C2" s="4"/>
      <c r="D2" s="4"/>
      <c r="E2" s="4"/>
      <c r="F2" s="4"/>
      <c r="G2" s="4"/>
      <c r="H2" s="4"/>
      <c r="I2" s="4"/>
      <c r="J2" s="89"/>
    </row>
    <row r="3" spans="1:10">
      <c r="A3" s="5" t="s">
        <v>1</v>
      </c>
      <c r="B3" s="6"/>
      <c r="C3" s="7"/>
      <c r="D3" s="7"/>
      <c r="E3" s="8"/>
      <c r="F3" s="6" t="s">
        <v>54</v>
      </c>
      <c r="G3" s="7"/>
      <c r="H3" s="7"/>
      <c r="I3" s="7"/>
      <c r="J3" s="90"/>
    </row>
    <row r="4" spans="1:10">
      <c r="A4" s="9" t="s">
        <v>3</v>
      </c>
      <c r="B4" s="10"/>
      <c r="C4" s="11"/>
      <c r="D4" s="11"/>
      <c r="E4" s="12"/>
      <c r="F4" s="13" t="str">
        <f>INVOICE!E3</f>
        <v>HA20250804002</v>
      </c>
      <c r="G4" s="11"/>
      <c r="H4" s="11"/>
      <c r="I4" s="11"/>
      <c r="J4" s="90"/>
    </row>
    <row r="5" spans="1:10">
      <c r="A5" s="14" t="s">
        <v>5</v>
      </c>
      <c r="B5" s="15"/>
      <c r="C5" s="15"/>
      <c r="D5" s="15"/>
      <c r="E5" s="16"/>
      <c r="F5" s="17">
        <f>INVOICE!E4</f>
        <v>45875</v>
      </c>
      <c r="G5" s="11"/>
      <c r="H5" s="11"/>
      <c r="I5" s="11"/>
      <c r="J5" s="90"/>
    </row>
    <row r="6" spans="1:10">
      <c r="A6" s="14"/>
      <c r="B6" s="15"/>
      <c r="C6" s="15"/>
      <c r="D6" s="15"/>
      <c r="E6" s="16"/>
      <c r="F6" s="18"/>
      <c r="G6" s="11"/>
      <c r="H6" s="11"/>
      <c r="I6" s="11"/>
      <c r="J6" s="90"/>
    </row>
    <row r="7" spans="1:10">
      <c r="A7" s="19"/>
      <c r="B7" s="20"/>
      <c r="C7" s="21"/>
      <c r="D7" s="21"/>
      <c r="E7" s="22"/>
      <c r="F7" s="23"/>
      <c r="G7" s="24"/>
      <c r="H7" s="24"/>
      <c r="I7" s="24"/>
      <c r="J7" s="40"/>
    </row>
    <row r="8" spans="1:10">
      <c r="A8" s="25" t="s">
        <v>6</v>
      </c>
      <c r="B8" s="6"/>
      <c r="C8" s="26"/>
      <c r="D8" s="26"/>
      <c r="E8" s="27"/>
      <c r="F8" s="28" t="s">
        <v>55</v>
      </c>
      <c r="G8" s="29"/>
      <c r="H8" s="29"/>
      <c r="I8" s="29"/>
      <c r="J8" s="90"/>
    </row>
    <row r="9" spans="1:10">
      <c r="A9" s="30" t="s">
        <v>8</v>
      </c>
      <c r="B9" s="10"/>
      <c r="C9" s="31"/>
      <c r="D9" s="31"/>
      <c r="E9" s="32"/>
      <c r="F9" s="33"/>
      <c r="G9" s="34"/>
      <c r="H9" s="34"/>
      <c r="I9" s="34"/>
      <c r="J9" s="90"/>
    </row>
    <row r="10" spans="1:10">
      <c r="A10" s="35" t="s">
        <v>10</v>
      </c>
      <c r="B10" s="36"/>
      <c r="C10" s="36"/>
      <c r="D10" s="36"/>
      <c r="E10" s="37"/>
      <c r="F10" s="33"/>
      <c r="G10" s="29"/>
      <c r="H10" s="11"/>
      <c r="I10" s="34"/>
      <c r="J10" s="90"/>
    </row>
    <row r="11" spans="1:10">
      <c r="A11" s="35"/>
      <c r="B11" s="36"/>
      <c r="C11" s="36"/>
      <c r="D11" s="36"/>
      <c r="E11" s="37"/>
      <c r="F11" s="33"/>
      <c r="G11" s="29"/>
      <c r="H11" s="11"/>
      <c r="I11" s="34"/>
      <c r="J11" s="90"/>
    </row>
    <row r="12" spans="1:10">
      <c r="A12" s="38"/>
      <c r="B12" s="39"/>
      <c r="C12" s="24"/>
      <c r="D12" s="24"/>
      <c r="E12" s="40"/>
      <c r="F12" s="11"/>
      <c r="G12" s="41"/>
      <c r="H12" s="41"/>
      <c r="I12" s="29"/>
      <c r="J12" s="90"/>
    </row>
    <row r="13" ht="16.5" spans="1:10">
      <c r="A13" s="25" t="s">
        <v>11</v>
      </c>
      <c r="B13" s="33"/>
      <c r="C13" s="29"/>
      <c r="D13" s="29"/>
      <c r="E13" s="12"/>
      <c r="F13" s="42"/>
      <c r="G13" s="43"/>
      <c r="H13" s="11"/>
      <c r="I13" s="29"/>
      <c r="J13" s="90"/>
    </row>
    <row r="14" ht="16.5" spans="1:10">
      <c r="A14" s="9" t="s">
        <v>8</v>
      </c>
      <c r="B14" s="44"/>
      <c r="C14" s="44"/>
      <c r="D14" s="45"/>
      <c r="E14" s="12"/>
      <c r="F14" s="42"/>
      <c r="G14" s="43"/>
      <c r="H14" s="11"/>
      <c r="I14" s="29"/>
      <c r="J14" s="90"/>
    </row>
    <row r="15" spans="1:10">
      <c r="A15" s="46" t="s">
        <v>10</v>
      </c>
      <c r="B15" s="47"/>
      <c r="C15" s="47"/>
      <c r="D15" s="47"/>
      <c r="E15" s="48"/>
      <c r="F15" s="29"/>
      <c r="G15" s="29"/>
      <c r="H15" s="29"/>
      <c r="I15" s="29"/>
      <c r="J15" s="90"/>
    </row>
    <row r="16" spans="1:10">
      <c r="A16" s="23"/>
      <c r="B16" s="24"/>
      <c r="C16" s="24"/>
      <c r="D16" s="24"/>
      <c r="E16" s="40"/>
      <c r="F16" s="49"/>
      <c r="G16" s="49"/>
      <c r="H16" s="50"/>
      <c r="I16" s="91"/>
      <c r="J16" s="90"/>
    </row>
    <row r="17" spans="1:10">
      <c r="A17" s="51" t="s">
        <v>56</v>
      </c>
      <c r="B17" s="28"/>
      <c r="C17" s="8"/>
      <c r="D17" s="28" t="s">
        <v>57</v>
      </c>
      <c r="E17" s="52"/>
      <c r="F17" s="49"/>
      <c r="G17" s="49"/>
      <c r="H17" s="53"/>
      <c r="I17" s="29"/>
      <c r="J17" s="90"/>
    </row>
    <row r="18" spans="1:10">
      <c r="A18" s="54"/>
      <c r="B18" s="55"/>
      <c r="C18" s="56"/>
      <c r="D18" s="54"/>
      <c r="E18" s="56"/>
      <c r="F18" s="49"/>
      <c r="G18" s="49"/>
      <c r="H18" s="53"/>
      <c r="I18" s="29"/>
      <c r="J18" s="90"/>
    </row>
    <row r="19" spans="1:10">
      <c r="A19" s="51" t="s">
        <v>17</v>
      </c>
      <c r="B19" s="57"/>
      <c r="C19" s="58"/>
      <c r="D19" s="28" t="s">
        <v>18</v>
      </c>
      <c r="E19" s="59"/>
      <c r="F19" s="11"/>
      <c r="G19" s="29"/>
      <c r="H19" s="29"/>
      <c r="I19" s="29"/>
      <c r="J19" s="90"/>
    </row>
    <row r="20" spans="1:10">
      <c r="A20" s="54"/>
      <c r="B20" s="55"/>
      <c r="C20" s="56"/>
      <c r="D20" s="60"/>
      <c r="E20" s="61"/>
      <c r="F20" s="24"/>
      <c r="G20" s="24"/>
      <c r="H20" s="24"/>
      <c r="I20" s="24"/>
      <c r="J20" s="90"/>
    </row>
    <row r="21" spans="1:10">
      <c r="A21" s="62" t="s">
        <v>58</v>
      </c>
      <c r="B21" s="63" t="s">
        <v>23</v>
      </c>
      <c r="C21" s="63" t="s">
        <v>22</v>
      </c>
      <c r="D21" s="63" t="s">
        <v>24</v>
      </c>
      <c r="E21" s="63"/>
      <c r="F21" s="64" t="s">
        <v>25</v>
      </c>
      <c r="G21" s="64" t="s">
        <v>26</v>
      </c>
      <c r="H21" s="65" t="s">
        <v>59</v>
      </c>
      <c r="I21" s="65" t="s">
        <v>60</v>
      </c>
      <c r="J21" s="92" t="s">
        <v>61</v>
      </c>
    </row>
    <row r="22" spans="1:10">
      <c r="A22" s="62"/>
      <c r="B22" s="63"/>
      <c r="C22" s="63"/>
      <c r="D22" s="63"/>
      <c r="E22" s="63"/>
      <c r="F22" s="64"/>
      <c r="G22" s="64"/>
      <c r="H22" s="65" t="s">
        <v>62</v>
      </c>
      <c r="I22" s="65" t="s">
        <v>62</v>
      </c>
      <c r="J22" s="93"/>
    </row>
    <row r="23" spans="1:10">
      <c r="A23" s="66">
        <v>1</v>
      </c>
      <c r="B23" s="67">
        <v>2250501984</v>
      </c>
      <c r="C23" s="67" t="s">
        <v>47</v>
      </c>
      <c r="D23" s="68" t="s">
        <v>48</v>
      </c>
      <c r="E23" s="68"/>
      <c r="F23" s="67">
        <v>9000</v>
      </c>
      <c r="G23" s="69" t="s">
        <v>39</v>
      </c>
      <c r="H23" s="70">
        <v>0.52</v>
      </c>
      <c r="I23" s="94">
        <v>0.7</v>
      </c>
      <c r="J23" s="95" t="s">
        <v>63</v>
      </c>
    </row>
    <row r="24" spans="1:10">
      <c r="A24" s="66"/>
      <c r="B24" s="67">
        <v>2250502018</v>
      </c>
      <c r="C24" s="67" t="s">
        <v>47</v>
      </c>
      <c r="D24" s="68" t="s">
        <v>48</v>
      </c>
      <c r="E24" s="68"/>
      <c r="F24" s="67">
        <v>3000</v>
      </c>
      <c r="G24" s="69" t="s">
        <v>39</v>
      </c>
      <c r="H24" s="70">
        <v>0.17</v>
      </c>
      <c r="I24" s="94">
        <v>0.23</v>
      </c>
      <c r="J24" s="95" t="s">
        <v>63</v>
      </c>
    </row>
    <row r="25" spans="1:10">
      <c r="A25" s="66"/>
      <c r="B25" s="67">
        <v>2250502437</v>
      </c>
      <c r="C25" s="67" t="s">
        <v>47</v>
      </c>
      <c r="D25" s="68" t="s">
        <v>48</v>
      </c>
      <c r="E25" s="68"/>
      <c r="F25" s="67">
        <v>3000</v>
      </c>
      <c r="G25" s="69" t="s">
        <v>39</v>
      </c>
      <c r="H25" s="70">
        <v>0.17</v>
      </c>
      <c r="I25" s="94">
        <v>0.23</v>
      </c>
      <c r="J25" s="95" t="s">
        <v>63</v>
      </c>
    </row>
    <row r="26" spans="1:10">
      <c r="A26" s="66">
        <v>2</v>
      </c>
      <c r="B26" s="67">
        <v>2250501004</v>
      </c>
      <c r="C26" s="67" t="s">
        <v>37</v>
      </c>
      <c r="D26" s="68" t="s">
        <v>38</v>
      </c>
      <c r="E26" s="68"/>
      <c r="F26" s="67">
        <v>6000</v>
      </c>
      <c r="G26" s="69" t="s">
        <v>39</v>
      </c>
      <c r="H26" s="70">
        <v>0.38</v>
      </c>
      <c r="I26" s="94">
        <v>0.48</v>
      </c>
      <c r="J26" s="95" t="s">
        <v>63</v>
      </c>
    </row>
    <row r="27" spans="1:10">
      <c r="A27" s="66"/>
      <c r="B27" s="67">
        <v>2250501396</v>
      </c>
      <c r="C27" s="67" t="s">
        <v>37</v>
      </c>
      <c r="D27" s="68" t="s">
        <v>38</v>
      </c>
      <c r="E27" s="68"/>
      <c r="F27" s="67">
        <v>12000</v>
      </c>
      <c r="G27" s="69" t="s">
        <v>39</v>
      </c>
      <c r="H27" s="70">
        <v>0.77</v>
      </c>
      <c r="I27" s="94">
        <v>0.97</v>
      </c>
      <c r="J27" s="95" t="s">
        <v>63</v>
      </c>
    </row>
    <row r="28" ht="14.25" spans="1:10">
      <c r="A28" s="71"/>
      <c r="B28" s="72"/>
      <c r="C28" s="73"/>
      <c r="D28" s="73"/>
      <c r="E28" s="73"/>
      <c r="F28" s="74"/>
      <c r="G28" s="73"/>
      <c r="H28" s="75"/>
      <c r="I28" s="96"/>
      <c r="J28" s="97"/>
    </row>
    <row r="29" spans="1:10">
      <c r="A29" s="76">
        <v>2</v>
      </c>
      <c r="B29" s="11"/>
      <c r="C29" s="57"/>
      <c r="D29" s="77"/>
      <c r="E29" s="78" t="s">
        <v>64</v>
      </c>
      <c r="F29" s="79">
        <f>SUM(F23:F28)</f>
        <v>33000</v>
      </c>
      <c r="G29" s="80"/>
      <c r="H29" s="81">
        <f>SUM(H23:H28)</f>
        <v>2.01</v>
      </c>
      <c r="I29" s="81">
        <f>SUM(I23:I28)</f>
        <v>2.61</v>
      </c>
      <c r="J29" s="98" t="s">
        <v>65</v>
      </c>
    </row>
    <row r="30" spans="1:10">
      <c r="A30" s="82"/>
      <c r="E30" s="83" t="s">
        <v>66</v>
      </c>
      <c r="F30" s="84">
        <f>A29</f>
        <v>2</v>
      </c>
      <c r="J30" s="99"/>
    </row>
    <row r="31" spans="1:10">
      <c r="A31" s="82"/>
      <c r="E31" s="83" t="s">
        <v>67</v>
      </c>
      <c r="F31" s="85" t="s">
        <v>68</v>
      </c>
      <c r="J31" s="99"/>
    </row>
    <row r="32" spans="1:10">
      <c r="A32" s="82"/>
      <c r="E32" s="83" t="s">
        <v>69</v>
      </c>
      <c r="F32" s="85"/>
      <c r="J32" s="99"/>
    </row>
    <row r="33" spans="1:10">
      <c r="A33" s="86"/>
      <c r="B33" s="87"/>
      <c r="C33" s="87"/>
      <c r="D33" s="87"/>
      <c r="E33" s="87"/>
      <c r="F33" s="87"/>
      <c r="G33" s="87"/>
      <c r="H33" s="87"/>
      <c r="I33" s="87"/>
      <c r="J33" s="100"/>
    </row>
  </sheetData>
  <mergeCells count="25">
    <mergeCell ref="A1:J1"/>
    <mergeCell ref="A15:D15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D26:E26"/>
    <mergeCell ref="D27:E27"/>
    <mergeCell ref="A21:A22"/>
    <mergeCell ref="A23:A25"/>
    <mergeCell ref="A26:A27"/>
    <mergeCell ref="B21:B22"/>
    <mergeCell ref="C21:C22"/>
    <mergeCell ref="F21:F22"/>
    <mergeCell ref="G21:G22"/>
    <mergeCell ref="J21:J22"/>
    <mergeCell ref="A5:E6"/>
    <mergeCell ref="A10:E11"/>
    <mergeCell ref="D21:E22"/>
  </mergeCells>
  <pageMargins left="0.15748031496063" right="0.15748031496063" top="0.984251968503937" bottom="0.984251968503937" header="0.511811023622047" footer="0.118110236220472"/>
  <pageSetup paperSize="9" scale="70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cp:lastPrinted>2025-08-06T02:26:00Z</cp:lastPrinted>
  <dcterms:modified xsi:type="dcterms:W3CDTF">2025-08-21T01:15:39Z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