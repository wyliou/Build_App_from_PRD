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ou\Downloads\"/>
    </mc:Choice>
  </mc:AlternateContent>
  <xr:revisionPtr revIDLastSave="0" documentId="13_ncr:1_{9B6CD158-92F7-4367-A305-DC61766A3076}" xr6:coauthVersionLast="47" xr6:coauthVersionMax="47" xr10:uidLastSave="{00000000-0000-0000-0000-000000000000}"/>
  <bookViews>
    <workbookView xWindow="38292" yWindow="-108" windowWidth="29016" windowHeight="15816" xr2:uid="{00000000-000D-0000-FFFF-FFFF00000000}"/>
  </bookViews>
  <sheets>
    <sheet name="INVOICE" sheetId="1" r:id="rId1"/>
    <sheet name="PACKING" sheetId="2" r:id="rId2"/>
  </sheets>
  <externalReferences>
    <externalReference r:id="rId3"/>
  </externalReferences>
  <definedNames>
    <definedName name="_xlnm.Print_Area" localSheetId="0">INVOICE!$A$1:$P$38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" i="2" l="1"/>
  <c r="I40" i="2"/>
  <c r="H40" i="2"/>
  <c r="F40" i="2"/>
  <c r="H5" i="2"/>
  <c r="F5" i="2"/>
  <c r="H4" i="2"/>
  <c r="F4" i="2"/>
  <c r="O38" i="1"/>
  <c r="I38" i="1"/>
  <c r="E38" i="1"/>
  <c r="D35" i="1"/>
  <c r="Q34" i="1"/>
  <c r="R34" i="1" s="1"/>
  <c r="D34" i="1"/>
  <c r="R33" i="1"/>
  <c r="Q33" i="1"/>
  <c r="D33" i="1"/>
  <c r="Q32" i="1"/>
  <c r="D32" i="1"/>
  <c r="R31" i="1"/>
  <c r="Q31" i="1"/>
  <c r="D31" i="1"/>
  <c r="Q30" i="1"/>
  <c r="R30" i="1" s="1"/>
  <c r="D30" i="1"/>
  <c r="Q29" i="1"/>
  <c r="R29" i="1" s="1"/>
  <c r="D29" i="1"/>
  <c r="D28" i="1"/>
  <c r="D27" i="1"/>
  <c r="D26" i="1"/>
  <c r="D25" i="1"/>
  <c r="D24" i="1"/>
  <c r="D23" i="1"/>
  <c r="D22" i="1"/>
  <c r="D21" i="1"/>
  <c r="D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D000208</author>
  </authors>
  <commentList>
    <comment ref="K19" authorId="0" shapeId="0" xr:uid="{00000000-0006-0000-0000-000001000000}">
      <text>
        <r>
          <rPr>
            <sz val="14"/>
            <rFont val="宋体"/>
            <charset val="134"/>
          </rPr>
          <t>若是集成电路，需提供晶圆制造地,非集成电路,无需晶圆制造地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D000208</author>
  </authors>
  <commentList>
    <comment ref="E43" authorId="0" shapeId="0" xr:uid="{00000000-0006-0000-0100-000001000000}">
      <text>
        <r>
          <rPr>
            <sz val="10"/>
            <rFont val="宋体"/>
            <charset val="134"/>
          </rPr>
          <t xml:space="preserve">若是托盘，则需要注明托盘材质
</t>
        </r>
      </text>
    </comment>
  </commentList>
</comments>
</file>

<file path=xl/sharedStrings.xml><?xml version="1.0" encoding="utf-8"?>
<sst xmlns="http://schemas.openxmlformats.org/spreadsheetml/2006/main" count="332" uniqueCount="102">
  <si>
    <t>COMMERCIAL INVOICE</t>
  </si>
  <si>
    <t>Shipper/Exporter</t>
  </si>
  <si>
    <t>No. &amp; Date of Invoice</t>
  </si>
  <si>
    <t>FRONTEK TECHNOLOGY CORPORATION</t>
  </si>
  <si>
    <t>10F., No. 189, Jingmao 2nd Rd., Nangang Dist., Taipei,China City 115, Taiwan,China
Tel:886-2-2191-0098 Fax:886-2-26535189</t>
  </si>
  <si>
    <t>F625081578</t>
  </si>
  <si>
    <t>F625081579</t>
  </si>
  <si>
    <t>Bill To:</t>
  </si>
  <si>
    <t xml:space="preserve"> Payment Term</t>
  </si>
  <si>
    <t>Sernet (Suzhou) Technologies Corporation</t>
  </si>
  <si>
    <t>No.8 Tangzhuang Road, Suzhou Industrial Park, Jiangsu,China,Zip# 215000</t>
  </si>
  <si>
    <t>Ship To:</t>
  </si>
  <si>
    <t xml:space="preserve"> Trade Term</t>
  </si>
  <si>
    <t>DAP_Suzhou</t>
  </si>
  <si>
    <t>No.8 Tangzhuang Road, Suzhou Industrial Park, Jiangsu,China,Zip# 215000
Sugar Yan, TEL: (512)67613993,EXT:6553</t>
  </si>
  <si>
    <t>Port of Loading</t>
  </si>
  <si>
    <t>Port of Discharge</t>
  </si>
  <si>
    <t xml:space="preserve"> Remarks:</t>
  </si>
  <si>
    <t>Carrier</t>
  </si>
  <si>
    <t>Sailing on/or About</t>
  </si>
  <si>
    <t>贸易国：</t>
  </si>
  <si>
    <t>TAIWAN,CHINA</t>
  </si>
  <si>
    <t>ITEM</t>
  </si>
  <si>
    <t>Part No.</t>
  </si>
  <si>
    <t>PO No.</t>
  </si>
  <si>
    <t>Description of Goods</t>
  </si>
  <si>
    <t>Quantity</t>
  </si>
  <si>
    <t>Unit</t>
  </si>
  <si>
    <t>Unit Price</t>
  </si>
  <si>
    <t>Currency</t>
  </si>
  <si>
    <t>Amount</t>
  </si>
  <si>
    <t>COO</t>
  </si>
  <si>
    <t>CCO</t>
  </si>
  <si>
    <t>品牌</t>
  </si>
  <si>
    <t>品牌类型</t>
  </si>
  <si>
    <t>型号</t>
  </si>
  <si>
    <t>Net WT
(KGS)</t>
  </si>
  <si>
    <t>Invoice
No</t>
  </si>
  <si>
    <t>3100067KEL</t>
  </si>
  <si>
    <t>2250502629</t>
  </si>
  <si>
    <t>PCS</t>
  </si>
  <si>
    <t>USD</t>
  </si>
  <si>
    <t>China</t>
  </si>
  <si>
    <t>Taiwan, China</t>
  </si>
  <si>
    <t>EVERLIGHT</t>
  </si>
  <si>
    <t>境外品牌(其他)</t>
  </si>
  <si>
    <t>67-21S/KK5C-3M5757X1Y12530U62T</t>
  </si>
  <si>
    <t>312001C0EL</t>
  </si>
  <si>
    <t>2250500108</t>
  </si>
  <si>
    <t>19-223/S2G6C-C32/2T(SER)</t>
  </si>
  <si>
    <t>57531500EL0</t>
  </si>
  <si>
    <t>2250302812</t>
  </si>
  <si>
    <t>ALS-PT19-315C/L177/TR8</t>
  </si>
  <si>
    <t>2250401901</t>
  </si>
  <si>
    <t>55966033RW0</t>
  </si>
  <si>
    <t>2241202410</t>
  </si>
  <si>
    <t>RICHWAVE</t>
  </si>
  <si>
    <t>RTC6603U</t>
  </si>
  <si>
    <t>55976370RW0</t>
  </si>
  <si>
    <t>2250200218</t>
  </si>
  <si>
    <t>RTC7637</t>
  </si>
  <si>
    <t>55966030RW0</t>
  </si>
  <si>
    <t>2250103173</t>
  </si>
  <si>
    <t>RTC6603</t>
  </si>
  <si>
    <t>55986130RWR</t>
  </si>
  <si>
    <t>2250302725</t>
  </si>
  <si>
    <t>RTC8613M</t>
  </si>
  <si>
    <t>2250303689</t>
  </si>
  <si>
    <t>2250203336</t>
  </si>
  <si>
    <t>2250302015</t>
  </si>
  <si>
    <t xml:space="preserve">                  TOTAL</t>
  </si>
  <si>
    <t>PACKING LIST</t>
  </si>
  <si>
    <t>No &amp; Date of Invoice</t>
  </si>
  <si>
    <t xml:space="preserve">10F., No. 189, Jingmao 2nd Rd., Nangang Dist., Taipei,China City 115, Taiwan,China
Tel:886-2-2191-0098 Fax:886-2-26535189
</t>
  </si>
  <si>
    <t>Remarks:</t>
  </si>
  <si>
    <t>(10784)Sernet (Suzhou) Technologies Corporation</t>
  </si>
  <si>
    <t>No.8 Tangzhuang Road, Suzhou Industrial Park, Jiangsu,China, Zip# 215000</t>
  </si>
  <si>
    <t>Sugar Yan, TEL: (512)67613993,EXT:6553</t>
  </si>
  <si>
    <t>Port of Departure</t>
  </si>
  <si>
    <t>Port of Arrival</t>
  </si>
  <si>
    <t>CTNS</t>
  </si>
  <si>
    <t>Net WT</t>
  </si>
  <si>
    <t>Gross WT</t>
  </si>
  <si>
    <t>MEASUREMENT  
L*W*H(CM)</t>
  </si>
  <si>
    <t>KGS</t>
  </si>
  <si>
    <t>001</t>
  </si>
  <si>
    <t>30*29*23</t>
  </si>
  <si>
    <t>002</t>
  </si>
  <si>
    <t>003</t>
  </si>
  <si>
    <t>30*30*23</t>
  </si>
  <si>
    <t>004</t>
  </si>
  <si>
    <t>005</t>
  </si>
  <si>
    <t>30*30*24</t>
  </si>
  <si>
    <t>43*30*23</t>
  </si>
  <si>
    <t>006</t>
  </si>
  <si>
    <t>007</t>
  </si>
  <si>
    <t>30*28*22</t>
  </si>
  <si>
    <t>TOTAL</t>
  </si>
  <si>
    <t>件数</t>
  </si>
  <si>
    <t>包装种类</t>
  </si>
  <si>
    <t>纸箱</t>
  </si>
  <si>
    <t>托盘材质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</si>
</sst>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8" formatCode="yyyy/m/d;@"/>
    <numFmt numFmtId="179" formatCode="0_ "/>
    <numFmt numFmtId="182" formatCode="0.00_ "/>
    <numFmt numFmtId="183" formatCode="0.000_ "/>
    <numFmt numFmtId="184" formatCode="0.00_);[Red]\(0.00\)"/>
    <numFmt numFmtId="185" formatCode="0.0000_);[Red]\(0.0000\)"/>
    <numFmt numFmtId="186" formatCode="#,##0.00_ "/>
  </numFmts>
  <fonts count="22">
    <font>
      <sz val="11"/>
      <color theme="1"/>
      <name val="新細明體"/>
      <charset val="134"/>
      <scheme val="minor"/>
    </font>
    <font>
      <sz val="8"/>
      <color theme="1"/>
      <name val="新細明體"/>
      <charset val="136"/>
      <scheme val="minor"/>
    </font>
    <font>
      <b/>
      <sz val="10"/>
      <name val="Arial"/>
      <family val="2"/>
    </font>
    <font>
      <sz val="10"/>
      <color theme="1"/>
      <name val="新細明體"/>
      <charset val="136"/>
      <scheme val="minor"/>
    </font>
    <font>
      <sz val="10"/>
      <name val="Arial"/>
      <family val="2"/>
    </font>
    <font>
      <sz val="10"/>
      <color rgb="FFFF0000"/>
      <name val="宋体"/>
      <charset val="136"/>
    </font>
    <font>
      <sz val="10"/>
      <name val="宋体"/>
      <charset val="134"/>
    </font>
    <font>
      <sz val="10"/>
      <name val="Times New Roman"/>
      <family val="1"/>
    </font>
    <font>
      <sz val="10"/>
      <name val="微软雅黑"/>
      <charset val="134"/>
    </font>
    <font>
      <sz val="10"/>
      <color rgb="FFFF0000"/>
      <name val="Arial"/>
      <family val="2"/>
    </font>
    <font>
      <sz val="10"/>
      <name val="新細明體"/>
      <family val="1"/>
      <charset val="136"/>
    </font>
    <font>
      <b/>
      <sz val="10"/>
      <name val="宋体"/>
      <charset val="134"/>
    </font>
    <font>
      <b/>
      <sz val="10"/>
      <name val="新細明體"/>
      <family val="1"/>
      <charset val="136"/>
    </font>
    <font>
      <sz val="18"/>
      <color theme="1"/>
      <name val="新細明體"/>
      <charset val="136"/>
      <scheme val="minor"/>
    </font>
    <font>
      <b/>
      <sz val="18"/>
      <name val="Arial"/>
      <family val="2"/>
    </font>
    <font>
      <sz val="10"/>
      <color indexed="12"/>
      <name val="新細明體"/>
      <family val="1"/>
      <charset val="136"/>
    </font>
    <font>
      <sz val="11"/>
      <color theme="1"/>
      <name val="新細明體"/>
      <charset val="136"/>
      <scheme val="minor"/>
    </font>
    <font>
      <b/>
      <sz val="10"/>
      <name val="Microsoft JhengHei UI"/>
      <family val="2"/>
      <charset val="136"/>
    </font>
    <font>
      <sz val="10"/>
      <name val="新細明體"/>
      <charset val="136"/>
      <scheme val="minor"/>
    </font>
    <font>
      <sz val="12"/>
      <name val="宋体"/>
      <charset val="134"/>
    </font>
    <font>
      <sz val="14"/>
      <name val="宋体"/>
      <charset val="134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9" fillId="0" borderId="0"/>
    <xf numFmtId="0" fontId="19" fillId="0" borderId="0"/>
    <xf numFmtId="0" fontId="19" fillId="0" borderId="0"/>
  </cellStyleXfs>
  <cellXfs count="20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3" xfId="0" applyFont="1" applyBorder="1">
      <alignment vertical="center"/>
    </xf>
    <xf numFmtId="0" fontId="3" fillId="0" borderId="0" xfId="0" applyFont="1">
      <alignment vertical="center"/>
    </xf>
    <xf numFmtId="0" fontId="2" fillId="2" borderId="1" xfId="1" applyFont="1" applyFill="1" applyBorder="1"/>
    <xf numFmtId="0" fontId="2" fillId="2" borderId="2" xfId="1" applyFont="1" applyFill="1" applyBorder="1"/>
    <xf numFmtId="0" fontId="4" fillId="0" borderId="2" xfId="1" applyFont="1" applyBorder="1"/>
    <xf numFmtId="0" fontId="5" fillId="0" borderId="4" xfId="1" applyFont="1" applyBorder="1"/>
    <xf numFmtId="0" fontId="6" fillId="0" borderId="3" xfId="0" applyFont="1" applyBorder="1" applyAlignment="1"/>
    <xf numFmtId="0" fontId="4" fillId="2" borderId="0" xfId="1" applyFont="1" applyFill="1" applyAlignment="1">
      <alignment horizontal="left"/>
    </xf>
    <xf numFmtId="0" fontId="4" fillId="0" borderId="0" xfId="1" applyFont="1"/>
    <xf numFmtId="0" fontId="4" fillId="0" borderId="5" xfId="1" applyFont="1" applyBorder="1"/>
    <xf numFmtId="58" fontId="4" fillId="3" borderId="3" xfId="0" applyNumberFormat="1" applyFont="1" applyFill="1" applyBorder="1" applyAlignment="1">
      <alignment horizontal="left"/>
    </xf>
    <xf numFmtId="178" fontId="4" fillId="3" borderId="0" xfId="1" applyNumberFormat="1" applyFont="1" applyFill="1" applyAlignment="1">
      <alignment horizontal="left"/>
    </xf>
    <xf numFmtId="178" fontId="4" fillId="3" borderId="3" xfId="0" applyNumberFormat="1" applyFont="1" applyFill="1" applyBorder="1" applyAlignment="1"/>
    <xf numFmtId="0" fontId="4" fillId="3" borderId="0" xfId="1" applyFont="1" applyFill="1" applyAlignment="1">
      <alignment horizontal="left"/>
    </xf>
    <xf numFmtId="0" fontId="4" fillId="0" borderId="3" xfId="1" applyFont="1" applyBorder="1"/>
    <xf numFmtId="0" fontId="4" fillId="0" borderId="6" xfId="1" applyFont="1" applyBorder="1"/>
    <xf numFmtId="0" fontId="4" fillId="0" borderId="7" xfId="1" applyFont="1" applyBorder="1"/>
    <xf numFmtId="0" fontId="2" fillId="2" borderId="1" xfId="2" applyFont="1" applyFill="1" applyBorder="1"/>
    <xf numFmtId="0" fontId="4" fillId="2" borderId="2" xfId="1" applyFont="1" applyFill="1" applyBorder="1"/>
    <xf numFmtId="0" fontId="4" fillId="2" borderId="4" xfId="1" applyFont="1" applyFill="1" applyBorder="1"/>
    <xf numFmtId="0" fontId="2" fillId="0" borderId="2" xfId="1" applyFont="1" applyBorder="1"/>
    <xf numFmtId="0" fontId="4" fillId="3" borderId="3" xfId="1" applyFont="1" applyFill="1" applyBorder="1" applyAlignment="1">
      <alignment horizontal="left"/>
    </xf>
    <xf numFmtId="0" fontId="4" fillId="2" borderId="0" xfId="1" applyFont="1" applyFill="1"/>
    <xf numFmtId="0" fontId="4" fillId="2" borderId="5" xfId="1" applyFont="1" applyFill="1" applyBorder="1"/>
    <xf numFmtId="0" fontId="2" fillId="0" borderId="0" xfId="1" applyFont="1"/>
    <xf numFmtId="0" fontId="4" fillId="0" borderId="0" xfId="2" applyFont="1"/>
    <xf numFmtId="0" fontId="4" fillId="0" borderId="6" xfId="0" applyFont="1" applyBorder="1" applyAlignment="1"/>
    <xf numFmtId="0" fontId="4" fillId="0" borderId="7" xfId="0" applyFont="1" applyBorder="1" applyAlignment="1"/>
    <xf numFmtId="0" fontId="4" fillId="0" borderId="8" xfId="1" applyFont="1" applyBorder="1"/>
    <xf numFmtId="0" fontId="7" fillId="0" borderId="0" xfId="1" applyFont="1"/>
    <xf numFmtId="0" fontId="8" fillId="0" borderId="0" xfId="1" applyFont="1"/>
    <xf numFmtId="0" fontId="4" fillId="0" borderId="0" xfId="0" applyFont="1" applyAlignment="1"/>
    <xf numFmtId="0" fontId="4" fillId="0" borderId="0" xfId="1" applyFont="1" applyAlignment="1">
      <alignment horizontal="left"/>
    </xf>
    <xf numFmtId="0" fontId="4" fillId="0" borderId="0" xfId="0" applyFont="1" applyAlignment="1">
      <alignment horizontal="center" vertical="center"/>
    </xf>
    <xf numFmtId="0" fontId="2" fillId="0" borderId="1" xfId="1" applyFont="1" applyBorder="1"/>
    <xf numFmtId="0" fontId="5" fillId="0" borderId="4" xfId="2" applyFont="1" applyBorder="1"/>
    <xf numFmtId="182" fontId="4" fillId="0" borderId="0" xfId="0" applyNumberFormat="1" applyFont="1" applyAlignment="1">
      <alignment horizontal="center" vertical="center"/>
    </xf>
    <xf numFmtId="0" fontId="4" fillId="0" borderId="6" xfId="0" applyFont="1" applyBorder="1" applyAlignment="1">
      <alignment horizontal="left"/>
    </xf>
    <xf numFmtId="0" fontId="5" fillId="0" borderId="5" xfId="1" applyFont="1" applyBorder="1"/>
    <xf numFmtId="0" fontId="9" fillId="0" borderId="5" xfId="1" applyFont="1" applyBorder="1" applyAlignment="1">
      <alignment horizontal="right"/>
    </xf>
    <xf numFmtId="0" fontId="2" fillId="2" borderId="2" xfId="1" applyFont="1" applyFill="1" applyBorder="1" applyAlignment="1">
      <alignment horizontal="center"/>
    </xf>
    <xf numFmtId="0" fontId="2" fillId="2" borderId="7" xfId="1" applyFont="1" applyFill="1" applyBorder="1" applyAlignment="1">
      <alignment horizontal="center"/>
    </xf>
    <xf numFmtId="0" fontId="3" fillId="0" borderId="0" xfId="0" applyFont="1" applyAlignment="1"/>
    <xf numFmtId="40" fontId="3" fillId="0" borderId="0" xfId="0" applyNumberFormat="1" applyFont="1" applyAlignment="1"/>
    <xf numFmtId="0" fontId="4" fillId="0" borderId="9" xfId="3" applyFont="1" applyBorder="1" applyAlignment="1">
      <alignment horizontal="center" vertical="center" wrapText="1" shrinkToFit="1"/>
    </xf>
    <xf numFmtId="0" fontId="4" fillId="0" borderId="10" xfId="3" applyFont="1" applyBorder="1" applyAlignment="1">
      <alignment horizontal="center" vertical="center" wrapText="1" shrinkToFit="1"/>
    </xf>
    <xf numFmtId="0" fontId="4" fillId="0" borderId="10" xfId="1" applyFont="1" applyBorder="1" applyAlignment="1">
      <alignment horizontal="center" vertical="center" wrapText="1" shrinkToFit="1"/>
    </xf>
    <xf numFmtId="183" fontId="5" fillId="0" borderId="10" xfId="1" applyNumberFormat="1" applyFont="1" applyBorder="1" applyAlignment="1">
      <alignment horizontal="center" vertical="center" wrapText="1" shrinkToFit="1"/>
    </xf>
    <xf numFmtId="184" fontId="4" fillId="0" borderId="10" xfId="1" applyNumberFormat="1" applyFont="1" applyBorder="1" applyAlignment="1">
      <alignment horizontal="center" vertical="center" wrapText="1" shrinkToFit="1"/>
    </xf>
    <xf numFmtId="179" fontId="2" fillId="0" borderId="3" xfId="1" applyNumberFormat="1" applyFont="1" applyBorder="1" applyAlignment="1">
      <alignment horizontal="center"/>
    </xf>
    <xf numFmtId="0" fontId="2" fillId="0" borderId="0" xfId="1" applyFont="1" applyAlignment="1">
      <alignment horizontal="left"/>
    </xf>
    <xf numFmtId="0" fontId="2" fillId="0" borderId="0" xfId="1" applyFont="1" applyAlignment="1">
      <alignment horizontal="center"/>
    </xf>
    <xf numFmtId="179" fontId="2" fillId="0" borderId="0" xfId="1" applyNumberFormat="1" applyFont="1" applyAlignment="1">
      <alignment horizontal="center"/>
    </xf>
    <xf numFmtId="184" fontId="2" fillId="0" borderId="0" xfId="1" applyNumberFormat="1" applyFont="1" applyAlignment="1">
      <alignment horizontal="center"/>
    </xf>
    <xf numFmtId="0" fontId="0" fillId="0" borderId="3" xfId="0" applyBorder="1">
      <alignment vertical="center"/>
    </xf>
    <xf numFmtId="0" fontId="6" fillId="0" borderId="0" xfId="1" applyFont="1" applyAlignment="1">
      <alignment horizontal="center" vertical="center"/>
    </xf>
    <xf numFmtId="179" fontId="4" fillId="0" borderId="0" xfId="1" applyNumberFormat="1" applyFont="1" applyAlignment="1">
      <alignment horizontal="center"/>
    </xf>
    <xf numFmtId="0" fontId="6" fillId="0" borderId="0" xfId="1" applyFont="1"/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3" fillId="0" borderId="5" xfId="0" applyFont="1" applyBorder="1">
      <alignment vertical="center"/>
    </xf>
    <xf numFmtId="0" fontId="10" fillId="0" borderId="4" xfId="0" applyFont="1" applyBorder="1" applyAlignment="1"/>
    <xf numFmtId="0" fontId="4" fillId="3" borderId="0" xfId="1" applyFont="1" applyFill="1"/>
    <xf numFmtId="0" fontId="10" fillId="0" borderId="5" xfId="0" applyFont="1" applyBorder="1" applyAlignment="1"/>
    <xf numFmtId="0" fontId="4" fillId="0" borderId="0" xfId="1" applyFont="1" applyAlignment="1">
      <alignment horizontal="center" vertical="center"/>
    </xf>
    <xf numFmtId="0" fontId="3" fillId="0" borderId="4" xfId="0" applyFont="1" applyBorder="1" applyAlignment="1"/>
    <xf numFmtId="0" fontId="3" fillId="0" borderId="5" xfId="0" applyFont="1" applyBorder="1" applyAlignment="1"/>
    <xf numFmtId="184" fontId="2" fillId="0" borderId="10" xfId="1" applyNumberFormat="1" applyFont="1" applyBorder="1" applyAlignment="1">
      <alignment horizontal="center" vertical="center" wrapText="1" shrinkToFit="1"/>
    </xf>
    <xf numFmtId="184" fontId="2" fillId="0" borderId="13" xfId="1" applyNumberFormat="1" applyFont="1" applyBorder="1" applyAlignment="1">
      <alignment horizontal="center" vertical="center" wrapText="1" shrinkToFit="1"/>
    </xf>
    <xf numFmtId="184" fontId="2" fillId="0" borderId="5" xfId="1" applyNumberFormat="1" applyFont="1" applyBorder="1" applyAlignment="1">
      <alignment horizontal="center"/>
    </xf>
    <xf numFmtId="0" fontId="0" fillId="0" borderId="5" xfId="0" applyBorder="1">
      <alignment vertical="center"/>
    </xf>
    <xf numFmtId="0" fontId="0" fillId="0" borderId="8" xfId="0" applyBorder="1">
      <alignment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left" vertical="center"/>
    </xf>
    <xf numFmtId="0" fontId="2" fillId="2" borderId="3" xfId="2" applyFont="1" applyFill="1" applyBorder="1"/>
    <xf numFmtId="0" fontId="2" fillId="2" borderId="0" xfId="2" applyFont="1" applyFill="1"/>
    <xf numFmtId="0" fontId="2" fillId="2" borderId="3" xfId="2" applyFont="1" applyFill="1" applyBorder="1" applyAlignment="1">
      <alignment horizontal="left"/>
    </xf>
    <xf numFmtId="0" fontId="4" fillId="2" borderId="0" xfId="2" applyFont="1" applyFill="1"/>
    <xf numFmtId="0" fontId="2" fillId="2" borderId="0" xfId="2" applyFont="1" applyFill="1" applyAlignment="1">
      <alignment horizontal="left"/>
    </xf>
    <xf numFmtId="58" fontId="4" fillId="3" borderId="16" xfId="0" applyNumberFormat="1" applyFont="1" applyFill="1" applyBorder="1" applyAlignment="1">
      <alignment horizontal="left"/>
    </xf>
    <xf numFmtId="0" fontId="4" fillId="2" borderId="16" xfId="2" applyFont="1" applyFill="1" applyBorder="1"/>
    <xf numFmtId="49" fontId="4" fillId="2" borderId="16" xfId="2" applyNumberFormat="1" applyFont="1" applyFill="1" applyBorder="1" applyAlignment="1">
      <alignment horizontal="center"/>
    </xf>
    <xf numFmtId="178" fontId="4" fillId="3" borderId="16" xfId="0" applyNumberFormat="1" applyFont="1" applyFill="1" applyBorder="1" applyAlignment="1">
      <alignment horizontal="left"/>
    </xf>
    <xf numFmtId="178" fontId="4" fillId="2" borderId="16" xfId="0" applyNumberFormat="1" applyFont="1" applyFill="1" applyBorder="1" applyAlignment="1"/>
    <xf numFmtId="178" fontId="4" fillId="3" borderId="0" xfId="0" applyNumberFormat="1" applyFont="1" applyFill="1" applyAlignment="1">
      <alignment horizontal="left"/>
    </xf>
    <xf numFmtId="0" fontId="0" fillId="0" borderId="0" xfId="0" applyAlignment="1"/>
    <xf numFmtId="0" fontId="4" fillId="0" borderId="6" xfId="2" applyFont="1" applyBorder="1" applyAlignment="1">
      <alignment horizontal="left"/>
    </xf>
    <xf numFmtId="0" fontId="4" fillId="0" borderId="7" xfId="2" applyFont="1" applyBorder="1" applyAlignment="1">
      <alignment horizontal="left"/>
    </xf>
    <xf numFmtId="0" fontId="4" fillId="0" borderId="7" xfId="2" applyFont="1" applyBorder="1"/>
    <xf numFmtId="0" fontId="4" fillId="0" borderId="8" xfId="2" applyFont="1" applyBorder="1"/>
    <xf numFmtId="0" fontId="2" fillId="2" borderId="2" xfId="2" applyFont="1" applyFill="1" applyBorder="1"/>
    <xf numFmtId="0" fontId="4" fillId="2" borderId="2" xfId="2" applyFont="1" applyFill="1" applyBorder="1"/>
    <xf numFmtId="0" fontId="4" fillId="2" borderId="4" xfId="2" applyFont="1" applyFill="1" applyBorder="1"/>
    <xf numFmtId="0" fontId="2" fillId="0" borderId="1" xfId="2" applyFont="1" applyBorder="1" applyAlignment="1">
      <alignment horizontal="left"/>
    </xf>
    <xf numFmtId="0" fontId="4" fillId="0" borderId="2" xfId="2" applyFont="1" applyBorder="1"/>
    <xf numFmtId="0" fontId="4" fillId="0" borderId="3" xfId="1" applyFont="1" applyBorder="1" applyAlignment="1">
      <alignment horizontal="left"/>
    </xf>
    <xf numFmtId="0" fontId="2" fillId="2" borderId="0" xfId="1" applyFont="1" applyFill="1" applyAlignment="1">
      <alignment horizontal="left"/>
    </xf>
    <xf numFmtId="0" fontId="2" fillId="2" borderId="5" xfId="1" applyFont="1" applyFill="1" applyBorder="1" applyAlignment="1">
      <alignment horizontal="left"/>
    </xf>
    <xf numFmtId="0" fontId="4" fillId="0" borderId="3" xfId="2" applyFont="1" applyBorder="1" applyAlignment="1">
      <alignment horizontal="left"/>
    </xf>
    <xf numFmtId="0" fontId="4" fillId="0" borderId="4" xfId="2" applyFont="1" applyBorder="1"/>
    <xf numFmtId="0" fontId="2" fillId="2" borderId="1" xfId="2" applyFont="1" applyFill="1" applyBorder="1" applyAlignment="1">
      <alignment horizontal="left"/>
    </xf>
    <xf numFmtId="0" fontId="4" fillId="0" borderId="5" xfId="2" applyFont="1" applyBorder="1"/>
    <xf numFmtId="0" fontId="4" fillId="3" borderId="3" xfId="0" applyFont="1" applyFill="1" applyBorder="1" applyAlignment="1">
      <alignment horizontal="left"/>
    </xf>
    <xf numFmtId="0" fontId="4" fillId="2" borderId="0" xfId="0" applyFont="1" applyFill="1" applyAlignment="1"/>
    <xf numFmtId="0" fontId="2" fillId="0" borderId="1" xfId="2" applyFont="1" applyBorder="1"/>
    <xf numFmtId="0" fontId="2" fillId="0" borderId="0" xfId="2" applyFont="1" applyAlignment="1">
      <alignment horizontal="left"/>
    </xf>
    <xf numFmtId="0" fontId="6" fillId="0" borderId="0" xfId="2" applyFont="1" applyAlignment="1">
      <alignment horizontal="left"/>
    </xf>
    <xf numFmtId="0" fontId="6" fillId="0" borderId="6" xfId="0" applyFont="1" applyBorder="1" applyAlignment="1"/>
    <xf numFmtId="0" fontId="2" fillId="0" borderId="3" xfId="2" applyFont="1" applyBorder="1"/>
    <xf numFmtId="0" fontId="4" fillId="0" borderId="8" xfId="0" applyFont="1" applyBorder="1" applyAlignment="1">
      <alignment horizontal="center"/>
    </xf>
    <xf numFmtId="0" fontId="6" fillId="3" borderId="6" xfId="2" applyFont="1" applyFill="1" applyBorder="1" applyAlignment="1">
      <alignment horizontal="left"/>
    </xf>
    <xf numFmtId="0" fontId="4" fillId="3" borderId="7" xfId="2" applyFont="1" applyFill="1" applyBorder="1"/>
    <xf numFmtId="0" fontId="2" fillId="0" borderId="14" xfId="2" applyFont="1" applyBorder="1" applyAlignment="1">
      <alignment horizontal="center" vertical="center"/>
    </xf>
    <xf numFmtId="0" fontId="2" fillId="2" borderId="15" xfId="2" applyFont="1" applyFill="1" applyBorder="1" applyAlignment="1">
      <alignment horizontal="center" vertical="center"/>
    </xf>
    <xf numFmtId="0" fontId="2" fillId="0" borderId="15" xfId="2" applyFont="1" applyBorder="1" applyAlignment="1">
      <alignment horizontal="center" vertical="center" wrapText="1"/>
    </xf>
    <xf numFmtId="0" fontId="2" fillId="2" borderId="15" xfId="2" applyFont="1" applyFill="1" applyBorder="1" applyAlignment="1">
      <alignment horizontal="left" vertical="center"/>
    </xf>
    <xf numFmtId="0" fontId="2" fillId="3" borderId="15" xfId="2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 shrinkToFit="1"/>
    </xf>
    <xf numFmtId="0" fontId="1" fillId="0" borderId="0" xfId="0" applyFont="1" applyAlignment="1"/>
    <xf numFmtId="0" fontId="1" fillId="0" borderId="7" xfId="0" applyFont="1" applyBorder="1" applyAlignment="1">
      <alignment horizontal="left"/>
    </xf>
    <xf numFmtId="0" fontId="4" fillId="0" borderId="14" xfId="2" applyFont="1" applyBorder="1"/>
    <xf numFmtId="0" fontId="4" fillId="0" borderId="15" xfId="2" applyFont="1" applyBorder="1"/>
    <xf numFmtId="0" fontId="4" fillId="3" borderId="15" xfId="0" applyFont="1" applyFill="1" applyBorder="1" applyAlignment="1">
      <alignment horizontal="left" vertical="center" wrapText="1" shrinkToFit="1"/>
    </xf>
    <xf numFmtId="0" fontId="2" fillId="0" borderId="15" xfId="2" applyFont="1" applyBorder="1"/>
    <xf numFmtId="185" fontId="2" fillId="0" borderId="15" xfId="2" applyNumberFormat="1" applyFont="1" applyBorder="1" applyAlignment="1">
      <alignment horizontal="center"/>
    </xf>
    <xf numFmtId="0" fontId="10" fillId="0" borderId="0" xfId="0" applyFont="1" applyAlignment="1"/>
    <xf numFmtId="0" fontId="10" fillId="0" borderId="7" xfId="0" applyFont="1" applyBorder="1">
      <alignment vertical="center"/>
    </xf>
    <xf numFmtId="0" fontId="15" fillId="0" borderId="8" xfId="0" applyFont="1" applyBorder="1">
      <alignment vertical="center"/>
    </xf>
    <xf numFmtId="0" fontId="10" fillId="0" borderId="2" xfId="0" applyFont="1" applyBorder="1">
      <alignment vertical="center"/>
    </xf>
    <xf numFmtId="0" fontId="10" fillId="0" borderId="0" xfId="0" applyFont="1">
      <alignment vertical="center"/>
    </xf>
    <xf numFmtId="0" fontId="10" fillId="0" borderId="5" xfId="0" applyFont="1" applyBorder="1">
      <alignment vertical="center"/>
    </xf>
    <xf numFmtId="0" fontId="16" fillId="0" borderId="0" xfId="0" applyFont="1" applyAlignment="1"/>
    <xf numFmtId="0" fontId="15" fillId="0" borderId="0" xfId="0" applyFont="1">
      <alignment vertical="center"/>
    </xf>
    <xf numFmtId="0" fontId="15" fillId="0" borderId="5" xfId="0" applyFont="1" applyBorder="1">
      <alignment vertical="center"/>
    </xf>
    <xf numFmtId="0" fontId="5" fillId="0" borderId="7" xfId="1" applyFont="1" applyBorder="1"/>
    <xf numFmtId="0" fontId="10" fillId="0" borderId="2" xfId="0" applyFont="1" applyBorder="1" applyAlignment="1"/>
    <xf numFmtId="0" fontId="10" fillId="0" borderId="7" xfId="0" applyFont="1" applyBorder="1" applyAlignment="1"/>
    <xf numFmtId="0" fontId="12" fillId="3" borderId="15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186" fontId="3" fillId="0" borderId="0" xfId="0" applyNumberFormat="1" applyFont="1" applyAlignment="1"/>
    <xf numFmtId="0" fontId="3" fillId="3" borderId="0" xfId="0" applyFont="1" applyFill="1" applyAlignment="1"/>
    <xf numFmtId="186" fontId="3" fillId="3" borderId="0" xfId="0" applyNumberFormat="1" applyFont="1" applyFill="1" applyAlignment="1"/>
    <xf numFmtId="0" fontId="3" fillId="4" borderId="0" xfId="0" applyFont="1" applyFill="1" applyAlignment="1"/>
    <xf numFmtId="186" fontId="3" fillId="4" borderId="0" xfId="0" applyNumberFormat="1" applyFont="1" applyFill="1" applyAlignment="1"/>
    <xf numFmtId="0" fontId="18" fillId="0" borderId="0" xfId="0" applyFont="1" applyAlignment="1">
      <alignment horizontal="center" vertical="center" wrapText="1" shrinkToFit="1"/>
    </xf>
    <xf numFmtId="0" fontId="1" fillId="0" borderId="7" xfId="0" applyFont="1" applyBorder="1" applyAlignment="1"/>
    <xf numFmtId="0" fontId="1" fillId="0" borderId="8" xfId="0" applyFont="1" applyBorder="1" applyAlignment="1"/>
    <xf numFmtId="184" fontId="4" fillId="3" borderId="7" xfId="2" applyNumberFormat="1" applyFont="1" applyFill="1" applyBorder="1" applyAlignment="1">
      <alignment horizontal="center"/>
    </xf>
    <xf numFmtId="0" fontId="12" fillId="0" borderId="7" xfId="0" applyFont="1" applyBorder="1" applyAlignment="1"/>
    <xf numFmtId="184" fontId="2" fillId="3" borderId="7" xfId="2" applyNumberFormat="1" applyFont="1" applyFill="1" applyBorder="1" applyAlignment="1">
      <alignment horizontal="center"/>
    </xf>
    <xf numFmtId="0" fontId="14" fillId="0" borderId="14" xfId="2" applyFont="1" applyBorder="1" applyAlignment="1">
      <alignment horizontal="center"/>
    </xf>
    <xf numFmtId="0" fontId="14" fillId="0" borderId="15" xfId="2" applyFont="1" applyBorder="1" applyAlignment="1">
      <alignment horizontal="center"/>
    </xf>
    <xf numFmtId="0" fontId="14" fillId="0" borderId="17" xfId="2" applyFont="1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4" fillId="0" borderId="0" xfId="2" applyFont="1" applyAlignment="1">
      <alignment horizontal="center"/>
    </xf>
    <xf numFmtId="0" fontId="4" fillId="0" borderId="6" xfId="1" applyFont="1" applyBorder="1" applyAlignment="1">
      <alignment horizontal="left" vertical="top" wrapText="1"/>
    </xf>
    <xf numFmtId="0" fontId="4" fillId="0" borderId="7" xfId="1" applyFont="1" applyBorder="1" applyAlignment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3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178" fontId="4" fillId="0" borderId="6" xfId="0" applyNumberFormat="1" applyFont="1" applyBorder="1" applyAlignment="1">
      <alignment horizontal="left"/>
    </xf>
    <xf numFmtId="178" fontId="4" fillId="0" borderId="8" xfId="0" applyNumberFormat="1" applyFont="1" applyBorder="1" applyAlignment="1">
      <alignment horizontal="left"/>
    </xf>
    <xf numFmtId="0" fontId="4" fillId="0" borderId="15" xfId="2" applyFont="1" applyBorder="1" applyAlignment="1">
      <alignment horizontal="left"/>
    </xf>
    <xf numFmtId="0" fontId="4" fillId="0" borderId="3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4" fillId="0" borderId="3" xfId="1" applyFont="1" applyBorder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4" fillId="0" borderId="5" xfId="1" applyFont="1" applyBorder="1" applyAlignment="1">
      <alignment horizontal="left" vertical="top" wrapText="1"/>
    </xf>
    <xf numFmtId="0" fontId="4" fillId="0" borderId="6" xfId="1" applyFont="1" applyBorder="1" applyAlignment="1">
      <alignment horizontal="left"/>
    </xf>
    <xf numFmtId="0" fontId="4" fillId="0" borderId="7" xfId="1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2" fillId="2" borderId="1" xfId="2" applyFont="1" applyFill="1" applyBorder="1" applyAlignment="1">
      <alignment horizontal="center" vertical="center"/>
    </xf>
    <xf numFmtId="0" fontId="2" fillId="2" borderId="6" xfId="2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  <xf numFmtId="0" fontId="2" fillId="2" borderId="7" xfId="2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vertical="top" wrapText="1"/>
    </xf>
    <xf numFmtId="0" fontId="4" fillId="2" borderId="0" xfId="1" applyFont="1" applyFill="1" applyAlignment="1">
      <alignment vertical="top" wrapText="1"/>
    </xf>
    <xf numFmtId="0" fontId="4" fillId="2" borderId="5" xfId="1" applyFont="1" applyFill="1" applyBorder="1" applyAlignment="1">
      <alignment vertical="top" wrapText="1"/>
    </xf>
    <xf numFmtId="0" fontId="4" fillId="0" borderId="3" xfId="2" applyFont="1" applyBorder="1" applyAlignment="1">
      <alignment horizontal="left" vertical="top" wrapText="1"/>
    </xf>
    <xf numFmtId="0" fontId="4" fillId="0" borderId="0" xfId="2" applyFont="1" applyAlignment="1">
      <alignment horizontal="left" vertical="top" wrapText="1"/>
    </xf>
    <xf numFmtId="0" fontId="4" fillId="0" borderId="5" xfId="2" applyFont="1" applyBorder="1" applyAlignment="1">
      <alignment horizontal="left" vertical="top" wrapText="1"/>
    </xf>
    <xf numFmtId="0" fontId="4" fillId="0" borderId="6" xfId="2" applyFont="1" applyBorder="1" applyAlignment="1">
      <alignment horizontal="left" vertical="top" wrapText="1"/>
    </xf>
    <xf numFmtId="0" fontId="4" fillId="0" borderId="7" xfId="2" applyFont="1" applyBorder="1" applyAlignment="1">
      <alignment horizontal="left" vertical="top" wrapText="1"/>
    </xf>
    <xf numFmtId="0" fontId="4" fillId="0" borderId="8" xfId="2" applyFont="1" applyBorder="1" applyAlignment="1">
      <alignment horizontal="left" vertical="top" wrapText="1"/>
    </xf>
  </cellXfs>
  <cellStyles count="4">
    <cellStyle name="一般" xfId="0" builtinId="0"/>
    <cellStyle name="一般_OMRON" xfId="2" xr:uid="{00000000-0005-0000-0000-000032000000}"/>
    <cellStyle name="一般_OMRON海運出口" xfId="1" xr:uid="{00000000-0005-0000-0000-00001F000000}"/>
    <cellStyle name="常规_Sheet1_1" xfId="3" xr:uid="{00000000-0005-0000-0000-000033000000}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7038;&#20214;&#25991;&#20214;/&#36827;&#21475;&#20445;&#31246;&#25552;&#21333;&#34920;&#20307;%20(5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进口保税提单表体"/>
    </sheetNames>
    <sheetDataSet>
      <sheetData sheetId="0">
        <row r="2">
          <cell r="E2" t="str">
            <v>3100067KEL</v>
          </cell>
          <cell r="F2" t="str">
            <v>3100067KEL</v>
          </cell>
          <cell r="G2" t="str">
            <v>E231425A0014</v>
          </cell>
          <cell r="H2" t="str">
            <v>1083</v>
          </cell>
          <cell r="I2" t="str">
            <v>其他发光二极管</v>
          </cell>
        </row>
        <row r="3">
          <cell r="E3" t="str">
            <v>312001C0EL</v>
          </cell>
          <cell r="F3" t="str">
            <v>312001C0EL</v>
          </cell>
          <cell r="G3" t="str">
            <v>E231425A0014</v>
          </cell>
          <cell r="H3" t="str">
            <v>1148</v>
          </cell>
          <cell r="I3" t="str">
            <v>其他发光二极管</v>
          </cell>
        </row>
        <row r="4">
          <cell r="E4" t="str">
            <v>312001C0EL</v>
          </cell>
          <cell r="F4" t="str">
            <v>312001C0EL</v>
          </cell>
          <cell r="G4" t="str">
            <v>E231425A0014</v>
          </cell>
          <cell r="H4" t="str">
            <v>1148</v>
          </cell>
          <cell r="I4" t="str">
            <v>其他发光二极管</v>
          </cell>
        </row>
        <row r="5">
          <cell r="E5" t="str">
            <v>57531500EL0</v>
          </cell>
          <cell r="F5" t="str">
            <v>57531500EL0</v>
          </cell>
          <cell r="G5" t="str">
            <v>E231425A0014</v>
          </cell>
          <cell r="H5" t="str">
            <v>6039</v>
          </cell>
          <cell r="I5" t="str">
            <v>含硅基换能器的多元件集成电路</v>
          </cell>
        </row>
        <row r="6">
          <cell r="E6" t="str">
            <v>57531500EL0</v>
          </cell>
          <cell r="F6" t="str">
            <v>57531500EL0</v>
          </cell>
          <cell r="G6" t="str">
            <v>E231425A0014</v>
          </cell>
          <cell r="H6" t="str">
            <v>6039</v>
          </cell>
          <cell r="I6" t="str">
            <v>含硅基换能器的多元件集成电路</v>
          </cell>
        </row>
        <row r="7">
          <cell r="E7" t="str">
            <v>312001C0EL</v>
          </cell>
          <cell r="F7" t="str">
            <v>312001C0EL</v>
          </cell>
          <cell r="G7" t="str">
            <v>E231425A0014</v>
          </cell>
          <cell r="H7" t="str">
            <v>1148</v>
          </cell>
          <cell r="I7" t="str">
            <v>其他发光二极管</v>
          </cell>
        </row>
        <row r="8">
          <cell r="E8" t="str">
            <v>55966033RW0</v>
          </cell>
          <cell r="F8" t="str">
            <v>55966033RW0</v>
          </cell>
          <cell r="G8" t="str">
            <v>E231425A0014</v>
          </cell>
          <cell r="H8" t="str">
            <v>5513</v>
          </cell>
          <cell r="I8" t="str">
            <v>射频开关芯片</v>
          </cell>
        </row>
        <row r="9">
          <cell r="E9" t="str">
            <v>55976370RW0</v>
          </cell>
          <cell r="F9" t="str">
            <v>55976370RW0</v>
          </cell>
          <cell r="G9" t="str">
            <v>E231425A0014</v>
          </cell>
          <cell r="H9" t="str">
            <v>5608</v>
          </cell>
          <cell r="I9" t="str">
            <v>集成电路/其他集成电路</v>
          </cell>
        </row>
        <row r="10">
          <cell r="E10" t="str">
            <v>55966030RW0</v>
          </cell>
          <cell r="F10" t="str">
            <v>55966030RW0</v>
          </cell>
          <cell r="G10" t="str">
            <v>E231425A0014</v>
          </cell>
          <cell r="H10" t="str">
            <v>5510</v>
          </cell>
          <cell r="I10" t="str">
            <v>射频开关芯片</v>
          </cell>
        </row>
        <row r="11">
          <cell r="E11" t="str">
            <v>55986130RWR</v>
          </cell>
          <cell r="F11" t="str">
            <v>55986130RWR</v>
          </cell>
          <cell r="G11" t="str">
            <v>E231425A0014</v>
          </cell>
          <cell r="H11" t="str">
            <v>5715</v>
          </cell>
          <cell r="I11" t="str">
            <v>射频开关芯片</v>
          </cell>
        </row>
        <row r="12">
          <cell r="E12" t="str">
            <v>55986130RWR</v>
          </cell>
          <cell r="F12" t="str">
            <v>55986130RWR</v>
          </cell>
          <cell r="G12" t="str">
            <v>E231425A0014</v>
          </cell>
          <cell r="H12" t="str">
            <v>5715</v>
          </cell>
          <cell r="I12" t="str">
            <v>射频开关芯片</v>
          </cell>
        </row>
        <row r="13">
          <cell r="E13" t="str">
            <v>55986130RWR</v>
          </cell>
          <cell r="F13" t="str">
            <v>55986130RWR</v>
          </cell>
          <cell r="G13" t="str">
            <v>E231425A0014</v>
          </cell>
          <cell r="H13" t="str">
            <v>5715</v>
          </cell>
          <cell r="I13" t="str">
            <v>射频开关芯片</v>
          </cell>
        </row>
        <row r="14">
          <cell r="E14" t="str">
            <v>55986130RWR</v>
          </cell>
          <cell r="F14" t="str">
            <v>55986130RWR</v>
          </cell>
          <cell r="G14" t="str">
            <v>E231425A0014</v>
          </cell>
          <cell r="H14" t="str">
            <v>5715</v>
          </cell>
          <cell r="I14" t="str">
            <v>射频开关芯片</v>
          </cell>
        </row>
        <row r="15">
          <cell r="E15" t="str">
            <v>55976370RW0</v>
          </cell>
          <cell r="F15" t="str">
            <v>55976370RW0</v>
          </cell>
          <cell r="G15" t="str">
            <v>E231425A0014</v>
          </cell>
          <cell r="H15" t="str">
            <v>5608</v>
          </cell>
          <cell r="I15" t="str">
            <v>集成电路/其他集成电路</v>
          </cell>
        </row>
        <row r="16">
          <cell r="E16" t="str">
            <v>55976370RW0</v>
          </cell>
          <cell r="F16" t="str">
            <v>55976370RW0</v>
          </cell>
          <cell r="G16" t="str">
            <v>E231425A0014</v>
          </cell>
          <cell r="H16" t="str">
            <v>5608</v>
          </cell>
          <cell r="I16" t="str">
            <v>集成电路/其他集成电路</v>
          </cell>
        </row>
        <row r="17">
          <cell r="E17" t="str">
            <v>55966030RW0</v>
          </cell>
          <cell r="F17" t="str">
            <v>55966030RW0</v>
          </cell>
          <cell r="G17" t="str">
            <v>E231425A0014</v>
          </cell>
          <cell r="H17" t="str">
            <v>5510</v>
          </cell>
          <cell r="I17" t="str">
            <v>射频开关芯片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8"/>
  <sheetViews>
    <sheetView tabSelected="1" view="pageBreakPreview" topLeftCell="A5" zoomScale="90" zoomScaleNormal="90" zoomScaleSheetLayoutView="90" workbookViewId="0">
      <selection activeCell="N9" sqref="N9"/>
    </sheetView>
  </sheetViews>
  <sheetFormatPr defaultColWidth="9" defaultRowHeight="24.6"/>
  <cols>
    <col min="1" max="1" width="9" style="74"/>
    <col min="2" max="2" width="15.75" style="74" customWidth="1"/>
    <col min="3" max="3" width="11.25" style="74" customWidth="1"/>
    <col min="4" max="4" width="25.75" style="74" customWidth="1"/>
    <col min="5" max="5" width="10.5" style="75" customWidth="1"/>
    <col min="6" max="6" width="6.375" style="74" customWidth="1"/>
    <col min="7" max="7" width="9" style="74"/>
    <col min="8" max="8" width="10.125" style="74" customWidth="1"/>
    <col min="9" max="9" width="9.75" style="74" customWidth="1"/>
    <col min="10" max="10" width="13.875" style="74" customWidth="1"/>
    <col min="11" max="11" width="14.625" style="74" customWidth="1"/>
    <col min="12" max="13" width="16.5" style="74" customWidth="1"/>
    <col min="14" max="14" width="28" style="74" customWidth="1"/>
    <col min="15" max="15" width="13.25" style="74" customWidth="1"/>
    <col min="16" max="16" width="13" style="74" customWidth="1"/>
    <col min="17" max="17" width="11.125" style="74"/>
    <col min="18" max="16384" width="9" style="74"/>
  </cols>
  <sheetData>
    <row r="1" spans="1:16">
      <c r="A1" s="154" t="s">
        <v>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6"/>
    </row>
    <row r="2" spans="1:16">
      <c r="A2" s="76" t="s">
        <v>1</v>
      </c>
      <c r="B2" s="77"/>
      <c r="C2" s="27"/>
      <c r="D2" s="40"/>
      <c r="E2" s="78" t="s">
        <v>2</v>
      </c>
      <c r="F2" s="79"/>
      <c r="G2" s="79"/>
      <c r="H2" s="80" t="s">
        <v>2</v>
      </c>
      <c r="I2" s="27"/>
      <c r="J2" s="127"/>
      <c r="K2" s="127"/>
      <c r="L2" s="127"/>
      <c r="M2" s="127"/>
      <c r="N2" s="127"/>
      <c r="O2" s="127"/>
      <c r="P2" s="65"/>
    </row>
    <row r="3" spans="1:16">
      <c r="A3" s="8" t="s">
        <v>3</v>
      </c>
      <c r="B3" s="9"/>
      <c r="C3" s="27"/>
      <c r="D3" s="27"/>
      <c r="E3" s="81">
        <v>45882</v>
      </c>
      <c r="F3" s="82"/>
      <c r="G3" s="83"/>
      <c r="H3" s="81">
        <v>45882</v>
      </c>
      <c r="I3" s="27"/>
      <c r="J3" s="127"/>
      <c r="K3" s="127"/>
      <c r="L3" s="127"/>
      <c r="M3" s="127"/>
      <c r="N3" s="127"/>
      <c r="O3" s="127"/>
      <c r="P3" s="65"/>
    </row>
    <row r="4" spans="1:16">
      <c r="A4" s="167" t="s">
        <v>4</v>
      </c>
      <c r="B4" s="168"/>
      <c r="C4" s="168"/>
      <c r="D4" s="168"/>
      <c r="E4" s="84" t="s">
        <v>5</v>
      </c>
      <c r="F4" s="85"/>
      <c r="G4" s="85"/>
      <c r="H4" s="86" t="s">
        <v>6</v>
      </c>
      <c r="I4" s="27"/>
      <c r="J4" s="127"/>
      <c r="K4" s="127"/>
      <c r="L4" s="127"/>
      <c r="M4" s="127"/>
      <c r="N4" s="127"/>
      <c r="O4" s="127"/>
      <c r="P4" s="65"/>
    </row>
    <row r="5" spans="1:16">
      <c r="A5" s="167"/>
      <c r="B5" s="168"/>
      <c r="C5" s="168"/>
      <c r="D5" s="169"/>
      <c r="E5" s="86"/>
      <c r="F5" s="87"/>
      <c r="G5" s="27"/>
      <c r="H5" s="27"/>
      <c r="I5" s="27"/>
      <c r="J5" s="127"/>
      <c r="K5" s="127"/>
      <c r="L5" s="127"/>
      <c r="M5" s="127"/>
      <c r="N5" s="127"/>
      <c r="O5" s="127"/>
      <c r="P5" s="65"/>
    </row>
    <row r="6" spans="1:16">
      <c r="A6" s="88"/>
      <c r="B6" s="89"/>
      <c r="C6" s="90"/>
      <c r="D6" s="91"/>
      <c r="E6" s="88"/>
      <c r="F6" s="87"/>
      <c r="G6" s="90"/>
      <c r="H6" s="90"/>
      <c r="I6" s="90"/>
      <c r="J6" s="128"/>
      <c r="K6" s="128"/>
      <c r="L6" s="128"/>
      <c r="M6" s="128"/>
      <c r="N6" s="128"/>
      <c r="O6" s="128"/>
      <c r="P6" s="129"/>
    </row>
    <row r="7" spans="1:16">
      <c r="A7" s="19" t="s">
        <v>7</v>
      </c>
      <c r="B7" s="92"/>
      <c r="C7" s="93"/>
      <c r="D7" s="94"/>
      <c r="E7" s="95" t="s">
        <v>8</v>
      </c>
      <c r="F7" s="96"/>
      <c r="G7" s="96"/>
      <c r="H7" s="96"/>
      <c r="I7" s="96"/>
      <c r="J7" s="130"/>
      <c r="K7" s="131"/>
      <c r="L7" s="131"/>
      <c r="M7" s="131"/>
      <c r="N7" s="131"/>
      <c r="O7" s="131"/>
      <c r="P7" s="132"/>
    </row>
    <row r="8" spans="1:16">
      <c r="A8" s="97" t="s">
        <v>9</v>
      </c>
      <c r="B8" s="9"/>
      <c r="C8" s="98"/>
      <c r="D8" s="99"/>
      <c r="E8" s="100"/>
      <c r="F8" s="27"/>
      <c r="G8" s="27"/>
      <c r="H8" s="27"/>
      <c r="I8" s="27"/>
      <c r="J8" s="133"/>
      <c r="K8" s="131"/>
      <c r="L8" s="131"/>
      <c r="M8" s="131"/>
      <c r="N8" s="131"/>
      <c r="O8" s="131"/>
      <c r="P8" s="132"/>
    </row>
    <row r="9" spans="1:16">
      <c r="A9" s="170" t="s">
        <v>10</v>
      </c>
      <c r="B9" s="171"/>
      <c r="C9" s="171"/>
      <c r="D9" s="172"/>
      <c r="E9" s="157"/>
      <c r="F9" s="158"/>
      <c r="G9" s="158"/>
      <c r="H9" s="158"/>
      <c r="I9" s="158"/>
      <c r="J9" s="133"/>
      <c r="K9" s="134"/>
      <c r="L9" s="134"/>
      <c r="M9" s="134"/>
      <c r="N9" s="134"/>
      <c r="O9" s="134"/>
      <c r="P9" s="135"/>
    </row>
    <row r="10" spans="1:16">
      <c r="A10" s="170"/>
      <c r="B10" s="171"/>
      <c r="C10" s="171"/>
      <c r="D10" s="172"/>
      <c r="E10" s="100"/>
      <c r="F10" s="27"/>
      <c r="G10" s="27"/>
      <c r="H10" s="27"/>
      <c r="I10" s="27"/>
      <c r="J10" s="134"/>
      <c r="K10" s="134"/>
      <c r="L10" s="134"/>
      <c r="M10" s="134"/>
      <c r="N10" s="134"/>
      <c r="O10" s="134"/>
      <c r="P10" s="135"/>
    </row>
    <row r="11" spans="1:16">
      <c r="A11" s="19" t="s">
        <v>11</v>
      </c>
      <c r="B11" s="96"/>
      <c r="C11" s="96"/>
      <c r="D11" s="101"/>
      <c r="E11" s="102" t="s">
        <v>12</v>
      </c>
      <c r="F11" s="93"/>
      <c r="G11" s="93"/>
      <c r="H11" s="93"/>
      <c r="I11" s="93"/>
      <c r="J11" s="96"/>
      <c r="K11" s="96"/>
      <c r="L11" s="96"/>
      <c r="M11" s="96"/>
      <c r="N11" s="96"/>
      <c r="O11" s="96"/>
      <c r="P11" s="101"/>
    </row>
    <row r="12" spans="1:16">
      <c r="A12" s="97" t="s">
        <v>9</v>
      </c>
      <c r="B12" s="34"/>
      <c r="C12" s="34"/>
      <c r="D12" s="103"/>
      <c r="E12" s="104" t="s">
        <v>13</v>
      </c>
      <c r="F12" s="105"/>
      <c r="G12" s="105"/>
      <c r="H12" s="105"/>
      <c r="I12" s="105"/>
      <c r="J12" s="127"/>
      <c r="K12" s="127"/>
      <c r="L12" s="127"/>
      <c r="M12" s="127"/>
      <c r="N12" s="127"/>
      <c r="O12" s="127"/>
      <c r="P12" s="65"/>
    </row>
    <row r="13" spans="1:16" ht="40.950000000000003" customHeight="1">
      <c r="A13" s="159" t="s">
        <v>14</v>
      </c>
      <c r="B13" s="160"/>
      <c r="C13" s="160"/>
      <c r="D13" s="161"/>
      <c r="E13" s="88"/>
      <c r="F13" s="90"/>
      <c r="G13" s="90"/>
      <c r="H13" s="90"/>
      <c r="I13" s="136"/>
      <c r="J13" s="127"/>
      <c r="K13" s="127"/>
      <c r="L13" s="127"/>
      <c r="M13" s="127"/>
      <c r="N13" s="127"/>
      <c r="O13" s="127"/>
      <c r="P13" s="135"/>
    </row>
    <row r="14" spans="1:16">
      <c r="A14" s="106" t="s">
        <v>15</v>
      </c>
      <c r="B14" s="96"/>
      <c r="C14" s="106" t="s">
        <v>16</v>
      </c>
      <c r="D14" s="101"/>
      <c r="E14" s="107" t="s">
        <v>17</v>
      </c>
      <c r="F14" s="10"/>
      <c r="G14" s="10"/>
      <c r="H14" s="10"/>
      <c r="I14" s="27"/>
      <c r="J14" s="137"/>
      <c r="K14" s="137"/>
      <c r="L14" s="137"/>
      <c r="M14" s="137"/>
      <c r="N14" s="137"/>
      <c r="O14" s="137"/>
      <c r="P14" s="63"/>
    </row>
    <row r="15" spans="1:16">
      <c r="A15" s="162"/>
      <c r="B15" s="163"/>
      <c r="C15" s="162"/>
      <c r="D15" s="163"/>
      <c r="E15" s="108"/>
      <c r="F15" s="27"/>
      <c r="G15" s="27"/>
      <c r="H15" s="27"/>
      <c r="I15" s="27"/>
      <c r="J15" s="127"/>
      <c r="K15" s="127"/>
      <c r="L15" s="127"/>
      <c r="M15" s="127"/>
      <c r="N15" s="127"/>
      <c r="O15" s="127"/>
      <c r="P15" s="65"/>
    </row>
    <row r="16" spans="1:16">
      <c r="A16" s="28"/>
      <c r="B16" s="29"/>
      <c r="C16" s="109"/>
      <c r="D16" s="91"/>
      <c r="E16" s="108"/>
      <c r="F16" s="33"/>
      <c r="G16" s="27"/>
      <c r="H16" s="27"/>
      <c r="I16" s="27"/>
      <c r="J16" s="127"/>
      <c r="K16" s="127"/>
      <c r="L16" s="127"/>
      <c r="M16" s="127"/>
      <c r="N16" s="127"/>
      <c r="O16" s="127"/>
      <c r="P16" s="65"/>
    </row>
    <row r="17" spans="1:18">
      <c r="A17" s="106" t="s">
        <v>18</v>
      </c>
      <c r="B17" s="101"/>
      <c r="C17" s="110" t="s">
        <v>19</v>
      </c>
      <c r="D17" s="41"/>
      <c r="E17" s="108"/>
      <c r="F17" s="33"/>
      <c r="G17" s="27"/>
      <c r="H17" s="27"/>
      <c r="I17" s="27"/>
      <c r="J17" s="127"/>
      <c r="K17" s="127"/>
      <c r="L17" s="127"/>
      <c r="M17" s="127"/>
      <c r="N17" s="127"/>
      <c r="O17" s="127"/>
      <c r="P17" s="65"/>
    </row>
    <row r="18" spans="1:18">
      <c r="A18" s="39"/>
      <c r="B18" s="111"/>
      <c r="C18" s="164"/>
      <c r="D18" s="165"/>
      <c r="E18" s="112" t="s">
        <v>20</v>
      </c>
      <c r="F18" s="113" t="s">
        <v>21</v>
      </c>
      <c r="G18" s="113"/>
      <c r="H18" s="90"/>
      <c r="I18" s="90"/>
      <c r="J18" s="138"/>
      <c r="K18" s="127"/>
      <c r="L18" s="127"/>
      <c r="M18" s="127"/>
      <c r="N18" s="127"/>
      <c r="O18" s="127"/>
      <c r="P18" s="65"/>
    </row>
    <row r="19" spans="1:18" ht="27.6">
      <c r="A19" s="114" t="s">
        <v>22</v>
      </c>
      <c r="B19" s="115" t="s">
        <v>23</v>
      </c>
      <c r="C19" s="115" t="s">
        <v>24</v>
      </c>
      <c r="D19" s="116" t="s">
        <v>25</v>
      </c>
      <c r="E19" s="117" t="s">
        <v>26</v>
      </c>
      <c r="F19" s="115" t="s">
        <v>27</v>
      </c>
      <c r="G19" s="118" t="s">
        <v>28</v>
      </c>
      <c r="H19" s="118" t="s">
        <v>29</v>
      </c>
      <c r="I19" s="118" t="s">
        <v>30</v>
      </c>
      <c r="J19" s="139" t="s">
        <v>31</v>
      </c>
      <c r="K19" s="139" t="s">
        <v>32</v>
      </c>
      <c r="L19" s="140" t="s">
        <v>33</v>
      </c>
      <c r="M19" s="140" t="s">
        <v>34</v>
      </c>
      <c r="N19" s="140" t="s">
        <v>35</v>
      </c>
      <c r="O19" s="141" t="s">
        <v>36</v>
      </c>
      <c r="P19" s="142" t="s">
        <v>37</v>
      </c>
    </row>
    <row r="20" spans="1:18" s="3" customFormat="1" ht="19.95" customHeight="1">
      <c r="A20" s="119">
        <v>1</v>
      </c>
      <c r="B20" s="44" t="s">
        <v>38</v>
      </c>
      <c r="C20" s="44" t="s">
        <v>39</v>
      </c>
      <c r="D20" s="44" t="str">
        <f>VLOOKUP(B20,[1]进口保税提单表体!$E$2:$I$17,5,0)</f>
        <v>其他发光二极管</v>
      </c>
      <c r="E20" s="44">
        <v>16000</v>
      </c>
      <c r="F20" s="44" t="s">
        <v>40</v>
      </c>
      <c r="G20" s="44">
        <v>1.8700000000000001E-2</v>
      </c>
      <c r="H20" s="44" t="s">
        <v>41</v>
      </c>
      <c r="I20" s="143">
        <v>299.2</v>
      </c>
      <c r="J20" s="44" t="s">
        <v>42</v>
      </c>
      <c r="K20" s="44" t="s">
        <v>43</v>
      </c>
      <c r="L20" s="44" t="s">
        <v>44</v>
      </c>
      <c r="M20" s="44" t="s">
        <v>45</v>
      </c>
      <c r="N20" s="44" t="s">
        <v>46</v>
      </c>
      <c r="O20" s="143">
        <v>0.56999999999999995</v>
      </c>
      <c r="P20" s="67" t="s">
        <v>5</v>
      </c>
      <c r="R20" s="3">
        <v>0.56999999999999995</v>
      </c>
    </row>
    <row r="21" spans="1:18" s="3" customFormat="1" ht="19.95" customHeight="1">
      <c r="A21" s="119">
        <v>2</v>
      </c>
      <c r="B21" s="44" t="s">
        <v>47</v>
      </c>
      <c r="C21" s="44" t="s">
        <v>48</v>
      </c>
      <c r="D21" s="44" t="str">
        <f>VLOOKUP(B21,[1]进口保税提单表体!$E$2:$I$17,5,0)</f>
        <v>其他发光二极管</v>
      </c>
      <c r="E21" s="44">
        <v>18000</v>
      </c>
      <c r="F21" s="44" t="s">
        <v>40</v>
      </c>
      <c r="G21" s="44">
        <v>1.9300000000000001E-2</v>
      </c>
      <c r="H21" s="44" t="s">
        <v>41</v>
      </c>
      <c r="I21" s="143">
        <v>347.4</v>
      </c>
      <c r="J21" s="44" t="s">
        <v>42</v>
      </c>
      <c r="K21" s="44" t="s">
        <v>43</v>
      </c>
      <c r="L21" s="44" t="s">
        <v>44</v>
      </c>
      <c r="M21" s="44" t="s">
        <v>45</v>
      </c>
      <c r="N21" s="44" t="s">
        <v>49</v>
      </c>
      <c r="O21" s="143">
        <v>0.6</v>
      </c>
      <c r="P21" s="68" t="s">
        <v>5</v>
      </c>
      <c r="R21" s="3">
        <v>0.6</v>
      </c>
    </row>
    <row r="22" spans="1:18" s="3" customFormat="1" ht="19.95" customHeight="1">
      <c r="A22" s="119">
        <v>3</v>
      </c>
      <c r="B22" s="44" t="s">
        <v>47</v>
      </c>
      <c r="C22" s="44" t="s">
        <v>48</v>
      </c>
      <c r="D22" s="44" t="str">
        <f>VLOOKUP(B22,[1]进口保税提单表体!$E$2:$I$17,5,0)</f>
        <v>其他发光二极管</v>
      </c>
      <c r="E22" s="44">
        <v>2000</v>
      </c>
      <c r="F22" s="44" t="s">
        <v>40</v>
      </c>
      <c r="G22" s="44">
        <v>1.9300000000000001E-2</v>
      </c>
      <c r="H22" s="44" t="s">
        <v>41</v>
      </c>
      <c r="I22" s="143">
        <v>38.6</v>
      </c>
      <c r="J22" s="44" t="s">
        <v>42</v>
      </c>
      <c r="K22" s="44" t="s">
        <v>43</v>
      </c>
      <c r="L22" s="44" t="s">
        <v>44</v>
      </c>
      <c r="M22" s="44" t="s">
        <v>45</v>
      </c>
      <c r="N22" s="44" t="s">
        <v>49</v>
      </c>
      <c r="O22" s="143">
        <v>0.1</v>
      </c>
      <c r="P22" s="68" t="s">
        <v>5</v>
      </c>
      <c r="R22" s="3">
        <v>0.1</v>
      </c>
    </row>
    <row r="23" spans="1:18" s="3" customFormat="1" ht="19.95" customHeight="1">
      <c r="A23" s="119">
        <v>4</v>
      </c>
      <c r="B23" s="44" t="s">
        <v>50</v>
      </c>
      <c r="C23" s="44" t="s">
        <v>51</v>
      </c>
      <c r="D23" s="44" t="str">
        <f>VLOOKUP(B23,[1]进口保税提单表体!$E$2:$I$17,5,0)</f>
        <v>含硅基换能器的多元件集成电路</v>
      </c>
      <c r="E23" s="44">
        <v>7000</v>
      </c>
      <c r="F23" s="44" t="s">
        <v>40</v>
      </c>
      <c r="G23" s="44">
        <v>4.9099999999999998E-2</v>
      </c>
      <c r="H23" s="44" t="s">
        <v>41</v>
      </c>
      <c r="I23" s="143">
        <v>343.7</v>
      </c>
      <c r="J23" s="44" t="s">
        <v>43</v>
      </c>
      <c r="K23" s="44" t="s">
        <v>43</v>
      </c>
      <c r="L23" s="44" t="s">
        <v>44</v>
      </c>
      <c r="M23" s="44" t="s">
        <v>45</v>
      </c>
      <c r="N23" s="44" t="s">
        <v>52</v>
      </c>
      <c r="O23" s="143">
        <v>0.1</v>
      </c>
      <c r="P23" s="68" t="s">
        <v>5</v>
      </c>
      <c r="R23" s="3">
        <v>0.1</v>
      </c>
    </row>
    <row r="24" spans="1:18" s="3" customFormat="1" ht="19.95" customHeight="1">
      <c r="A24" s="119">
        <v>5</v>
      </c>
      <c r="B24" s="44" t="s">
        <v>50</v>
      </c>
      <c r="C24" s="44" t="s">
        <v>53</v>
      </c>
      <c r="D24" s="44" t="str">
        <f>VLOOKUP(B24,[1]进口保税提单表体!$E$2:$I$17,5,0)</f>
        <v>含硅基换能器的多元件集成电路</v>
      </c>
      <c r="E24" s="44">
        <v>1000</v>
      </c>
      <c r="F24" s="44" t="s">
        <v>40</v>
      </c>
      <c r="G24" s="44">
        <v>4.9099999999999998E-2</v>
      </c>
      <c r="H24" s="44" t="s">
        <v>41</v>
      </c>
      <c r="I24" s="143">
        <v>49.1</v>
      </c>
      <c r="J24" s="44" t="s">
        <v>43</v>
      </c>
      <c r="K24" s="44" t="s">
        <v>43</v>
      </c>
      <c r="L24" s="44" t="s">
        <v>44</v>
      </c>
      <c r="M24" s="44" t="s">
        <v>45</v>
      </c>
      <c r="N24" s="44" t="s">
        <v>52</v>
      </c>
      <c r="O24" s="143">
        <v>0</v>
      </c>
      <c r="P24" s="68" t="s">
        <v>5</v>
      </c>
      <c r="R24" s="3">
        <v>0</v>
      </c>
    </row>
    <row r="25" spans="1:18" s="3" customFormat="1" ht="19.95" customHeight="1">
      <c r="A25" s="119">
        <v>6</v>
      </c>
      <c r="B25" s="44" t="s">
        <v>47</v>
      </c>
      <c r="C25" s="44" t="s">
        <v>48</v>
      </c>
      <c r="D25" s="44" t="str">
        <f>VLOOKUP(B25,[1]进口保税提单表体!$E$2:$I$17,5,0)</f>
        <v>其他发光二极管</v>
      </c>
      <c r="E25" s="44">
        <v>2000</v>
      </c>
      <c r="F25" s="44" t="s">
        <v>40</v>
      </c>
      <c r="G25" s="44">
        <v>1.9300000000000001E-2</v>
      </c>
      <c r="H25" s="44" t="s">
        <v>41</v>
      </c>
      <c r="I25" s="143">
        <v>38.6</v>
      </c>
      <c r="J25" s="44" t="s">
        <v>42</v>
      </c>
      <c r="K25" s="44" t="s">
        <v>43</v>
      </c>
      <c r="L25" s="44" t="s">
        <v>44</v>
      </c>
      <c r="M25" s="44" t="s">
        <v>45</v>
      </c>
      <c r="N25" s="44" t="s">
        <v>49</v>
      </c>
      <c r="O25" s="143">
        <v>0.1</v>
      </c>
      <c r="P25" s="68" t="s">
        <v>5</v>
      </c>
      <c r="R25" s="3">
        <v>0.1</v>
      </c>
    </row>
    <row r="26" spans="1:18" s="3" customFormat="1" ht="19.95" customHeight="1">
      <c r="A26" s="119">
        <v>7</v>
      </c>
      <c r="B26" s="44" t="s">
        <v>54</v>
      </c>
      <c r="C26" s="44" t="s">
        <v>55</v>
      </c>
      <c r="D26" s="44" t="str">
        <f>VLOOKUP(B26,[1]进口保税提单表体!$E$2:$I$17,5,0)</f>
        <v>射频开关芯片</v>
      </c>
      <c r="E26" s="44">
        <v>3000</v>
      </c>
      <c r="F26" s="44" t="s">
        <v>40</v>
      </c>
      <c r="G26" s="44">
        <v>2.9100000000000001E-2</v>
      </c>
      <c r="H26" s="44" t="s">
        <v>41</v>
      </c>
      <c r="I26" s="143">
        <v>87.3</v>
      </c>
      <c r="J26" s="44" t="s">
        <v>43</v>
      </c>
      <c r="K26" s="44" t="s">
        <v>43</v>
      </c>
      <c r="L26" s="44" t="s">
        <v>56</v>
      </c>
      <c r="M26" s="44" t="s">
        <v>45</v>
      </c>
      <c r="N26" s="44" t="s">
        <v>57</v>
      </c>
      <c r="O26" s="143">
        <v>0.14000000000000001</v>
      </c>
      <c r="P26" s="68" t="s">
        <v>6</v>
      </c>
      <c r="R26" s="3">
        <v>0.14000000000000001</v>
      </c>
    </row>
    <row r="27" spans="1:18" s="3" customFormat="1" ht="19.95" customHeight="1">
      <c r="A27" s="119">
        <v>8</v>
      </c>
      <c r="B27" s="44" t="s">
        <v>58</v>
      </c>
      <c r="C27" s="44" t="s">
        <v>59</v>
      </c>
      <c r="D27" s="44" t="str">
        <f>VLOOKUP(B27,[1]进口保税提单表体!$E$2:$I$17,5,0)</f>
        <v>集成电路/其他集成电路</v>
      </c>
      <c r="E27" s="44">
        <v>15000</v>
      </c>
      <c r="F27" s="44" t="s">
        <v>40</v>
      </c>
      <c r="G27" s="44">
        <v>0.31369999999999998</v>
      </c>
      <c r="H27" s="44" t="s">
        <v>41</v>
      </c>
      <c r="I27" s="143">
        <v>4705.5</v>
      </c>
      <c r="J27" s="44" t="s">
        <v>43</v>
      </c>
      <c r="K27" s="44" t="s">
        <v>43</v>
      </c>
      <c r="L27" s="44" t="s">
        <v>56</v>
      </c>
      <c r="M27" s="44" t="s">
        <v>45</v>
      </c>
      <c r="N27" s="44" t="s">
        <v>60</v>
      </c>
      <c r="O27" s="143">
        <v>1.04</v>
      </c>
      <c r="P27" s="68" t="s">
        <v>6</v>
      </c>
      <c r="R27" s="3">
        <v>1.04</v>
      </c>
    </row>
    <row r="28" spans="1:18" s="3" customFormat="1" ht="19.95" customHeight="1">
      <c r="A28" s="119">
        <v>9</v>
      </c>
      <c r="B28" s="44" t="s">
        <v>61</v>
      </c>
      <c r="C28" s="44" t="s">
        <v>62</v>
      </c>
      <c r="D28" s="44" t="str">
        <f>VLOOKUP(B28,[1]进口保税提单表体!$E$2:$I$17,5,0)</f>
        <v>射频开关芯片</v>
      </c>
      <c r="E28" s="44">
        <v>21000</v>
      </c>
      <c r="F28" s="44" t="s">
        <v>40</v>
      </c>
      <c r="G28" s="44">
        <v>2.9100000000000001E-2</v>
      </c>
      <c r="H28" s="44" t="s">
        <v>41</v>
      </c>
      <c r="I28" s="143">
        <v>611.1</v>
      </c>
      <c r="J28" s="44" t="s">
        <v>43</v>
      </c>
      <c r="K28" s="44" t="s">
        <v>43</v>
      </c>
      <c r="L28" s="44" t="s">
        <v>56</v>
      </c>
      <c r="M28" s="44" t="s">
        <v>45</v>
      </c>
      <c r="N28" s="44" t="s">
        <v>63</v>
      </c>
      <c r="O28" s="143">
        <v>1.56</v>
      </c>
      <c r="P28" s="68" t="s">
        <v>6</v>
      </c>
      <c r="R28" s="3">
        <v>1.56</v>
      </c>
    </row>
    <row r="29" spans="1:18" s="3" customFormat="1" ht="19.95" customHeight="1">
      <c r="A29" s="119">
        <v>10</v>
      </c>
      <c r="B29" s="44" t="s">
        <v>64</v>
      </c>
      <c r="C29" s="44" t="s">
        <v>65</v>
      </c>
      <c r="D29" s="44" t="str">
        <f>VLOOKUP(B29,[1]进口保税提单表体!$E$2:$I$17,5,0)</f>
        <v>射频开关芯片</v>
      </c>
      <c r="E29" s="44">
        <v>21000</v>
      </c>
      <c r="F29" s="44" t="s">
        <v>40</v>
      </c>
      <c r="G29" s="44">
        <v>4.1700000000000001E-2</v>
      </c>
      <c r="H29" s="44" t="s">
        <v>41</v>
      </c>
      <c r="I29" s="143">
        <v>875.7</v>
      </c>
      <c r="J29" s="44" t="s">
        <v>43</v>
      </c>
      <c r="K29" s="44" t="s">
        <v>43</v>
      </c>
      <c r="L29" s="44" t="s">
        <v>56</v>
      </c>
      <c r="M29" s="44" t="s">
        <v>45</v>
      </c>
      <c r="N29" s="144" t="s">
        <v>66</v>
      </c>
      <c r="O29" s="145">
        <v>1.5</v>
      </c>
      <c r="P29" s="68" t="s">
        <v>6</v>
      </c>
      <c r="Q29" s="3">
        <f t="shared" ref="Q29:Q32" si="0">2.36/33000</f>
        <v>7.1515151515151508E-5</v>
      </c>
      <c r="R29" s="3">
        <f t="shared" ref="R29:R34" si="1">ROUND(E29*Q29,2)</f>
        <v>1.5</v>
      </c>
    </row>
    <row r="30" spans="1:18" s="3" customFormat="1" ht="19.95" customHeight="1">
      <c r="A30" s="119">
        <v>11</v>
      </c>
      <c r="B30" s="44" t="s">
        <v>64</v>
      </c>
      <c r="C30" s="44" t="s">
        <v>67</v>
      </c>
      <c r="D30" s="44" t="str">
        <f>VLOOKUP(B30,[1]进口保税提单表体!$E$2:$I$17,5,0)</f>
        <v>射频开关芯片</v>
      </c>
      <c r="E30" s="44">
        <v>3000</v>
      </c>
      <c r="F30" s="44" t="s">
        <v>40</v>
      </c>
      <c r="G30" s="44">
        <v>4.1700000000000001E-2</v>
      </c>
      <c r="H30" s="44" t="s">
        <v>41</v>
      </c>
      <c r="I30" s="143">
        <v>125.1</v>
      </c>
      <c r="J30" s="44" t="s">
        <v>43</v>
      </c>
      <c r="K30" s="44" t="s">
        <v>43</v>
      </c>
      <c r="L30" s="44" t="s">
        <v>56</v>
      </c>
      <c r="M30" s="44" t="s">
        <v>45</v>
      </c>
      <c r="N30" s="144" t="s">
        <v>66</v>
      </c>
      <c r="O30" s="145">
        <v>0.21</v>
      </c>
      <c r="P30" s="68" t="s">
        <v>6</v>
      </c>
      <c r="Q30" s="3">
        <f t="shared" si="0"/>
        <v>7.1515151515151508E-5</v>
      </c>
      <c r="R30" s="3">
        <f t="shared" si="1"/>
        <v>0.21</v>
      </c>
    </row>
    <row r="31" spans="1:18" s="3" customFormat="1" ht="19.95" customHeight="1">
      <c r="A31" s="119">
        <v>12</v>
      </c>
      <c r="B31" s="44" t="s">
        <v>64</v>
      </c>
      <c r="C31" s="44" t="s">
        <v>68</v>
      </c>
      <c r="D31" s="44" t="str">
        <f>VLOOKUP(B31,[1]进口保税提单表体!$E$2:$I$17,5,0)</f>
        <v>射频开关芯片</v>
      </c>
      <c r="E31" s="44">
        <v>3000</v>
      </c>
      <c r="F31" s="44" t="s">
        <v>40</v>
      </c>
      <c r="G31" s="44">
        <v>4.1700000000000001E-2</v>
      </c>
      <c r="H31" s="44" t="s">
        <v>41</v>
      </c>
      <c r="I31" s="143">
        <v>125.1</v>
      </c>
      <c r="J31" s="44" t="s">
        <v>43</v>
      </c>
      <c r="K31" s="44" t="s">
        <v>43</v>
      </c>
      <c r="L31" s="44" t="s">
        <v>56</v>
      </c>
      <c r="M31" s="44" t="s">
        <v>45</v>
      </c>
      <c r="N31" s="144" t="s">
        <v>66</v>
      </c>
      <c r="O31" s="145">
        <v>0.21</v>
      </c>
      <c r="P31" s="68" t="s">
        <v>6</v>
      </c>
      <c r="Q31" s="3">
        <f t="shared" si="0"/>
        <v>7.1515151515151508E-5</v>
      </c>
      <c r="R31" s="3">
        <f t="shared" si="1"/>
        <v>0.21</v>
      </c>
    </row>
    <row r="32" spans="1:18" s="3" customFormat="1" ht="19.95" customHeight="1">
      <c r="A32" s="119">
        <v>13</v>
      </c>
      <c r="B32" s="44" t="s">
        <v>64</v>
      </c>
      <c r="C32" s="44" t="s">
        <v>65</v>
      </c>
      <c r="D32" s="44" t="str">
        <f>VLOOKUP(B32,[1]进口保税提单表体!$E$2:$I$17,5,0)</f>
        <v>射频开关芯片</v>
      </c>
      <c r="E32" s="44">
        <v>6000</v>
      </c>
      <c r="F32" s="44" t="s">
        <v>40</v>
      </c>
      <c r="G32" s="44">
        <v>4.1700000000000001E-2</v>
      </c>
      <c r="H32" s="44" t="s">
        <v>41</v>
      </c>
      <c r="I32" s="143">
        <v>250.2</v>
      </c>
      <c r="J32" s="44" t="s">
        <v>43</v>
      </c>
      <c r="K32" s="44" t="s">
        <v>43</v>
      </c>
      <c r="L32" s="44" t="s">
        <v>56</v>
      </c>
      <c r="M32" s="44" t="s">
        <v>45</v>
      </c>
      <c r="N32" s="144" t="s">
        <v>66</v>
      </c>
      <c r="O32" s="145">
        <v>0.44</v>
      </c>
      <c r="P32" s="68" t="s">
        <v>6</v>
      </c>
      <c r="Q32" s="3">
        <f t="shared" si="0"/>
        <v>7.1515151515151508E-5</v>
      </c>
      <c r="R32" s="3">
        <v>0.44</v>
      </c>
    </row>
    <row r="33" spans="1:18" s="3" customFormat="1" ht="19.95" customHeight="1">
      <c r="A33" s="119">
        <v>14</v>
      </c>
      <c r="B33" s="44" t="s">
        <v>58</v>
      </c>
      <c r="C33" s="44" t="s">
        <v>59</v>
      </c>
      <c r="D33" s="44" t="str">
        <f>VLOOKUP(B33,[1]进口保税提单表体!$E$2:$I$17,5,0)</f>
        <v>集成电路/其他集成电路</v>
      </c>
      <c r="E33" s="44">
        <v>9000</v>
      </c>
      <c r="F33" s="44" t="s">
        <v>40</v>
      </c>
      <c r="G33" s="44">
        <v>0.31369999999999998</v>
      </c>
      <c r="H33" s="44" t="s">
        <v>41</v>
      </c>
      <c r="I33" s="143">
        <v>2823.3</v>
      </c>
      <c r="J33" s="44" t="s">
        <v>43</v>
      </c>
      <c r="K33" s="44" t="s">
        <v>43</v>
      </c>
      <c r="L33" s="44" t="s">
        <v>56</v>
      </c>
      <c r="M33" s="44" t="s">
        <v>45</v>
      </c>
      <c r="N33" s="146" t="s">
        <v>60</v>
      </c>
      <c r="O33" s="147">
        <v>0.62</v>
      </c>
      <c r="P33" s="68" t="s">
        <v>6</v>
      </c>
      <c r="Q33" s="3">
        <f>0.83/12000</f>
        <v>6.9166666666666663E-5</v>
      </c>
      <c r="R33" s="3">
        <f t="shared" si="1"/>
        <v>0.62</v>
      </c>
    </row>
    <row r="34" spans="1:18" s="3" customFormat="1" ht="19.95" customHeight="1">
      <c r="A34" s="119">
        <v>15</v>
      </c>
      <c r="B34" s="44" t="s">
        <v>58</v>
      </c>
      <c r="C34" s="44" t="s">
        <v>69</v>
      </c>
      <c r="D34" s="44" t="str">
        <f>VLOOKUP(B34,[1]进口保税提单表体!$E$2:$I$17,5,0)</f>
        <v>集成电路/其他集成电路</v>
      </c>
      <c r="E34" s="44">
        <v>3000</v>
      </c>
      <c r="F34" s="44" t="s">
        <v>40</v>
      </c>
      <c r="G34" s="44">
        <v>0.31369999999999998</v>
      </c>
      <c r="H34" s="44" t="s">
        <v>41</v>
      </c>
      <c r="I34" s="143">
        <v>941.1</v>
      </c>
      <c r="J34" s="44" t="s">
        <v>43</v>
      </c>
      <c r="K34" s="44" t="s">
        <v>43</v>
      </c>
      <c r="L34" s="44" t="s">
        <v>56</v>
      </c>
      <c r="M34" s="44" t="s">
        <v>45</v>
      </c>
      <c r="N34" s="146" t="s">
        <v>60</v>
      </c>
      <c r="O34" s="147">
        <v>0.21</v>
      </c>
      <c r="P34" s="68" t="s">
        <v>6</v>
      </c>
      <c r="Q34" s="3">
        <f>0.83/12000</f>
        <v>6.9166666666666663E-5</v>
      </c>
      <c r="R34" s="3">
        <f t="shared" si="1"/>
        <v>0.21</v>
      </c>
    </row>
    <row r="35" spans="1:18" s="3" customFormat="1" ht="19.95" customHeight="1">
      <c r="A35" s="119">
        <v>16</v>
      </c>
      <c r="B35" s="44" t="s">
        <v>61</v>
      </c>
      <c r="C35" s="44" t="s">
        <v>62</v>
      </c>
      <c r="D35" s="44" t="str">
        <f>VLOOKUP(B35,[1]进口保税提单表体!$E$2:$I$17,5,0)</f>
        <v>射频开关芯片</v>
      </c>
      <c r="E35" s="44">
        <v>15000</v>
      </c>
      <c r="F35" s="44" t="s">
        <v>40</v>
      </c>
      <c r="G35" s="44">
        <v>2.9100000000000001E-2</v>
      </c>
      <c r="H35" s="44" t="s">
        <v>41</v>
      </c>
      <c r="I35" s="143">
        <v>436.5</v>
      </c>
      <c r="J35" s="44" t="s">
        <v>43</v>
      </c>
      <c r="K35" s="44" t="s">
        <v>43</v>
      </c>
      <c r="L35" s="44" t="s">
        <v>56</v>
      </c>
      <c r="M35" s="44" t="s">
        <v>45</v>
      </c>
      <c r="N35" s="44" t="s">
        <v>63</v>
      </c>
      <c r="O35" s="143">
        <v>1.1100000000000001</v>
      </c>
      <c r="P35" s="68" t="s">
        <v>6</v>
      </c>
      <c r="R35" s="143">
        <v>1.1100000000000001</v>
      </c>
    </row>
    <row r="36" spans="1:18" s="3" customFormat="1" ht="13.8">
      <c r="A36" s="119"/>
      <c r="B36" s="44"/>
      <c r="C36" s="44"/>
      <c r="D36" s="44"/>
      <c r="E36" s="44"/>
      <c r="F36" s="44"/>
      <c r="G36" s="44"/>
      <c r="H36" s="44"/>
      <c r="I36" s="44"/>
      <c r="J36" s="44"/>
      <c r="K36" s="148"/>
      <c r="L36" s="44"/>
      <c r="M36" s="44"/>
      <c r="N36" s="44"/>
      <c r="O36" s="44"/>
      <c r="P36" s="68"/>
    </row>
    <row r="37" spans="1:18" s="3" customFormat="1" ht="13.8">
      <c r="A37" s="119"/>
      <c r="B37" s="120"/>
      <c r="C37" s="120"/>
      <c r="D37" s="120"/>
      <c r="E37" s="121"/>
      <c r="F37" s="120"/>
      <c r="G37" s="120"/>
      <c r="H37" s="120"/>
      <c r="I37" s="149"/>
      <c r="J37" s="149"/>
      <c r="K37" s="149"/>
      <c r="L37" s="149"/>
      <c r="M37" s="149"/>
      <c r="N37" s="149"/>
      <c r="O37" s="149"/>
      <c r="P37" s="150"/>
    </row>
    <row r="38" spans="1:18">
      <c r="A38" s="122"/>
      <c r="B38" s="123"/>
      <c r="C38" s="166" t="s">
        <v>70</v>
      </c>
      <c r="D38" s="166"/>
      <c r="E38" s="124">
        <f>SUM(E20:E37)</f>
        <v>145000</v>
      </c>
      <c r="F38" s="125"/>
      <c r="G38" s="126"/>
      <c r="H38" s="126"/>
      <c r="I38" s="151">
        <f>SUM(I20:I37)</f>
        <v>12097.500000000002</v>
      </c>
      <c r="J38" s="152"/>
      <c r="K38" s="152"/>
      <c r="L38" s="152"/>
      <c r="M38" s="152"/>
      <c r="N38" s="152"/>
      <c r="O38" s="153">
        <f>SUM(O20:O37)</f>
        <v>8.5100000000000016</v>
      </c>
      <c r="P38" s="152"/>
    </row>
  </sheetData>
  <mergeCells count="9">
    <mergeCell ref="C18:D18"/>
    <mergeCell ref="C38:D38"/>
    <mergeCell ref="A4:D5"/>
    <mergeCell ref="A9:D10"/>
    <mergeCell ref="A1:P1"/>
    <mergeCell ref="E9:I9"/>
    <mergeCell ref="A13:D13"/>
    <mergeCell ref="A15:B15"/>
    <mergeCell ref="C15:D15"/>
  </mergeCells>
  <phoneticPr fontId="21" type="noConversion"/>
  <pageMargins left="0.75" right="0.75" top="1" bottom="1" header="0.5" footer="0.5"/>
  <pageSetup paperSize="9" scale="54" fitToWidth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4"/>
  <sheetViews>
    <sheetView view="pageBreakPreview" topLeftCell="A5" zoomScaleNormal="100" workbookViewId="0">
      <selection activeCell="F21" sqref="F21:F22"/>
    </sheetView>
  </sheetViews>
  <sheetFormatPr defaultColWidth="9" defaultRowHeight="15"/>
  <cols>
    <col min="2" max="3" width="15.25" customWidth="1"/>
    <col min="5" max="5" width="13.125" customWidth="1"/>
    <col min="6" max="6" width="22.75" customWidth="1"/>
    <col min="8" max="8" width="10.25" customWidth="1"/>
    <col min="10" max="10" width="13.75" customWidth="1"/>
    <col min="11" max="11" width="13.375" customWidth="1"/>
  </cols>
  <sheetData>
    <row r="1" spans="1:11">
      <c r="A1" s="173" t="s">
        <v>71</v>
      </c>
      <c r="B1" s="174"/>
      <c r="C1" s="174"/>
      <c r="D1" s="174"/>
      <c r="E1" s="174"/>
      <c r="F1" s="174"/>
      <c r="G1" s="174"/>
      <c r="H1" s="174"/>
      <c r="I1" s="174"/>
      <c r="J1" s="174"/>
      <c r="K1" s="175"/>
    </row>
    <row r="2" spans="1:11">
      <c r="A2" s="2"/>
      <c r="B2" s="3"/>
      <c r="C2" s="3"/>
      <c r="D2" s="3"/>
      <c r="E2" s="3"/>
      <c r="F2" s="3"/>
      <c r="G2" s="3"/>
      <c r="H2" s="3"/>
      <c r="I2" s="3"/>
      <c r="J2" s="3"/>
      <c r="K2" s="62"/>
    </row>
    <row r="3" spans="1:11">
      <c r="A3" s="4" t="s">
        <v>1</v>
      </c>
      <c r="B3" s="5"/>
      <c r="C3" s="6"/>
      <c r="D3" s="6"/>
      <c r="E3" s="7"/>
      <c r="F3" s="5" t="s">
        <v>72</v>
      </c>
      <c r="G3" s="6"/>
      <c r="H3" s="5" t="s">
        <v>72</v>
      </c>
      <c r="I3" s="6"/>
      <c r="J3" s="6"/>
      <c r="K3" s="63"/>
    </row>
    <row r="4" spans="1:11">
      <c r="A4" s="8" t="s">
        <v>3</v>
      </c>
      <c r="B4" s="9"/>
      <c r="C4" s="10"/>
      <c r="D4" s="10"/>
      <c r="E4" s="11"/>
      <c r="F4" s="12">
        <f>INVOICE!E3</f>
        <v>45882</v>
      </c>
      <c r="G4" s="10"/>
      <c r="H4" s="13">
        <f>INVOICE!H3</f>
        <v>45882</v>
      </c>
      <c r="I4" s="64"/>
      <c r="J4" s="10"/>
      <c r="K4" s="65"/>
    </row>
    <row r="5" spans="1:11" ht="14.55" customHeight="1">
      <c r="A5" s="198" t="s">
        <v>73</v>
      </c>
      <c r="B5" s="199"/>
      <c r="C5" s="199"/>
      <c r="D5" s="199"/>
      <c r="E5" s="200"/>
      <c r="F5" s="14" t="str">
        <f>INVOICE!E4</f>
        <v>F625081578</v>
      </c>
      <c r="G5" s="10"/>
      <c r="H5" s="15" t="str">
        <f>INVOICE!H4</f>
        <v>F625081579</v>
      </c>
      <c r="I5" s="64"/>
      <c r="J5" s="10"/>
      <c r="K5" s="65"/>
    </row>
    <row r="6" spans="1:11">
      <c r="A6" s="198"/>
      <c r="B6" s="199"/>
      <c r="C6" s="199"/>
      <c r="D6" s="199"/>
      <c r="E6" s="200"/>
      <c r="F6" s="16"/>
      <c r="G6" s="10"/>
      <c r="H6" s="10"/>
      <c r="I6" s="10"/>
      <c r="J6" s="10"/>
      <c r="K6" s="65"/>
    </row>
    <row r="7" spans="1:11">
      <c r="A7" s="201"/>
      <c r="B7" s="202"/>
      <c r="C7" s="202"/>
      <c r="D7" s="202"/>
      <c r="E7" s="203"/>
      <c r="F7" s="17"/>
      <c r="G7" s="18"/>
      <c r="H7" s="18"/>
      <c r="I7" s="18"/>
      <c r="J7" s="18"/>
      <c r="K7" s="30"/>
    </row>
    <row r="8" spans="1:11">
      <c r="A8" s="19" t="s">
        <v>7</v>
      </c>
      <c r="B8" s="5"/>
      <c r="C8" s="20"/>
      <c r="D8" s="20"/>
      <c r="E8" s="21"/>
      <c r="F8" s="22" t="s">
        <v>74</v>
      </c>
      <c r="G8" s="10"/>
      <c r="H8" s="10"/>
      <c r="I8" s="10"/>
      <c r="J8" s="10"/>
      <c r="K8" s="65"/>
    </row>
    <row r="9" spans="1:11">
      <c r="A9" s="23" t="s">
        <v>75</v>
      </c>
      <c r="B9" s="9"/>
      <c r="C9" s="24"/>
      <c r="D9" s="24"/>
      <c r="E9" s="25"/>
      <c r="F9" s="26"/>
      <c r="G9" s="27"/>
      <c r="H9" s="27"/>
      <c r="I9" s="27"/>
      <c r="J9" s="27"/>
      <c r="K9" s="65"/>
    </row>
    <row r="10" spans="1:11">
      <c r="A10" s="195" t="s">
        <v>76</v>
      </c>
      <c r="B10" s="196"/>
      <c r="C10" s="196"/>
      <c r="D10" s="196"/>
      <c r="E10" s="197"/>
      <c r="F10" s="26"/>
      <c r="G10" s="10"/>
      <c r="H10" s="10"/>
      <c r="I10" s="27"/>
      <c r="J10" s="27"/>
      <c r="K10" s="65"/>
    </row>
    <row r="11" spans="1:11">
      <c r="A11" s="195"/>
      <c r="B11" s="196"/>
      <c r="C11" s="196"/>
      <c r="D11" s="196"/>
      <c r="E11" s="197"/>
      <c r="F11" s="26"/>
      <c r="G11" s="10"/>
      <c r="H11" s="10"/>
      <c r="I11" s="27"/>
      <c r="J11" s="27"/>
      <c r="K11" s="65"/>
    </row>
    <row r="12" spans="1:11">
      <c r="A12" s="28"/>
      <c r="B12" s="29"/>
      <c r="C12" s="18"/>
      <c r="D12" s="18"/>
      <c r="E12" s="30"/>
      <c r="F12" s="10"/>
      <c r="G12" s="31"/>
      <c r="H12" s="31"/>
      <c r="I12" s="10"/>
      <c r="J12" s="10"/>
      <c r="K12" s="65"/>
    </row>
    <row r="13" spans="1:11">
      <c r="A13" s="19" t="s">
        <v>11</v>
      </c>
      <c r="B13" s="26"/>
      <c r="C13" s="10"/>
      <c r="D13" s="10"/>
      <c r="E13" s="11"/>
      <c r="F13" s="32"/>
      <c r="G13" s="33"/>
      <c r="H13" s="10"/>
      <c r="I13" s="10"/>
      <c r="J13" s="10"/>
      <c r="K13" s="65"/>
    </row>
    <row r="14" spans="1:11">
      <c r="A14" s="23" t="s">
        <v>9</v>
      </c>
      <c r="B14" s="34"/>
      <c r="C14" s="34"/>
      <c r="D14" s="34"/>
      <c r="E14" s="11"/>
      <c r="F14" s="32"/>
      <c r="G14" s="33"/>
      <c r="H14" s="10"/>
      <c r="I14" s="10"/>
      <c r="J14" s="10"/>
      <c r="K14" s="65"/>
    </row>
    <row r="15" spans="1:11" ht="31.5" customHeight="1">
      <c r="A15" s="176" t="s">
        <v>76</v>
      </c>
      <c r="B15" s="177"/>
      <c r="C15" s="177"/>
      <c r="D15" s="177"/>
      <c r="E15" s="178"/>
      <c r="F15" s="10"/>
      <c r="G15" s="10"/>
      <c r="H15" s="10"/>
      <c r="I15" s="10"/>
      <c r="J15" s="10"/>
      <c r="K15" s="65"/>
    </row>
    <row r="16" spans="1:11">
      <c r="A16" s="179" t="s">
        <v>77</v>
      </c>
      <c r="B16" s="180"/>
      <c r="C16" s="180"/>
      <c r="D16" s="180"/>
      <c r="E16" s="30"/>
      <c r="F16" s="181"/>
      <c r="G16" s="181"/>
      <c r="H16" s="35"/>
      <c r="I16" s="66"/>
      <c r="J16" s="66"/>
      <c r="K16" s="65"/>
    </row>
    <row r="17" spans="1:11">
      <c r="A17" s="36" t="s">
        <v>78</v>
      </c>
      <c r="B17" s="22"/>
      <c r="C17" s="7"/>
      <c r="D17" s="22" t="s">
        <v>79</v>
      </c>
      <c r="E17" s="37"/>
      <c r="F17" s="181"/>
      <c r="G17" s="181"/>
      <c r="H17" s="38"/>
      <c r="I17" s="10"/>
      <c r="J17" s="10"/>
      <c r="K17" s="65"/>
    </row>
    <row r="18" spans="1:11">
      <c r="A18" s="182"/>
      <c r="B18" s="183"/>
      <c r="C18" s="184"/>
      <c r="D18" s="182"/>
      <c r="E18" s="184"/>
      <c r="F18" s="181"/>
      <c r="G18" s="181"/>
      <c r="H18" s="38"/>
      <c r="I18" s="10"/>
      <c r="J18" s="10"/>
      <c r="K18" s="65"/>
    </row>
    <row r="19" spans="1:11">
      <c r="A19" s="36" t="s">
        <v>18</v>
      </c>
      <c r="B19" s="26"/>
      <c r="C19" s="40"/>
      <c r="D19" s="22" t="s">
        <v>19</v>
      </c>
      <c r="E19" s="41"/>
      <c r="F19" s="10"/>
      <c r="G19" s="10"/>
      <c r="H19" s="10"/>
      <c r="I19" s="10"/>
      <c r="J19" s="10"/>
      <c r="K19" s="65"/>
    </row>
    <row r="20" spans="1:11">
      <c r="A20" s="182"/>
      <c r="B20" s="183"/>
      <c r="C20" s="184"/>
      <c r="D20" s="164"/>
      <c r="E20" s="165"/>
      <c r="F20" s="18"/>
      <c r="G20" s="18"/>
      <c r="H20" s="18"/>
      <c r="I20" s="18"/>
      <c r="J20" s="10"/>
      <c r="K20" s="65"/>
    </row>
    <row r="21" spans="1:11">
      <c r="A21" s="185" t="s">
        <v>80</v>
      </c>
      <c r="B21" s="187" t="s">
        <v>24</v>
      </c>
      <c r="C21" s="187" t="s">
        <v>23</v>
      </c>
      <c r="D21" s="187" t="s">
        <v>25</v>
      </c>
      <c r="E21" s="187"/>
      <c r="F21" s="189" t="s">
        <v>26</v>
      </c>
      <c r="G21" s="189" t="s">
        <v>27</v>
      </c>
      <c r="H21" s="42" t="s">
        <v>81</v>
      </c>
      <c r="I21" s="42" t="s">
        <v>82</v>
      </c>
      <c r="J21" s="191" t="s">
        <v>83</v>
      </c>
      <c r="K21" s="193" t="s">
        <v>37</v>
      </c>
    </row>
    <row r="22" spans="1:11">
      <c r="A22" s="186"/>
      <c r="B22" s="188"/>
      <c r="C22" s="188"/>
      <c r="D22" s="188"/>
      <c r="E22" s="188"/>
      <c r="F22" s="190"/>
      <c r="G22" s="190"/>
      <c r="H22" s="43" t="s">
        <v>84</v>
      </c>
      <c r="I22" s="43" t="s">
        <v>84</v>
      </c>
      <c r="J22" s="192"/>
      <c r="K22" s="194"/>
    </row>
    <row r="23" spans="1:11" s="1" customFormat="1" ht="13.8">
      <c r="A23" s="44" t="s">
        <v>85</v>
      </c>
      <c r="B23" s="44" t="s">
        <v>39</v>
      </c>
      <c r="C23" s="44" t="s">
        <v>38</v>
      </c>
      <c r="D23" s="44"/>
      <c r="E23" s="44"/>
      <c r="F23" s="44">
        <v>16000</v>
      </c>
      <c r="G23" s="44" t="s">
        <v>40</v>
      </c>
      <c r="H23" s="45">
        <v>0.56999999999999995</v>
      </c>
      <c r="I23" s="45">
        <v>1.07</v>
      </c>
      <c r="J23" s="44" t="s">
        <v>86</v>
      </c>
      <c r="K23" s="67" t="s">
        <v>5</v>
      </c>
    </row>
    <row r="24" spans="1:11" s="1" customFormat="1" ht="13.8">
      <c r="A24" s="44" t="s">
        <v>87</v>
      </c>
      <c r="B24" s="44" t="s">
        <v>48</v>
      </c>
      <c r="C24" s="44" t="s">
        <v>47</v>
      </c>
      <c r="D24" s="44"/>
      <c r="E24" s="44"/>
      <c r="F24" s="44">
        <v>18000</v>
      </c>
      <c r="G24" s="44" t="s">
        <v>40</v>
      </c>
      <c r="H24" s="45">
        <v>0.6</v>
      </c>
      <c r="I24" s="45">
        <v>1.1000000000000001</v>
      </c>
      <c r="J24" s="44" t="s">
        <v>86</v>
      </c>
      <c r="K24" s="68" t="s">
        <v>5</v>
      </c>
    </row>
    <row r="25" spans="1:11" s="1" customFormat="1" ht="13.8">
      <c r="A25" s="44" t="s">
        <v>88</v>
      </c>
      <c r="B25" s="44" t="s">
        <v>48</v>
      </c>
      <c r="C25" s="44" t="s">
        <v>47</v>
      </c>
      <c r="D25" s="44"/>
      <c r="E25" s="44"/>
      <c r="F25" s="44">
        <v>2000</v>
      </c>
      <c r="G25" s="44" t="s">
        <v>40</v>
      </c>
      <c r="H25" s="45">
        <v>0.1</v>
      </c>
      <c r="I25" s="45">
        <v>0.48</v>
      </c>
      <c r="J25" s="44" t="s">
        <v>89</v>
      </c>
      <c r="K25" s="68" t="s">
        <v>5</v>
      </c>
    </row>
    <row r="26" spans="1:11" s="1" customFormat="1" ht="13.8">
      <c r="A26" s="44" t="s">
        <v>90</v>
      </c>
      <c r="B26" s="44" t="s">
        <v>51</v>
      </c>
      <c r="C26" s="44" t="s">
        <v>50</v>
      </c>
      <c r="D26" s="44"/>
      <c r="E26" s="44"/>
      <c r="F26" s="44">
        <v>7000</v>
      </c>
      <c r="G26" s="44" t="s">
        <v>40</v>
      </c>
      <c r="H26" s="45">
        <v>0.1</v>
      </c>
      <c r="I26" s="45">
        <v>0.6</v>
      </c>
      <c r="J26" s="44" t="s">
        <v>86</v>
      </c>
      <c r="K26" s="68" t="s">
        <v>5</v>
      </c>
    </row>
    <row r="27" spans="1:11" s="1" customFormat="1" ht="13.8">
      <c r="A27" s="44" t="s">
        <v>90</v>
      </c>
      <c r="B27" s="44" t="s">
        <v>53</v>
      </c>
      <c r="C27" s="44" t="s">
        <v>50</v>
      </c>
      <c r="D27" s="44"/>
      <c r="E27" s="44"/>
      <c r="F27" s="44">
        <v>1000</v>
      </c>
      <c r="G27" s="44" t="s">
        <v>40</v>
      </c>
      <c r="H27" s="45">
        <v>0</v>
      </c>
      <c r="I27" s="45">
        <v>0</v>
      </c>
      <c r="J27" s="44" t="s">
        <v>86</v>
      </c>
      <c r="K27" s="68" t="s">
        <v>5</v>
      </c>
    </row>
    <row r="28" spans="1:11" s="1" customFormat="1" ht="13.8">
      <c r="A28" s="44" t="s">
        <v>91</v>
      </c>
      <c r="B28" s="44" t="s">
        <v>48</v>
      </c>
      <c r="C28" s="44" t="s">
        <v>47</v>
      </c>
      <c r="D28" s="44"/>
      <c r="E28" s="44"/>
      <c r="F28" s="44">
        <v>2000</v>
      </c>
      <c r="G28" s="44" t="s">
        <v>40</v>
      </c>
      <c r="H28" s="45">
        <v>0.1</v>
      </c>
      <c r="I28" s="45">
        <v>0.48</v>
      </c>
      <c r="J28" s="44" t="s">
        <v>86</v>
      </c>
      <c r="K28" s="68" t="s">
        <v>5</v>
      </c>
    </row>
    <row r="29" spans="1:11" s="1" customFormat="1" ht="13.8">
      <c r="A29" s="44" t="s">
        <v>85</v>
      </c>
      <c r="B29" s="44" t="s">
        <v>55</v>
      </c>
      <c r="C29" s="44" t="s">
        <v>54</v>
      </c>
      <c r="D29" s="44"/>
      <c r="E29" s="44"/>
      <c r="F29" s="44">
        <v>3000</v>
      </c>
      <c r="G29" s="44" t="s">
        <v>40</v>
      </c>
      <c r="H29" s="45">
        <v>0.14000000000000001</v>
      </c>
      <c r="I29" s="45">
        <v>0.64</v>
      </c>
      <c r="J29" s="44" t="s">
        <v>86</v>
      </c>
      <c r="K29" s="68" t="s">
        <v>6</v>
      </c>
    </row>
    <row r="30" spans="1:11" s="1" customFormat="1" ht="13.8">
      <c r="A30" s="44" t="s">
        <v>87</v>
      </c>
      <c r="B30" s="44" t="s">
        <v>59</v>
      </c>
      <c r="C30" s="44" t="s">
        <v>58</v>
      </c>
      <c r="D30" s="44"/>
      <c r="E30" s="44"/>
      <c r="F30" s="44">
        <v>15000</v>
      </c>
      <c r="G30" s="44" t="s">
        <v>40</v>
      </c>
      <c r="H30" s="45">
        <v>1.04</v>
      </c>
      <c r="I30" s="45">
        <v>1.54</v>
      </c>
      <c r="J30" s="44" t="s">
        <v>89</v>
      </c>
      <c r="K30" s="68" t="s">
        <v>6</v>
      </c>
    </row>
    <row r="31" spans="1:11" s="1" customFormat="1" ht="13.8">
      <c r="A31" s="44" t="s">
        <v>88</v>
      </c>
      <c r="B31" s="44" t="s">
        <v>62</v>
      </c>
      <c r="C31" s="44" t="s">
        <v>61</v>
      </c>
      <c r="D31" s="44"/>
      <c r="E31" s="44"/>
      <c r="F31" s="44">
        <v>21000</v>
      </c>
      <c r="G31" s="44" t="s">
        <v>40</v>
      </c>
      <c r="H31" s="45">
        <v>1.56</v>
      </c>
      <c r="I31" s="45">
        <v>2.06</v>
      </c>
      <c r="J31" s="44" t="s">
        <v>92</v>
      </c>
      <c r="K31" s="68" t="s">
        <v>6</v>
      </c>
    </row>
    <row r="32" spans="1:11" s="1" customFormat="1" ht="13.8">
      <c r="A32" s="44" t="s">
        <v>90</v>
      </c>
      <c r="B32" s="44" t="s">
        <v>65</v>
      </c>
      <c r="C32" s="44" t="s">
        <v>64</v>
      </c>
      <c r="D32" s="44"/>
      <c r="E32" s="44"/>
      <c r="F32" s="44">
        <v>21000</v>
      </c>
      <c r="G32" s="44" t="s">
        <v>40</v>
      </c>
      <c r="H32" s="45">
        <v>1.85</v>
      </c>
      <c r="I32" s="45">
        <v>2.35</v>
      </c>
      <c r="J32" s="44" t="s">
        <v>93</v>
      </c>
      <c r="K32" s="68" t="s">
        <v>6</v>
      </c>
    </row>
    <row r="33" spans="1:11" s="1" customFormat="1" ht="13.8">
      <c r="A33" s="44" t="s">
        <v>90</v>
      </c>
      <c r="B33" s="44" t="s">
        <v>67</v>
      </c>
      <c r="C33" s="44" t="s">
        <v>64</v>
      </c>
      <c r="D33" s="44"/>
      <c r="E33" s="44"/>
      <c r="F33" s="44">
        <v>3000</v>
      </c>
      <c r="G33" s="44" t="s">
        <v>40</v>
      </c>
      <c r="H33" s="45">
        <v>0</v>
      </c>
      <c r="I33" s="45">
        <v>0</v>
      </c>
      <c r="J33" s="44" t="s">
        <v>93</v>
      </c>
      <c r="K33" s="68" t="s">
        <v>6</v>
      </c>
    </row>
    <row r="34" spans="1:11" s="1" customFormat="1" ht="13.8">
      <c r="A34" s="44" t="s">
        <v>91</v>
      </c>
      <c r="B34" s="44" t="s">
        <v>68</v>
      </c>
      <c r="C34" s="44" t="s">
        <v>64</v>
      </c>
      <c r="D34" s="44"/>
      <c r="E34" s="44"/>
      <c r="F34" s="44">
        <v>3000</v>
      </c>
      <c r="G34" s="44" t="s">
        <v>40</v>
      </c>
      <c r="H34" s="45">
        <v>0</v>
      </c>
      <c r="I34" s="45">
        <v>0</v>
      </c>
      <c r="J34" s="44" t="s">
        <v>86</v>
      </c>
      <c r="K34" s="68" t="s">
        <v>6</v>
      </c>
    </row>
    <row r="35" spans="1:11" s="1" customFormat="1" ht="13.8">
      <c r="A35" s="44" t="s">
        <v>91</v>
      </c>
      <c r="B35" s="44" t="s">
        <v>65</v>
      </c>
      <c r="C35" s="44" t="s">
        <v>64</v>
      </c>
      <c r="D35" s="44"/>
      <c r="E35" s="44"/>
      <c r="F35" s="44">
        <v>6000</v>
      </c>
      <c r="G35" s="44" t="s">
        <v>40</v>
      </c>
      <c r="H35" s="45">
        <v>0.51</v>
      </c>
      <c r="I35" s="45">
        <v>1.01</v>
      </c>
      <c r="J35" s="44" t="s">
        <v>86</v>
      </c>
      <c r="K35" s="68" t="s">
        <v>6</v>
      </c>
    </row>
    <row r="36" spans="1:11" s="1" customFormat="1" ht="13.8">
      <c r="A36" s="44" t="s">
        <v>94</v>
      </c>
      <c r="B36" s="44" t="s">
        <v>59</v>
      </c>
      <c r="C36" s="44" t="s">
        <v>58</v>
      </c>
      <c r="D36" s="44"/>
      <c r="E36" s="44"/>
      <c r="F36" s="44">
        <v>9000</v>
      </c>
      <c r="G36" s="44" t="s">
        <v>40</v>
      </c>
      <c r="H36" s="45">
        <v>0</v>
      </c>
      <c r="I36" s="45">
        <v>0</v>
      </c>
      <c r="J36" s="44" t="s">
        <v>89</v>
      </c>
      <c r="K36" s="68" t="s">
        <v>6</v>
      </c>
    </row>
    <row r="37" spans="1:11" s="1" customFormat="1" ht="13.8">
      <c r="A37" s="44" t="s">
        <v>94</v>
      </c>
      <c r="B37" s="44" t="s">
        <v>69</v>
      </c>
      <c r="C37" s="44" t="s">
        <v>58</v>
      </c>
      <c r="D37" s="44"/>
      <c r="E37" s="44"/>
      <c r="F37" s="44">
        <v>3000</v>
      </c>
      <c r="G37" s="44" t="s">
        <v>40</v>
      </c>
      <c r="H37" s="45">
        <v>0.83</v>
      </c>
      <c r="I37" s="45">
        <v>1.33</v>
      </c>
      <c r="J37" s="44" t="s">
        <v>89</v>
      </c>
      <c r="K37" s="68" t="s">
        <v>6</v>
      </c>
    </row>
    <row r="38" spans="1:11" s="1" customFormat="1" ht="13.8">
      <c r="A38" s="44" t="s">
        <v>95</v>
      </c>
      <c r="B38" s="44" t="s">
        <v>62</v>
      </c>
      <c r="C38" s="44" t="s">
        <v>61</v>
      </c>
      <c r="D38" s="44"/>
      <c r="E38" s="44"/>
      <c r="F38" s="44">
        <v>15000</v>
      </c>
      <c r="G38" s="44" t="s">
        <v>40</v>
      </c>
      <c r="H38" s="45">
        <v>1.1100000000000001</v>
      </c>
      <c r="I38" s="45">
        <v>1.61</v>
      </c>
      <c r="J38" s="44" t="s">
        <v>96</v>
      </c>
      <c r="K38" s="68" t="s">
        <v>6</v>
      </c>
    </row>
    <row r="39" spans="1:11">
      <c r="A39" s="46"/>
      <c r="B39" s="47"/>
      <c r="C39" s="48"/>
      <c r="D39" s="48"/>
      <c r="E39" s="48"/>
      <c r="F39" s="49"/>
      <c r="G39" s="48"/>
      <c r="H39" s="50"/>
      <c r="I39" s="69"/>
      <c r="J39" s="69"/>
      <c r="K39" s="70"/>
    </row>
    <row r="40" spans="1:11">
      <c r="A40" s="51">
        <v>12</v>
      </c>
      <c r="B40" s="10"/>
      <c r="C40" s="26"/>
      <c r="D40" s="52"/>
      <c r="E40" s="53" t="s">
        <v>97</v>
      </c>
      <c r="F40" s="54">
        <f>SUM(F23:F39)</f>
        <v>145000</v>
      </c>
      <c r="G40" s="53"/>
      <c r="H40" s="55">
        <f>SUM(H23:H39)</f>
        <v>8.51</v>
      </c>
      <c r="I40" s="55">
        <f>SUM(I23:I39)</f>
        <v>14.27</v>
      </c>
      <c r="J40" s="55"/>
      <c r="K40" s="71"/>
    </row>
    <row r="41" spans="1:11">
      <c r="A41" s="56"/>
      <c r="E41" s="57" t="s">
        <v>98</v>
      </c>
      <c r="F41" s="58">
        <f>A40</f>
        <v>12</v>
      </c>
      <c r="K41" s="72"/>
    </row>
    <row r="42" spans="1:11">
      <c r="A42" s="56"/>
      <c r="E42" s="57" t="s">
        <v>99</v>
      </c>
      <c r="F42" s="59" t="s">
        <v>100</v>
      </c>
      <c r="K42" s="72"/>
    </row>
    <row r="43" spans="1:11">
      <c r="A43" s="56"/>
      <c r="E43" s="57" t="s">
        <v>101</v>
      </c>
      <c r="F43" s="59"/>
      <c r="K43" s="72"/>
    </row>
    <row r="44" spans="1:11">
      <c r="A44" s="60"/>
      <c r="B44" s="61"/>
      <c r="C44" s="61"/>
      <c r="D44" s="61"/>
      <c r="E44" s="61"/>
      <c r="F44" s="61"/>
      <c r="G44" s="61"/>
      <c r="H44" s="61"/>
      <c r="I44" s="61"/>
      <c r="J44" s="61"/>
      <c r="K44" s="73"/>
    </row>
  </sheetData>
  <mergeCells count="20">
    <mergeCell ref="J21:J22"/>
    <mergeCell ref="K21:K22"/>
    <mergeCell ref="A10:E11"/>
    <mergeCell ref="D21:E22"/>
    <mergeCell ref="A5:E7"/>
    <mergeCell ref="A21:A22"/>
    <mergeCell ref="B21:B22"/>
    <mergeCell ref="C21:C22"/>
    <mergeCell ref="F21:F22"/>
    <mergeCell ref="G21:G22"/>
    <mergeCell ref="A18:C18"/>
    <mergeCell ref="D18:E18"/>
    <mergeCell ref="F18:G18"/>
    <mergeCell ref="A20:C20"/>
    <mergeCell ref="D20:E20"/>
    <mergeCell ref="A1:K1"/>
    <mergeCell ref="A15:E15"/>
    <mergeCell ref="A16:D16"/>
    <mergeCell ref="F16:G16"/>
    <mergeCell ref="F17:G17"/>
  </mergeCells>
  <phoneticPr fontId="21" type="noConversion"/>
  <pageMargins left="0.75" right="0.75" top="1" bottom="1" header="0.5" footer="0.5"/>
  <pageSetup paperSize="9" scale="71" fitToWidth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INVOICE</vt:lpstr>
      <vt:lpstr>PACKING</vt:lpstr>
      <vt:lpstr>INVOICE!Print_Area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D000208</dc:creator>
  <cp:lastModifiedBy>Alex Liou</cp:lastModifiedBy>
  <cp:lastPrinted>2025-08-20T22:32:04Z</cp:lastPrinted>
  <dcterms:created xsi:type="dcterms:W3CDTF">2025-07-17T08:11:00Z</dcterms:created>
  <dcterms:modified xsi:type="dcterms:W3CDTF">2025-08-20T22:35:08Z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2D6B31083591476BA23810E2D818D0BD</vt:lpwstr>
  </property>
  <property fmtid="{D5CDD505-2E9C-101B-9397-08002B2CF9AE}" pid="3" name="KSOProductBuildVer">
    <vt:lpwstr>2052-11.8.2.12118</vt:lpwstr>
  </property>
  <property fmtid="{D5CDD505-2E9C-101B-9397-08002B2CF9AE}" pid="4" name="KSOReadingLayout">
    <vt:bool>true</vt:bool>
  </property>
</Properties>
</file>