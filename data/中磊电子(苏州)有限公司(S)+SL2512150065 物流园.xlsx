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490" windowHeight="7860"/>
  </bookViews>
  <sheets>
    <sheet name="INVOICE" sheetId="1" r:id="rId1"/>
    <sheet name="PACKING" sheetId="4" r:id="rId2"/>
    <sheet name="数据汇总" sheetId="3" r:id="rId3"/>
  </sheets>
  <definedNames>
    <definedName name="_xlnm._FilterDatabase" localSheetId="0" hidden="1">INVOICE!$A$24:$P$36</definedName>
    <definedName name="_xlnm._FilterDatabase" localSheetId="2" hidden="1">数据汇总!$A$1:$H$13</definedName>
    <definedName name="_xlnm.Print_Area" localSheetId="0">INVOICE!$A$1:$N$41</definedName>
  </definedNames>
  <calcPr calcId="144525"/>
</workbook>
</file>

<file path=xl/sharedStrings.xml><?xml version="1.0" encoding="utf-8"?>
<sst xmlns="http://schemas.openxmlformats.org/spreadsheetml/2006/main" count="366" uniqueCount="161">
  <si>
    <t>COMMERCIAL INVOICE</t>
  </si>
  <si>
    <t>Shipper/Exporter</t>
  </si>
  <si>
    <t>No. &amp; Date of Invoice</t>
  </si>
  <si>
    <t>SUNLORD ELECTRONICS TECHNOLOGY PTE. LTD.</t>
  </si>
  <si>
    <t>SL2512150065</t>
  </si>
  <si>
    <t>33 UBI AVENUE 3 #06-52 VERTEX SINGAPORE(408868)</t>
  </si>
  <si>
    <t>2025/12/17</t>
  </si>
  <si>
    <t>Bill To:</t>
  </si>
  <si>
    <t xml:space="preserve"> Payment Term</t>
  </si>
  <si>
    <t>SerNet（SuZhou）Technologies  Corporation</t>
  </si>
  <si>
    <t>AMS 240 DAYS</t>
  </si>
  <si>
    <t>0</t>
  </si>
  <si>
    <t>Ship To:</t>
  </si>
  <si>
    <t xml:space="preserve"> Trade Term</t>
  </si>
  <si>
    <t>SerNet（SuZhou）Technologies Corporation</t>
  </si>
  <si>
    <t>DAP-SZ</t>
  </si>
  <si>
    <t>江苏省苏州市吴中区青丘街288号东南方向62米 生益科技D栋仓库，西单元</t>
  </si>
  <si>
    <t>潘丙城</t>
  </si>
  <si>
    <t>18120063965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</si>
  <si>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</si>
  <si>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</si>
  <si>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</si>
  <si>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</si>
  <si>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</si>
  <si>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</si>
  <si>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新加坡</t>
  </si>
  <si>
    <t>ITEM</t>
  </si>
  <si>
    <t>Part No.</t>
  </si>
  <si>
    <t xml:space="preserve">PO No.	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</si>
  <si>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</si>
  <si>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</si>
  <si>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</si>
  <si>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</si>
  <si>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</si>
  <si>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</si>
  <si>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</si>
  <si>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</si>
  <si>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</si>
  <si>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</si>
  <si>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</si>
  <si>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3630036VJW</t>
  </si>
  <si>
    <t>2250602394</t>
  </si>
  <si>
    <t>Transformer</t>
  </si>
  <si>
    <t>PCS</t>
  </si>
  <si>
    <t>USD</t>
  </si>
  <si>
    <t>China</t>
  </si>
  <si>
    <t>JWD</t>
  </si>
  <si>
    <t>境内自主品牌</t>
  </si>
  <si>
    <t>SG48001 G</t>
  </si>
  <si>
    <t>3630034XJW</t>
  </si>
  <si>
    <t>2250603292</t>
  </si>
  <si>
    <t>SG24002 G</t>
  </si>
  <si>
    <t>30284150LR</t>
  </si>
  <si>
    <t>2250801153</t>
  </si>
  <si>
    <t>Diode</t>
  </si>
  <si>
    <t>LRC</t>
  </si>
  <si>
    <t>LBZX84C15LT1G</t>
  </si>
  <si>
    <t>30116000LR</t>
  </si>
  <si>
    <t>2250803127</t>
  </si>
  <si>
    <t>LBAS16LT1G</t>
  </si>
  <si>
    <t>30134100LR</t>
  </si>
  <si>
    <t>2250803160</t>
  </si>
  <si>
    <t>SM340AF</t>
  </si>
  <si>
    <t>34150700JW</t>
  </si>
  <si>
    <t>2250900515</t>
  </si>
  <si>
    <t>IC</t>
  </si>
  <si>
    <t>Joulwatt</t>
  </si>
  <si>
    <t>JW5070TSOTB#TRPBF</t>
  </si>
  <si>
    <t>32239060LR</t>
  </si>
  <si>
    <t>2250900710</t>
  </si>
  <si>
    <t>Transistor</t>
  </si>
  <si>
    <t>LMBT3906LT1G</t>
  </si>
  <si>
    <t>363003BQJW</t>
  </si>
  <si>
    <t>2250901789</t>
  </si>
  <si>
    <t>SM24706-3P G</t>
  </si>
  <si>
    <t>61721009JL</t>
  </si>
  <si>
    <t>2250902622</t>
  </si>
  <si>
    <t>Antenna</t>
  </si>
  <si>
    <t>Glead</t>
  </si>
  <si>
    <t>DAM1575A2N5_YJ206_SJW157MM</t>
  </si>
  <si>
    <t>34103320CY</t>
  </si>
  <si>
    <t>2251102801</t>
  </si>
  <si>
    <t>Malaysia</t>
  </si>
  <si>
    <t>WAYON</t>
  </si>
  <si>
    <t>WR0332M-18A50R</t>
  </si>
  <si>
    <t>30141480CJ</t>
  </si>
  <si>
    <t>2251200134</t>
  </si>
  <si>
    <t>JSCJ</t>
  </si>
  <si>
    <t>1N4148WS</t>
  </si>
  <si>
    <t>Total</t>
  </si>
  <si>
    <t>remark:</t>
  </si>
  <si>
    <t>DN: 8000561596</t>
  </si>
  <si>
    <t>PACKING LIST</t>
  </si>
  <si>
    <t>No &amp; Date of Invoice</t>
  </si>
  <si>
    <t>Remarks:</t>
  </si>
  <si>
    <t>Port of Departure</t>
  </si>
  <si>
    <t>Port of Arrival</t>
  </si>
  <si>
    <t>CTNS</t>
  </si>
  <si>
    <t>Description of GoodsName</t>
  </si>
  <si>
    <t>Quantity</t>
  </si>
  <si>
    <t>Net WT
KGS</t>
  </si>
  <si>
    <t>Gross WT
KGS</t>
  </si>
  <si>
    <t>MEASUREMENT</t>
  </si>
  <si>
    <t>L*W*H(CM)</t>
  </si>
  <si>
    <t>1216#B0001</t>
  </si>
  <si>
    <t>120*100*114</t>
  </si>
  <si>
    <t>1216#B0002</t>
  </si>
  <si>
    <t>1216#B0003</t>
  </si>
  <si>
    <t>1216#B0004</t>
  </si>
  <si>
    <t>1216#B0005</t>
  </si>
  <si>
    <t>1216#B0006</t>
  </si>
  <si>
    <t>1216#B0007</t>
  </si>
  <si>
    <t>1216#B0008</t>
  </si>
  <si>
    <t>1216#B0009</t>
  </si>
  <si>
    <t>1216#B0010</t>
  </si>
  <si>
    <t>1216#B0011</t>
  </si>
  <si>
    <t>1216#B0012</t>
  </si>
  <si>
    <t>1216#B0013</t>
  </si>
  <si>
    <t>1216#B0015</t>
  </si>
  <si>
    <t>1216#B0016</t>
  </si>
  <si>
    <t>1216#B0017</t>
  </si>
  <si>
    <t>1216#B0018</t>
  </si>
  <si>
    <t>1216#B0019</t>
  </si>
  <si>
    <t>1216#B0020</t>
  </si>
  <si>
    <t>1216#B0021</t>
  </si>
  <si>
    <t>1216#B0022</t>
  </si>
  <si>
    <t>1216#B0023</t>
  </si>
  <si>
    <t>1216#B0024</t>
  </si>
  <si>
    <t>1 PLT. G</t>
  </si>
  <si>
    <t>TOTAL</t>
  </si>
  <si>
    <t>件数</t>
  </si>
  <si>
    <t>包装种类</t>
  </si>
  <si>
    <t>再生木托1托</t>
  </si>
  <si>
    <t>托盘材质</t>
  </si>
  <si>
    <t>再生木托</t>
  </si>
  <si>
    <t>托号</t>
  </si>
  <si>
    <t>尺寸</t>
  </si>
  <si>
    <t>重量（KG）</t>
  </si>
  <si>
    <t>箱数</t>
  </si>
  <si>
    <t>箱号</t>
  </si>
  <si>
    <t>1#</t>
  </si>
  <si>
    <r>
      <rPr>
        <sz val="8"/>
        <color indexed="8"/>
        <rFont val="Arial"/>
        <charset val="134"/>
      </rPr>
      <t>1216#B0001-1216#B0013</t>
    </r>
    <r>
      <rPr>
        <sz val="8"/>
        <color rgb="FF000000"/>
        <rFont val="宋体"/>
        <charset val="134"/>
      </rPr>
      <t xml:space="preserve">；
</t>
    </r>
    <r>
      <rPr>
        <sz val="8"/>
        <color indexed="8"/>
        <rFont val="Arial"/>
        <charset val="134"/>
      </rPr>
      <t>1216#B0015-1216#B0024</t>
    </r>
  </si>
  <si>
    <r>
      <rPr>
        <sz val="11"/>
        <rFont val="宋体"/>
        <charset val="134"/>
      </rPr>
      <t>报关行</t>
    </r>
    <r>
      <rPr>
        <sz val="11"/>
        <rFont val="Arial"/>
        <charset val="134"/>
      </rPr>
      <t xml:space="preserve">    
</t>
    </r>
    <r>
      <rPr>
        <sz val="11"/>
        <rFont val="宋体"/>
        <charset val="134"/>
      </rPr>
      <t>申报地海关</t>
    </r>
    <r>
      <rPr>
        <sz val="11"/>
        <rFont val="Arial"/>
        <charset val="134"/>
      </rPr>
      <t xml:space="preserve"> 
</t>
    </r>
    <r>
      <rPr>
        <sz val="11"/>
        <rFont val="宋体"/>
        <charset val="134"/>
      </rPr>
      <t>关联备案号</t>
    </r>
    <r>
      <rPr>
        <sz val="11"/>
        <rFont val="Arial"/>
        <charset val="134"/>
      </rPr>
      <t xml:space="preserve"> 
</t>
    </r>
    <r>
      <rPr>
        <sz val="11"/>
        <rFont val="宋体"/>
        <charset val="134"/>
      </rPr>
      <t>运输方式</t>
    </r>
    <r>
      <rPr>
        <sz val="11"/>
        <rFont val="Arial"/>
        <charset val="134"/>
      </rPr>
      <t xml:space="preserve">   </t>
    </r>
  </si>
  <si>
    <r>
      <rPr>
        <sz val="11"/>
        <rFont val="宋体"/>
        <charset val="134"/>
      </rPr>
      <t xml:space="preserve">江苏众诚报关代理有限公司
</t>
    </r>
    <r>
      <rPr>
        <sz val="11"/>
        <rFont val="Arial"/>
        <charset val="134"/>
      </rPr>
      <t xml:space="preserve">2358
</t>
    </r>
    <r>
      <rPr>
        <sz val="11"/>
        <rFont val="宋体"/>
        <charset val="134"/>
      </rPr>
      <t>新帐册号</t>
    </r>
    <r>
      <rPr>
        <sz val="11"/>
        <rFont val="Arial"/>
        <charset val="134"/>
      </rPr>
      <t xml:space="preserve">T2358W000197
</t>
    </r>
    <r>
      <rPr>
        <sz val="11"/>
        <rFont val="宋体"/>
        <charset val="134"/>
      </rPr>
      <t>保税港区</t>
    </r>
  </si>
  <si>
    <t>MPN</t>
  </si>
  <si>
    <t>CPN</t>
  </si>
  <si>
    <r>
      <rPr>
        <b/>
        <sz val="12"/>
        <rFont val="Arial"/>
        <charset val="134"/>
      </rPr>
      <t>Quantity/</t>
    </r>
    <r>
      <rPr>
        <b/>
        <sz val="12"/>
        <rFont val="宋体"/>
        <charset val="134"/>
      </rPr>
      <t>（</t>
    </r>
    <r>
      <rPr>
        <b/>
        <sz val="12"/>
        <rFont val="Arial"/>
        <charset val="134"/>
      </rPr>
      <t>PCS)</t>
    </r>
  </si>
  <si>
    <r>
      <rPr>
        <b/>
        <sz val="12"/>
        <rFont val="Arial"/>
        <charset val="134"/>
      </rPr>
      <t>Unit price(USD</t>
    </r>
    <r>
      <rPr>
        <b/>
        <sz val="12"/>
        <rFont val="宋体"/>
        <charset val="134"/>
      </rPr>
      <t>）</t>
    </r>
  </si>
  <si>
    <t>Amount(USD)</t>
  </si>
  <si>
    <t>N.W.(kg)</t>
  </si>
  <si>
    <t>BRAND</t>
  </si>
  <si>
    <t>HS.CODE</t>
  </si>
  <si>
    <t>8541100000</t>
  </si>
  <si>
    <t>GLEAD</t>
  </si>
  <si>
    <t>8517710000</t>
  </si>
  <si>
    <t>JOULWATT</t>
  </si>
  <si>
    <t>8542399000</t>
  </si>
  <si>
    <t>8541210000</t>
  </si>
  <si>
    <t>8504319000</t>
  </si>
  <si>
    <r>
      <rPr>
        <b/>
        <sz val="12"/>
        <rFont val="Arial"/>
        <charset val="134"/>
      </rPr>
      <t>Total</t>
    </r>
    <r>
      <rPr>
        <b/>
        <sz val="12"/>
        <rFont val="宋体"/>
        <charset val="134"/>
      </rPr>
      <t>：</t>
    </r>
  </si>
  <si>
    <t xml:space="preserve"> </t>
  </si>
</sst>
</file>

<file path=xl/styles.xml><?xml version="1.0" encoding="utf-8"?>
<styleSheet xmlns="http://schemas.openxmlformats.org/spreadsheetml/2006/main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.000_ ;_ * \-#,##0.000_ ;_ * &quot;-&quot;??_ ;_ @_ "/>
    <numFmt numFmtId="178" formatCode="0.0000"/>
    <numFmt numFmtId="179" formatCode="_ * #,##0_ ;_ * \-#,##0_ ;_ * &quot;-&quot;_ ;_ @_ "/>
    <numFmt numFmtId="180" formatCode="#,##0.000"/>
    <numFmt numFmtId="181" formatCode="#,###"/>
    <numFmt numFmtId="182" formatCode="#"/>
    <numFmt numFmtId="183" formatCode="0.000"/>
    <numFmt numFmtId="184" formatCode="0.00000"/>
    <numFmt numFmtId="185" formatCode="0.0"/>
  </numFmts>
  <fonts count="45">
    <font>
      <sz val="12"/>
      <name val="宋体"/>
      <charset val="134"/>
    </font>
    <font>
      <b/>
      <sz val="12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2"/>
      <color indexed="8"/>
      <name val="宋体"/>
      <charset val="134"/>
    </font>
    <font>
      <sz val="8"/>
      <color indexed="8"/>
      <name val="Arial"/>
      <charset val="134"/>
    </font>
    <font>
      <sz val="12"/>
      <color indexed="8"/>
      <name val="Arial"/>
      <charset val="134"/>
    </font>
    <font>
      <sz val="12"/>
      <color indexed="8"/>
      <name val="Dialog"/>
      <charset val="134"/>
    </font>
    <font>
      <b/>
      <sz val="8"/>
      <color indexed="8"/>
      <name val="Arial"/>
      <charset val="134"/>
    </font>
    <font>
      <sz val="7"/>
      <color indexed="8"/>
      <name val="Arial"/>
      <charset val="134"/>
    </font>
    <font>
      <b/>
      <sz val="11"/>
      <color indexed="8"/>
      <name val="Arial"/>
      <charset val="134"/>
    </font>
    <font>
      <sz val="8"/>
      <color rgb="FF000000"/>
      <name val="微软雅黑"/>
      <charset val="134"/>
    </font>
    <font>
      <sz val="9"/>
      <color indexed="8"/>
      <name val="Arial"/>
      <charset val="134"/>
    </font>
    <font>
      <sz val="11"/>
      <name val="Arial"/>
      <charset val="134"/>
    </font>
    <font>
      <sz val="8"/>
      <color rgb="FF000000"/>
      <name val="Arial"/>
      <charset val="134"/>
    </font>
    <font>
      <sz val="8"/>
      <color rgb="FF000000"/>
      <name val="宋体"/>
      <charset val="134"/>
    </font>
    <font>
      <b/>
      <sz val="8"/>
      <color rgb="FF000000"/>
      <name val="Arial"/>
      <charset val="134"/>
    </font>
    <font>
      <sz val="7"/>
      <color rgb="FF000000"/>
      <name val="Arial"/>
      <charset val="134"/>
    </font>
    <font>
      <sz val="11"/>
      <color rgb="FF000000"/>
      <name val="Arial"/>
      <charset val="134"/>
    </font>
    <font>
      <sz val="12"/>
      <color rgb="FF000000"/>
      <name val="宋体"/>
      <charset val="134"/>
    </font>
    <font>
      <b/>
      <sz val="11"/>
      <color rgb="FF000000"/>
      <name val="Arial"/>
      <charset val="134"/>
    </font>
    <font>
      <sz val="12"/>
      <name val="宋体"/>
      <charset val="134"/>
    </font>
    <font>
      <sz val="9"/>
      <color rgb="FF000000"/>
      <name val="Arial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2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23" fillId="0" borderId="0" applyFon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5" borderId="44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9" borderId="45" applyNumberFormat="0" applyFon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6" applyNumberFormat="0" applyFill="0" applyAlignment="0" applyProtection="0">
      <alignment vertical="center"/>
    </xf>
    <xf numFmtId="0" fontId="21" fillId="0" borderId="0"/>
    <xf numFmtId="0" fontId="35" fillId="0" borderId="4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6" fillId="13" borderId="48" applyNumberFormat="0" applyAlignment="0" applyProtection="0">
      <alignment vertical="center"/>
    </xf>
    <xf numFmtId="0" fontId="37" fillId="13" borderId="44" applyNumberFormat="0" applyAlignment="0" applyProtection="0">
      <alignment vertical="center"/>
    </xf>
    <xf numFmtId="0" fontId="38" fillId="14" borderId="49" applyNumberForma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2" borderId="1" xfId="20" applyFont="1" applyFill="1" applyBorder="1" applyAlignment="1">
      <alignment horizontal="left" vertical="center" wrapText="1"/>
    </xf>
    <xf numFmtId="0" fontId="2" fillId="0" borderId="1" xfId="2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76" fontId="1" fillId="0" borderId="1" xfId="0" applyNumberFormat="1" applyFont="1" applyBorder="1" applyAlignment="1">
      <alignment horizontal="left"/>
    </xf>
    <xf numFmtId="177" fontId="1" fillId="0" borderId="1" xfId="0" applyNumberFormat="1" applyFont="1" applyBorder="1" applyAlignment="1">
      <alignment horizontal="left"/>
    </xf>
    <xf numFmtId="49" fontId="3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 vertical="top" wrapText="1" shrinkToFit="1"/>
    </xf>
    <xf numFmtId="0" fontId="5" fillId="2" borderId="4" xfId="0" applyFont="1" applyFill="1" applyBorder="1" applyAlignment="1">
      <alignment horizontal="left" vertical="top" wrapText="1" shrinkToFit="1"/>
    </xf>
    <xf numFmtId="0" fontId="5" fillId="2" borderId="5" xfId="0" applyFont="1" applyFill="1" applyBorder="1" applyAlignment="1">
      <alignment horizontal="left" vertical="top" wrapText="1" shrinkToFit="1"/>
    </xf>
    <xf numFmtId="49" fontId="5" fillId="2" borderId="3" xfId="0" applyNumberFormat="1" applyFont="1" applyFill="1" applyBorder="1" applyAlignment="1">
      <alignment horizontal="left" vertical="center" wrapText="1" shrinkToFit="1"/>
    </xf>
    <xf numFmtId="0" fontId="5" fillId="2" borderId="4" xfId="0" applyFont="1" applyFill="1" applyBorder="1" applyAlignment="1">
      <alignment horizontal="left" vertical="center" wrapText="1" shrinkToFit="1"/>
    </xf>
    <xf numFmtId="49" fontId="5" fillId="2" borderId="6" xfId="0" applyNumberFormat="1" applyFont="1" applyFill="1" applyBorder="1" applyAlignment="1">
      <alignment horizontal="left" vertical="top" wrapText="1" shrinkToFit="1"/>
    </xf>
    <xf numFmtId="49" fontId="5" fillId="2" borderId="7" xfId="0" applyNumberFormat="1" applyFont="1" applyFill="1" applyBorder="1" applyAlignment="1">
      <alignment horizontal="left" vertical="center" wrapText="1" shrinkToFit="1"/>
    </xf>
    <xf numFmtId="0" fontId="6" fillId="0" borderId="0" xfId="0" applyFont="1" applyAlignment="1">
      <alignment horizontal="left" vertical="center" wrapText="1" shrinkToFit="1"/>
    </xf>
    <xf numFmtId="0" fontId="5" fillId="2" borderId="8" xfId="0" applyFont="1" applyFill="1" applyBorder="1" applyAlignment="1">
      <alignment horizontal="left" vertical="top" wrapText="1" shrinkToFit="1"/>
    </xf>
    <xf numFmtId="0" fontId="5" fillId="2" borderId="2" xfId="0" applyFont="1" applyFill="1" applyBorder="1" applyAlignment="1">
      <alignment horizontal="left" vertical="top" wrapText="1" shrinkToFit="1"/>
    </xf>
    <xf numFmtId="0" fontId="5" fillId="2" borderId="9" xfId="0" applyFont="1" applyFill="1" applyBorder="1" applyAlignment="1">
      <alignment horizontal="left" vertical="top" wrapText="1" shrinkToFit="1"/>
    </xf>
    <xf numFmtId="0" fontId="5" fillId="0" borderId="2" xfId="0" applyFont="1" applyBorder="1" applyAlignment="1">
      <alignment horizontal="left" vertical="center" wrapText="1" shrinkToFit="1"/>
    </xf>
    <xf numFmtId="0" fontId="6" fillId="0" borderId="2" xfId="0" applyFont="1" applyBorder="1" applyAlignment="1">
      <alignment horizontal="left" vertical="center" wrapText="1" shrinkToFit="1"/>
    </xf>
    <xf numFmtId="0" fontId="7" fillId="0" borderId="4" xfId="0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left" vertical="center" wrapText="1" shrinkToFit="1"/>
    </xf>
    <xf numFmtId="0" fontId="4" fillId="2" borderId="7" xfId="0" applyFont="1" applyFill="1" applyBorder="1" applyAlignment="1">
      <alignment horizontal="left" vertical="center" wrapText="1" shrinkToFit="1"/>
    </xf>
    <xf numFmtId="0" fontId="5" fillId="2" borderId="0" xfId="0" applyFont="1" applyFill="1" applyAlignment="1">
      <alignment horizontal="left" vertical="top" wrapText="1" shrinkToFit="1"/>
    </xf>
    <xf numFmtId="0" fontId="5" fillId="0" borderId="0" xfId="0" applyFont="1" applyAlignment="1">
      <alignment horizontal="left" vertical="center" wrapText="1" shrinkToFit="1"/>
    </xf>
    <xf numFmtId="0" fontId="5" fillId="2" borderId="6" xfId="0" applyFont="1" applyFill="1" applyBorder="1" applyAlignment="1">
      <alignment horizontal="left" vertical="top" wrapText="1" shrinkToFit="1"/>
    </xf>
    <xf numFmtId="0" fontId="5" fillId="2" borderId="10" xfId="0" applyFont="1" applyFill="1" applyBorder="1" applyAlignment="1">
      <alignment horizontal="left" vertical="top" wrapText="1" shrinkToFit="1"/>
    </xf>
    <xf numFmtId="0" fontId="5" fillId="2" borderId="7" xfId="0" applyFont="1" applyFill="1" applyBorder="1" applyAlignment="1">
      <alignment horizontal="left" vertical="top" wrapText="1" shrinkToFit="1"/>
    </xf>
    <xf numFmtId="49" fontId="5" fillId="2" borderId="8" xfId="0" applyNumberFormat="1" applyFont="1" applyFill="1" applyBorder="1" applyAlignment="1">
      <alignment horizontal="left" vertical="top" wrapText="1" shrinkToFit="1"/>
    </xf>
    <xf numFmtId="0" fontId="4" fillId="2" borderId="2" xfId="0" applyFont="1" applyFill="1" applyBorder="1" applyAlignment="1">
      <alignment horizontal="left" vertical="center" wrapText="1" shrinkToFit="1"/>
    </xf>
    <xf numFmtId="0" fontId="4" fillId="2" borderId="9" xfId="0" applyFont="1" applyFill="1" applyBorder="1" applyAlignment="1">
      <alignment horizontal="left" vertical="center" wrapText="1" shrinkToFit="1"/>
    </xf>
    <xf numFmtId="49" fontId="5" fillId="2" borderId="5" xfId="0" applyNumberFormat="1" applyFont="1" applyFill="1" applyBorder="1" applyAlignment="1">
      <alignment horizontal="left" vertical="top" wrapText="1" shrinkToFit="1"/>
    </xf>
    <xf numFmtId="49" fontId="8" fillId="2" borderId="11" xfId="0" applyNumberFormat="1" applyFont="1" applyFill="1" applyBorder="1" applyAlignment="1">
      <alignment horizontal="center" vertical="center" wrapText="1" shrinkToFit="1"/>
    </xf>
    <xf numFmtId="49" fontId="8" fillId="2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 wrapText="1" shrinkToFit="1"/>
    </xf>
    <xf numFmtId="181" fontId="5" fillId="2" borderId="11" xfId="0" applyNumberFormat="1" applyFont="1" applyFill="1" applyBorder="1" applyAlignment="1">
      <alignment horizontal="center" vertical="center" wrapText="1" shrinkToFit="1"/>
    </xf>
    <xf numFmtId="49" fontId="5" fillId="2" borderId="11" xfId="0" applyNumberFormat="1" applyFont="1" applyFill="1" applyBorder="1" applyAlignment="1">
      <alignment horizontal="center" vertical="center"/>
    </xf>
    <xf numFmtId="180" fontId="5" fillId="2" borderId="11" xfId="0" applyNumberFormat="1" applyFont="1" applyFill="1" applyBorder="1" applyAlignment="1">
      <alignment horizontal="center" vertical="center" wrapText="1" shrinkToFit="1"/>
    </xf>
    <xf numFmtId="4" fontId="5" fillId="2" borderId="11" xfId="0" applyNumberFormat="1" applyFont="1" applyFill="1" applyBorder="1" applyAlignment="1">
      <alignment horizontal="center" vertical="center" wrapText="1" shrinkToFit="1"/>
    </xf>
    <xf numFmtId="49" fontId="5" fillId="2" borderId="12" xfId="0" applyNumberFormat="1" applyFont="1" applyFill="1" applyBorder="1" applyAlignment="1">
      <alignment horizontal="center" vertical="center" wrapText="1" shrinkToFit="1"/>
    </xf>
    <xf numFmtId="49" fontId="5" fillId="2" borderId="13" xfId="0" applyNumberFormat="1" applyFont="1" applyFill="1" applyBorder="1" applyAlignment="1">
      <alignment horizontal="center" vertical="center" wrapText="1" shrinkToFit="1"/>
    </xf>
    <xf numFmtId="49" fontId="5" fillId="2" borderId="14" xfId="0" applyNumberFormat="1" applyFont="1" applyFill="1" applyBorder="1" applyAlignment="1">
      <alignment horizontal="center" vertical="center" wrapText="1" shrinkToFit="1"/>
    </xf>
    <xf numFmtId="182" fontId="8" fillId="2" borderId="11" xfId="0" applyNumberFormat="1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81" fontId="8" fillId="2" borderId="11" xfId="0" applyNumberFormat="1" applyFont="1" applyFill="1" applyBorder="1" applyAlignment="1">
      <alignment horizontal="center" vertical="center" wrapText="1" shrinkToFit="1"/>
    </xf>
    <xf numFmtId="0" fontId="8" fillId="2" borderId="11" xfId="0" applyFont="1" applyFill="1" applyBorder="1" applyAlignment="1">
      <alignment horizontal="center" vertical="center" wrapText="1" shrinkToFit="1"/>
    </xf>
    <xf numFmtId="180" fontId="8" fillId="2" borderId="11" xfId="0" applyNumberFormat="1" applyFont="1" applyFill="1" applyBorder="1" applyAlignment="1">
      <alignment horizontal="center" vertical="center" wrapText="1" shrinkToFit="1"/>
    </xf>
    <xf numFmtId="4" fontId="8" fillId="2" borderId="11" xfId="0" applyNumberFormat="1" applyFont="1" applyFill="1" applyBorder="1" applyAlignment="1">
      <alignment horizontal="center" vertical="center" wrapText="1" shrinkToFit="1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82" fontId="5" fillId="2" borderId="0" xfId="0" applyNumberFormat="1" applyFont="1" applyFill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49" fontId="8" fillId="2" borderId="11" xfId="0" applyNumberFormat="1" applyFont="1" applyFill="1" applyBorder="1" applyAlignment="1">
      <alignment horizontal="left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left" vertical="center"/>
    </xf>
    <xf numFmtId="182" fontId="5" fillId="2" borderId="11" xfId="0" applyNumberFormat="1" applyFont="1" applyFill="1" applyBorder="1" applyAlignment="1">
      <alignment horizontal="center" vertical="center"/>
    </xf>
    <xf numFmtId="182" fontId="5" fillId="2" borderId="12" xfId="0" applyNumberFormat="1" applyFont="1" applyFill="1" applyBorder="1" applyAlignment="1">
      <alignment horizontal="center" vertical="center"/>
    </xf>
    <xf numFmtId="182" fontId="5" fillId="2" borderId="1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13" fillId="0" borderId="16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 shrinkToFit="1"/>
    </xf>
    <xf numFmtId="0" fontId="6" fillId="0" borderId="18" xfId="0" applyFont="1" applyBorder="1" applyAlignment="1">
      <alignment horizontal="left" vertical="center" wrapText="1" shrinkToFit="1"/>
    </xf>
    <xf numFmtId="0" fontId="6" fillId="0" borderId="9" xfId="0" applyFont="1" applyBorder="1" applyAlignment="1">
      <alignment horizontal="left" vertical="center" wrapText="1" shrinkToFit="1"/>
    </xf>
    <xf numFmtId="0" fontId="6" fillId="0" borderId="5" xfId="0" applyFont="1" applyBorder="1" applyAlignment="1">
      <alignment horizontal="left" vertical="center" wrapText="1" shrinkToFit="1"/>
    </xf>
    <xf numFmtId="49" fontId="5" fillId="2" borderId="19" xfId="0" applyNumberFormat="1" applyFont="1" applyFill="1" applyBorder="1" applyAlignment="1">
      <alignment horizontal="center" vertical="center" wrapText="1" shrinkToFit="1"/>
    </xf>
    <xf numFmtId="49" fontId="5" fillId="2" borderId="6" xfId="0" applyNumberFormat="1" applyFont="1" applyFill="1" applyBorder="1" applyAlignment="1">
      <alignment horizontal="center" vertical="center" wrapText="1" shrinkToFit="1"/>
    </xf>
    <xf numFmtId="49" fontId="5" fillId="2" borderId="10" xfId="0" applyNumberFormat="1" applyFont="1" applyFill="1" applyBorder="1" applyAlignment="1">
      <alignment horizontal="center" vertical="center" wrapText="1" shrinkToFit="1"/>
    </xf>
    <xf numFmtId="0" fontId="0" fillId="0" borderId="20" xfId="0" applyBorder="1"/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49" fontId="10" fillId="2" borderId="2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left" vertical="center"/>
    </xf>
    <xf numFmtId="0" fontId="0" fillId="0" borderId="23" xfId="0" applyBorder="1"/>
    <xf numFmtId="0" fontId="13" fillId="0" borderId="24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14" fillId="3" borderId="25" xfId="0" applyNumberFormat="1" applyFont="1" applyFill="1" applyBorder="1" applyAlignment="1">
      <alignment horizontal="left" vertical="top" wrapText="1"/>
    </xf>
    <xf numFmtId="49" fontId="14" fillId="3" borderId="26" xfId="0" applyNumberFormat="1" applyFont="1" applyFill="1" applyBorder="1" applyAlignment="1">
      <alignment horizontal="left" vertical="top" wrapText="1"/>
    </xf>
    <xf numFmtId="0" fontId="14" fillId="3" borderId="27" xfId="0" applyFont="1" applyFill="1" applyBorder="1" applyAlignment="1">
      <alignment horizontal="left" vertical="top" wrapText="1"/>
    </xf>
    <xf numFmtId="0" fontId="14" fillId="3" borderId="28" xfId="0" applyFont="1" applyFill="1" applyBorder="1" applyAlignment="1">
      <alignment horizontal="left" vertical="top" wrapText="1"/>
    </xf>
    <xf numFmtId="49" fontId="14" fillId="3" borderId="26" xfId="0" applyNumberFormat="1" applyFont="1" applyFill="1" applyBorder="1" applyAlignment="1">
      <alignment horizontal="left" vertical="center" wrapText="1"/>
    </xf>
    <xf numFmtId="49" fontId="14" fillId="3" borderId="29" xfId="0" applyNumberFormat="1" applyFont="1" applyFill="1" applyBorder="1" applyAlignment="1">
      <alignment horizontal="left" vertical="top" wrapText="1"/>
    </xf>
    <xf numFmtId="49" fontId="14" fillId="3" borderId="30" xfId="0" applyNumberFormat="1" applyFont="1" applyFill="1" applyBorder="1" applyAlignment="1">
      <alignment horizontal="left" vertical="top" wrapText="1"/>
    </xf>
    <xf numFmtId="0" fontId="14" fillId="3" borderId="31" xfId="0" applyFont="1" applyFill="1" applyBorder="1" applyAlignment="1">
      <alignment horizontal="left" vertical="top" wrapText="1"/>
    </xf>
    <xf numFmtId="49" fontId="14" fillId="3" borderId="30" xfId="0" applyNumberFormat="1" applyFont="1" applyFill="1" applyBorder="1" applyAlignment="1">
      <alignment horizontal="left" vertical="center" wrapText="1"/>
    </xf>
    <xf numFmtId="0" fontId="14" fillId="3" borderId="32" xfId="0" applyFont="1" applyFill="1" applyBorder="1" applyAlignment="1">
      <alignment horizontal="left" vertical="top" wrapText="1"/>
    </xf>
    <xf numFmtId="0" fontId="14" fillId="3" borderId="33" xfId="0" applyFont="1" applyFill="1" applyBorder="1" applyAlignment="1">
      <alignment horizontal="left" vertical="top" wrapText="1"/>
    </xf>
    <xf numFmtId="0" fontId="14" fillId="3" borderId="34" xfId="0" applyFont="1" applyFill="1" applyBorder="1" applyAlignment="1">
      <alignment horizontal="left" vertical="top" wrapText="1"/>
    </xf>
    <xf numFmtId="0" fontId="14" fillId="3" borderId="35" xfId="0" applyFont="1" applyFill="1" applyBorder="1" applyAlignment="1">
      <alignment horizontal="left" vertical="center" wrapText="1"/>
    </xf>
    <xf numFmtId="0" fontId="14" fillId="3" borderId="30" xfId="0" applyFont="1" applyFill="1" applyBorder="1" applyAlignment="1">
      <alignment horizontal="left" vertical="center" wrapText="1"/>
    </xf>
    <xf numFmtId="0" fontId="14" fillId="3" borderId="29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0" xfId="0" applyFont="1" applyFill="1" applyAlignment="1">
      <alignment horizontal="left" vertical="top" wrapText="1"/>
    </xf>
    <xf numFmtId="0" fontId="14" fillId="3" borderId="35" xfId="0" applyFont="1" applyFill="1" applyBorder="1" applyAlignment="1">
      <alignment horizontal="left" vertical="top" wrapText="1"/>
    </xf>
    <xf numFmtId="49" fontId="14" fillId="3" borderId="36" xfId="0" applyNumberFormat="1" applyFont="1" applyFill="1" applyBorder="1" applyAlignment="1">
      <alignment horizontal="left" vertical="top" wrapText="1"/>
    </xf>
    <xf numFmtId="0" fontId="14" fillId="3" borderId="37" xfId="0" applyFont="1" applyFill="1" applyBorder="1" applyAlignment="1">
      <alignment horizontal="left" vertical="top"/>
    </xf>
    <xf numFmtId="0" fontId="14" fillId="3" borderId="15" xfId="0" applyFont="1" applyFill="1" applyBorder="1" applyAlignment="1">
      <alignment horizontal="left" vertical="top"/>
    </xf>
    <xf numFmtId="0" fontId="14" fillId="3" borderId="38" xfId="0" applyFont="1" applyFill="1" applyBorder="1" applyAlignment="1">
      <alignment horizontal="left" vertical="top"/>
    </xf>
    <xf numFmtId="0" fontId="14" fillId="3" borderId="39" xfId="0" applyFont="1" applyFill="1" applyBorder="1" applyAlignment="1">
      <alignment horizontal="left" vertical="top"/>
    </xf>
    <xf numFmtId="0" fontId="15" fillId="3" borderId="39" xfId="0" applyFont="1" applyFill="1" applyBorder="1" applyAlignment="1">
      <alignment horizontal="left" vertical="center"/>
    </xf>
    <xf numFmtId="49" fontId="16" fillId="3" borderId="40" xfId="0" applyNumberFormat="1" applyFont="1" applyFill="1" applyBorder="1" applyAlignment="1">
      <alignment horizontal="center" vertical="center"/>
    </xf>
    <xf numFmtId="49" fontId="16" fillId="3" borderId="40" xfId="0" applyNumberFormat="1" applyFont="1" applyFill="1" applyBorder="1" applyAlignment="1">
      <alignment horizontal="center" vertical="center" wrapText="1"/>
    </xf>
    <xf numFmtId="49" fontId="16" fillId="3" borderId="41" xfId="0" applyNumberFormat="1" applyFont="1" applyFill="1" applyBorder="1" applyAlignment="1">
      <alignment horizontal="center" vertical="center"/>
    </xf>
    <xf numFmtId="49" fontId="16" fillId="3" borderId="41" xfId="0" applyNumberFormat="1" applyFont="1" applyFill="1" applyBorder="1" applyAlignment="1">
      <alignment horizontal="center" vertical="center" wrapText="1"/>
    </xf>
    <xf numFmtId="182" fontId="14" fillId="3" borderId="41" xfId="0" applyNumberFormat="1" applyFont="1" applyFill="1" applyBorder="1" applyAlignment="1">
      <alignment horizontal="center" vertical="center" wrapText="1"/>
    </xf>
    <xf numFmtId="49" fontId="14" fillId="3" borderId="41" xfId="0" applyNumberFormat="1" applyFont="1" applyFill="1" applyBorder="1" applyAlignment="1">
      <alignment horizontal="center" vertical="center" wrapText="1"/>
    </xf>
    <xf numFmtId="181" fontId="14" fillId="3" borderId="41" xfId="0" applyNumberFormat="1" applyFont="1" applyFill="1" applyBorder="1" applyAlignment="1">
      <alignment horizontal="center" vertical="center" wrapText="1"/>
    </xf>
    <xf numFmtId="49" fontId="14" fillId="3" borderId="41" xfId="0" applyNumberFormat="1" applyFont="1" applyFill="1" applyBorder="1" applyAlignment="1">
      <alignment horizontal="center" vertical="center"/>
    </xf>
    <xf numFmtId="183" fontId="14" fillId="3" borderId="41" xfId="0" applyNumberFormat="1" applyFont="1" applyFill="1" applyBorder="1" applyAlignment="1">
      <alignment horizontal="center" vertical="center" wrapText="1"/>
    </xf>
    <xf numFmtId="178" fontId="14" fillId="3" borderId="41" xfId="0" applyNumberFormat="1" applyFont="1" applyFill="1" applyBorder="1" applyAlignment="1">
      <alignment horizontal="center" vertical="center" wrapText="1"/>
    </xf>
    <xf numFmtId="184" fontId="14" fillId="3" borderId="41" xfId="0" applyNumberFormat="1" applyFont="1" applyFill="1" applyBorder="1" applyAlignment="1">
      <alignment horizontal="center" vertical="center" wrapText="1"/>
    </xf>
    <xf numFmtId="185" fontId="14" fillId="3" borderId="41" xfId="0" applyNumberFormat="1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right" vertical="center"/>
    </xf>
    <xf numFmtId="181" fontId="16" fillId="3" borderId="41" xfId="0" applyNumberFormat="1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49" fontId="14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49" fontId="20" fillId="3" borderId="0" xfId="0" applyNumberFormat="1" applyFont="1" applyFill="1" applyAlignment="1">
      <alignment horizontal="center" vertical="center" wrapText="1"/>
    </xf>
    <xf numFmtId="0" fontId="14" fillId="3" borderId="27" xfId="0" applyFont="1" applyFill="1" applyBorder="1" applyAlignment="1">
      <alignment horizontal="left" vertical="center" wrapText="1"/>
    </xf>
    <xf numFmtId="0" fontId="14" fillId="3" borderId="42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22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left" vertical="center" wrapText="1"/>
    </xf>
    <xf numFmtId="0" fontId="14" fillId="3" borderId="43" xfId="0" applyFont="1" applyFill="1" applyBorder="1" applyAlignment="1">
      <alignment horizontal="left" vertical="center" wrapText="1"/>
    </xf>
    <xf numFmtId="0" fontId="21" fillId="0" borderId="0" xfId="0" applyFont="1"/>
    <xf numFmtId="0" fontId="15" fillId="3" borderId="15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4" fontId="14" fillId="3" borderId="41" xfId="0" applyNumberFormat="1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4" fontId="0" fillId="0" borderId="0" xfId="0" applyNumberFormat="1"/>
    <xf numFmtId="4" fontId="16" fillId="3" borderId="41" xfId="0" applyNumberFormat="1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left" vertical="center"/>
    </xf>
    <xf numFmtId="180" fontId="0" fillId="0" borderId="0" xfId="0" applyNumberFormat="1"/>
    <xf numFmtId="49" fontId="10" fillId="2" borderId="0" xfId="0" applyNumberFormat="1" applyFont="1" applyFill="1" applyAlignment="1">
      <alignment horizontal="center" vertical="center" wrapText="1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1">
    <dxf>
      <font>
        <name val="宋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9525</xdr:colOff>
      <xdr:row>0</xdr:row>
      <xdr:rowOff>9525</xdr:rowOff>
    </xdr:from>
    <xdr:to>
      <xdr:col>7</xdr:col>
      <xdr:colOff>523875</xdr:colOff>
      <xdr:row>1</xdr:row>
      <xdr:rowOff>200025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0125" y="9525"/>
          <a:ext cx="5143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02"/>
  <sheetViews>
    <sheetView tabSelected="1" view="pageBreakPreview" zoomScale="115" zoomScaleNormal="100" topLeftCell="A25" workbookViewId="0">
      <selection activeCell="R40" sqref="R40"/>
    </sheetView>
  </sheetViews>
  <sheetFormatPr defaultColWidth="9" defaultRowHeight="14.25"/>
  <cols>
    <col min="1" max="1" width="4.5" style="95" customWidth="1"/>
    <col min="2" max="5" width="10.75" style="95" customWidth="1"/>
    <col min="6" max="6" width="5.25" style="95" customWidth="1"/>
    <col min="7" max="7" width="6.875" style="95" customWidth="1"/>
    <col min="8" max="8" width="8" style="95" customWidth="1"/>
    <col min="9" max="9" width="7.125" style="95" customWidth="1"/>
    <col min="10" max="10" width="6.25" style="95" customWidth="1"/>
    <col min="11" max="11" width="7.625" style="95" customWidth="1"/>
    <col min="12" max="12" width="8.625" style="95" customWidth="1"/>
    <col min="13" max="13" width="7.875" style="95" customWidth="1"/>
    <col min="14" max="14" width="12.25" style="95" customWidth="1"/>
  </cols>
  <sheetData>
    <row r="1" ht="19.5" customHeight="1" spans="1:14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ht="25.5" customHeight="1" spans="1:14">
      <c r="A2" s="97" t="s">
        <v>1</v>
      </c>
      <c r="B2" s="98"/>
      <c r="C2" s="99"/>
      <c r="D2" s="99"/>
      <c r="E2" s="99"/>
      <c r="F2" s="99"/>
      <c r="G2" s="100"/>
      <c r="H2" s="101" t="s">
        <v>2</v>
      </c>
      <c r="I2" s="101"/>
      <c r="J2" s="144"/>
      <c r="K2" s="144"/>
      <c r="L2" s="144"/>
      <c r="M2" s="144"/>
      <c r="N2" s="145"/>
    </row>
    <row r="3" ht="11.1" customHeight="1" spans="1:14">
      <c r="A3" s="102" t="s">
        <v>3</v>
      </c>
      <c r="B3" s="103"/>
      <c r="C3" s="103"/>
      <c r="D3" s="103"/>
      <c r="E3" s="103"/>
      <c r="F3" s="103"/>
      <c r="G3" s="104"/>
      <c r="H3" s="105" t="s">
        <v>4</v>
      </c>
      <c r="I3" s="105"/>
      <c r="J3" s="105"/>
      <c r="K3" s="146"/>
      <c r="L3" s="146"/>
      <c r="M3" s="146"/>
      <c r="N3" s="147"/>
    </row>
    <row r="4" ht="11.1" customHeight="1" spans="1:14">
      <c r="A4" s="102" t="s">
        <v>5</v>
      </c>
      <c r="B4" s="103"/>
      <c r="C4" s="103"/>
      <c r="D4" s="103"/>
      <c r="E4" s="103"/>
      <c r="F4" s="103"/>
      <c r="G4" s="104"/>
      <c r="H4" s="105" t="s">
        <v>6</v>
      </c>
      <c r="I4" s="105"/>
      <c r="J4" s="105"/>
      <c r="K4" s="146"/>
      <c r="L4" s="146"/>
      <c r="M4" s="146"/>
      <c r="N4" s="147"/>
    </row>
    <row r="5" ht="11.1" customHeight="1" spans="1:14">
      <c r="A5" s="106"/>
      <c r="B5" s="107"/>
      <c r="C5" s="107"/>
      <c r="D5" s="107"/>
      <c r="E5" s="107"/>
      <c r="F5" s="107"/>
      <c r="G5" s="108"/>
      <c r="H5" s="109"/>
      <c r="I5" s="148"/>
      <c r="J5" s="148"/>
      <c r="K5" s="148"/>
      <c r="L5" s="148"/>
      <c r="M5" s="148"/>
      <c r="N5" s="149"/>
    </row>
    <row r="6" ht="11.1" customHeight="1" spans="1:14">
      <c r="A6" s="97" t="s">
        <v>7</v>
      </c>
      <c r="B6" s="98"/>
      <c r="C6" s="99"/>
      <c r="D6" s="99"/>
      <c r="E6" s="99"/>
      <c r="F6" s="99"/>
      <c r="G6" s="100"/>
      <c r="H6" s="101" t="s">
        <v>8</v>
      </c>
      <c r="I6" s="101"/>
      <c r="J6" s="144"/>
      <c r="K6" s="144"/>
      <c r="L6" s="144"/>
      <c r="M6" s="144"/>
      <c r="N6" s="145"/>
    </row>
    <row r="7" ht="11.1" customHeight="1" spans="1:14">
      <c r="A7" s="102" t="s">
        <v>9</v>
      </c>
      <c r="B7" s="103"/>
      <c r="C7" s="103"/>
      <c r="D7" s="103"/>
      <c r="E7" s="103"/>
      <c r="F7" s="103"/>
      <c r="G7" s="104"/>
      <c r="H7" s="105" t="s">
        <v>10</v>
      </c>
      <c r="I7" s="105"/>
      <c r="J7" s="105"/>
      <c r="K7" s="146"/>
      <c r="L7" s="146"/>
      <c r="M7" s="146"/>
      <c r="N7" s="147"/>
    </row>
    <row r="8" ht="11.1" customHeight="1" spans="1:14">
      <c r="A8" s="102" t="s">
        <v>11</v>
      </c>
      <c r="B8" s="103"/>
      <c r="C8" s="103"/>
      <c r="D8" s="103"/>
      <c r="E8" s="103"/>
      <c r="F8" s="103"/>
      <c r="G8" s="104"/>
      <c r="H8" s="110"/>
      <c r="I8" s="146"/>
      <c r="J8" s="146"/>
      <c r="K8" s="146"/>
      <c r="L8" s="146"/>
      <c r="M8" s="146"/>
      <c r="N8" s="147"/>
    </row>
    <row r="9" ht="11.1" customHeight="1" spans="1:14">
      <c r="A9" s="111"/>
      <c r="B9" s="112"/>
      <c r="C9" s="112"/>
      <c r="D9" s="112"/>
      <c r="E9" s="112"/>
      <c r="F9" s="112"/>
      <c r="G9" s="104"/>
      <c r="H9" s="110"/>
      <c r="I9" s="146"/>
      <c r="J9" s="146"/>
      <c r="K9" s="146"/>
      <c r="L9" s="146"/>
      <c r="M9" s="146"/>
      <c r="N9" s="147"/>
    </row>
    <row r="10" ht="11.1" customHeight="1" spans="1:14">
      <c r="A10" s="111"/>
      <c r="B10" s="112"/>
      <c r="C10" s="112"/>
      <c r="D10" s="112"/>
      <c r="E10" s="112"/>
      <c r="F10" s="112"/>
      <c r="G10" s="104"/>
      <c r="H10" s="110"/>
      <c r="I10" s="146"/>
      <c r="J10" s="146"/>
      <c r="K10" s="146"/>
      <c r="L10" s="146"/>
      <c r="M10" s="146"/>
      <c r="N10" s="147"/>
    </row>
    <row r="11" ht="11.1" customHeight="1" spans="1:14">
      <c r="A11" s="106"/>
      <c r="B11" s="107"/>
      <c r="C11" s="107"/>
      <c r="D11" s="107"/>
      <c r="E11" s="107"/>
      <c r="F11" s="107"/>
      <c r="G11" s="108"/>
      <c r="H11" s="109"/>
      <c r="I11" s="148"/>
      <c r="J11" s="148"/>
      <c r="K11" s="148"/>
      <c r="L11" s="148"/>
      <c r="M11" s="148"/>
      <c r="N11" s="149"/>
    </row>
    <row r="12" ht="11.1" customHeight="1" spans="1:14">
      <c r="A12" s="97" t="s">
        <v>12</v>
      </c>
      <c r="B12" s="98"/>
      <c r="C12" s="99"/>
      <c r="D12" s="99"/>
      <c r="E12" s="99"/>
      <c r="F12" s="99"/>
      <c r="G12" s="100"/>
      <c r="H12" s="101" t="s">
        <v>13</v>
      </c>
      <c r="I12" s="101"/>
      <c r="J12" s="144"/>
      <c r="K12" s="144"/>
      <c r="L12" s="144"/>
      <c r="M12" s="144"/>
      <c r="N12" s="145"/>
    </row>
    <row r="13" ht="11.1" customHeight="1" spans="1:14">
      <c r="A13" s="102" t="s">
        <v>14</v>
      </c>
      <c r="B13" s="103"/>
      <c r="C13" s="103"/>
      <c r="D13" s="103"/>
      <c r="E13" s="103"/>
      <c r="F13" s="103"/>
      <c r="G13" s="104"/>
      <c r="H13" s="105" t="s">
        <v>15</v>
      </c>
      <c r="I13" s="105"/>
      <c r="J13" s="105"/>
      <c r="K13" s="146"/>
      <c r="L13" s="146"/>
      <c r="M13" s="146"/>
      <c r="N13" s="147"/>
    </row>
    <row r="14" ht="11.1" customHeight="1" spans="1:16">
      <c r="A14" s="102" t="s">
        <v>16</v>
      </c>
      <c r="B14" s="103"/>
      <c r="C14" s="103"/>
      <c r="D14" s="103"/>
      <c r="E14" s="103"/>
      <c r="F14" s="103"/>
      <c r="G14" s="104"/>
      <c r="H14" s="110"/>
      <c r="I14" s="146"/>
      <c r="J14" s="146"/>
      <c r="K14" s="146"/>
      <c r="L14" s="146"/>
      <c r="M14" s="146"/>
      <c r="N14" s="147"/>
      <c r="P14" s="150"/>
    </row>
    <row r="15" ht="11.1" customHeight="1" spans="1:14">
      <c r="A15" s="102" t="s">
        <v>17</v>
      </c>
      <c r="B15" s="103"/>
      <c r="C15" s="103"/>
      <c r="D15" s="103"/>
      <c r="E15" s="103"/>
      <c r="F15" s="103"/>
      <c r="G15" s="104"/>
      <c r="H15" s="110"/>
      <c r="I15" s="146"/>
      <c r="J15" s="146"/>
      <c r="K15" s="146"/>
      <c r="L15" s="146"/>
      <c r="M15" s="146"/>
      <c r="N15" s="147"/>
    </row>
    <row r="16" ht="11.1" customHeight="1" spans="1:14">
      <c r="A16" s="102" t="s">
        <v>18</v>
      </c>
      <c r="B16" s="103"/>
      <c r="C16" s="103"/>
      <c r="D16" s="103"/>
      <c r="E16" s="103"/>
      <c r="F16" s="103"/>
      <c r="G16" s="104"/>
      <c r="H16" s="110"/>
      <c r="I16" s="146"/>
      <c r="J16" s="146"/>
      <c r="K16" s="146"/>
      <c r="L16" s="146"/>
      <c r="M16" s="146"/>
      <c r="N16" s="147"/>
    </row>
    <row r="17" ht="11.1" customHeight="1" spans="1:14">
      <c r="A17" s="106"/>
      <c r="B17" s="107"/>
      <c r="C17" s="107"/>
      <c r="D17" s="107"/>
      <c r="E17" s="107"/>
      <c r="F17" s="107"/>
      <c r="G17" s="108"/>
      <c r="H17" s="109"/>
      <c r="I17" s="148"/>
      <c r="J17" s="148"/>
      <c r="K17" s="148"/>
      <c r="L17" s="148"/>
      <c r="M17" s="148"/>
      <c r="N17" s="149"/>
    </row>
    <row r="18" ht="11.1" customHeight="1" spans="1:14">
      <c r="A18" s="97" t="s">
        <v>19</v>
      </c>
      <c r="B18" s="98"/>
      <c r="C18" s="99"/>
      <c r="D18" s="100"/>
      <c r="E18" s="98" t="s">
        <v>20</v>
      </c>
      <c r="F18" s="98"/>
      <c r="G18" s="100"/>
      <c r="H18" s="101" t="s">
        <v>21</v>
      </c>
      <c r="I18" s="144"/>
      <c r="J18" s="144"/>
      <c r="K18" s="144"/>
      <c r="L18" s="144"/>
      <c r="M18" s="144"/>
      <c r="N18" s="145"/>
    </row>
    <row r="19" ht="11.1" customHeight="1" spans="1:14">
      <c r="A19" s="111"/>
      <c r="B19" s="113"/>
      <c r="C19" s="113"/>
      <c r="D19" s="104"/>
      <c r="E19" s="112"/>
      <c r="F19" s="113"/>
      <c r="G19" s="104"/>
      <c r="H19" s="110"/>
      <c r="I19" s="146"/>
      <c r="J19" s="146"/>
      <c r="K19" s="146"/>
      <c r="L19" s="146"/>
      <c r="M19" s="146"/>
      <c r="N19" s="147"/>
    </row>
    <row r="20" ht="11.1" customHeight="1" spans="1:14">
      <c r="A20" s="106"/>
      <c r="B20" s="107"/>
      <c r="C20" s="107"/>
      <c r="D20" s="108"/>
      <c r="E20" s="114"/>
      <c r="F20" s="107"/>
      <c r="G20" s="108"/>
      <c r="H20" s="110"/>
      <c r="I20" s="146"/>
      <c r="J20" s="146"/>
      <c r="K20" s="146"/>
      <c r="L20" s="146"/>
      <c r="M20" s="146"/>
      <c r="N20" s="147"/>
    </row>
    <row r="21" ht="11.1" customHeight="1" spans="1:14">
      <c r="A21" s="97" t="s">
        <v>22</v>
      </c>
      <c r="B21" s="98"/>
      <c r="C21" s="99"/>
      <c r="D21" s="100"/>
      <c r="E21" s="115" t="s">
        <v>23</v>
      </c>
      <c r="F21" s="115"/>
      <c r="G21" s="115"/>
      <c r="H21" s="110"/>
      <c r="I21" s="146"/>
      <c r="J21" s="146"/>
      <c r="K21" s="146"/>
      <c r="L21" s="146"/>
      <c r="M21" s="146"/>
      <c r="N21" s="147"/>
    </row>
    <row r="22" ht="11.1" customHeight="1" spans="1:14">
      <c r="A22" s="116"/>
      <c r="B22" s="117"/>
      <c r="C22" s="117"/>
      <c r="D22" s="118"/>
      <c r="E22" s="119"/>
      <c r="F22" s="117"/>
      <c r="G22" s="118"/>
      <c r="H22" s="120" t="s">
        <v>24</v>
      </c>
      <c r="I22" s="151" t="s">
        <v>25</v>
      </c>
      <c r="J22" s="152"/>
      <c r="K22" s="152"/>
      <c r="L22" s="152"/>
      <c r="M22" s="152"/>
      <c r="N22" s="153"/>
    </row>
    <row r="23" ht="13.5" customHeight="1" spans="1:14">
      <c r="A23" s="121" t="s">
        <v>26</v>
      </c>
      <c r="B23" s="121" t="s">
        <v>27</v>
      </c>
      <c r="C23" s="121" t="s">
        <v>28</v>
      </c>
      <c r="D23" s="122" t="s">
        <v>29</v>
      </c>
      <c r="E23" s="121" t="s">
        <v>30</v>
      </c>
      <c r="F23" s="121" t="s">
        <v>31</v>
      </c>
      <c r="G23" s="122" t="s">
        <v>32</v>
      </c>
      <c r="H23" s="121" t="s">
        <v>33</v>
      </c>
      <c r="I23" s="121" t="s">
        <v>34</v>
      </c>
      <c r="J23" s="121" t="s">
        <v>35</v>
      </c>
      <c r="K23" s="121" t="s">
        <v>36</v>
      </c>
      <c r="L23" s="121" t="s">
        <v>37</v>
      </c>
      <c r="M23" s="122" t="s">
        <v>38</v>
      </c>
      <c r="N23" s="121" t="s">
        <v>39</v>
      </c>
    </row>
    <row r="24" ht="12.75" customHeight="1" spans="1:14">
      <c r="A24" s="123"/>
      <c r="B24" s="123"/>
      <c r="C24" s="123"/>
      <c r="D24" s="124"/>
      <c r="E24" s="123"/>
      <c r="F24" s="123"/>
      <c r="G24" s="124"/>
      <c r="H24" s="123"/>
      <c r="I24" s="123"/>
      <c r="J24" s="123"/>
      <c r="K24" s="123"/>
      <c r="L24" s="123"/>
      <c r="M24" s="124"/>
      <c r="N24" s="123"/>
    </row>
    <row r="25" ht="37.35" customHeight="1" spans="1:15">
      <c r="A25" s="125">
        <v>1</v>
      </c>
      <c r="B25" s="126" t="s">
        <v>40</v>
      </c>
      <c r="C25" s="126" t="s">
        <v>41</v>
      </c>
      <c r="D25" s="126" t="s">
        <v>42</v>
      </c>
      <c r="E25" s="127">
        <v>700</v>
      </c>
      <c r="F25" s="128" t="s">
        <v>43</v>
      </c>
      <c r="G25" s="129">
        <v>0.174</v>
      </c>
      <c r="H25" s="128" t="s">
        <v>44</v>
      </c>
      <c r="I25" s="154">
        <v>121.8</v>
      </c>
      <c r="J25" s="128" t="s">
        <v>45</v>
      </c>
      <c r="K25" s="155"/>
      <c r="L25" s="126" t="s">
        <v>46</v>
      </c>
      <c r="M25" s="126" t="s">
        <v>47</v>
      </c>
      <c r="N25" s="126" t="s">
        <v>48</v>
      </c>
      <c r="O25" s="156"/>
    </row>
    <row r="26" ht="37.35" customHeight="1" spans="1:15">
      <c r="A26" s="125">
        <v>2</v>
      </c>
      <c r="B26" s="126" t="s">
        <v>49</v>
      </c>
      <c r="C26" s="126" t="s">
        <v>50</v>
      </c>
      <c r="D26" s="126" t="s">
        <v>42</v>
      </c>
      <c r="E26" s="127">
        <v>37600</v>
      </c>
      <c r="F26" s="128" t="s">
        <v>43</v>
      </c>
      <c r="G26" s="130">
        <v>0.1136</v>
      </c>
      <c r="H26" s="128" t="s">
        <v>44</v>
      </c>
      <c r="I26" s="154">
        <v>4271.36</v>
      </c>
      <c r="J26" s="128" t="s">
        <v>45</v>
      </c>
      <c r="K26" s="155"/>
      <c r="L26" s="126" t="s">
        <v>46</v>
      </c>
      <c r="M26" s="126" t="s">
        <v>47</v>
      </c>
      <c r="N26" s="126" t="s">
        <v>51</v>
      </c>
      <c r="O26" s="156"/>
    </row>
    <row r="27" ht="37.35" customHeight="1" spans="1:15">
      <c r="A27" s="125">
        <v>3</v>
      </c>
      <c r="B27" s="126" t="s">
        <v>52</v>
      </c>
      <c r="C27" s="126" t="s">
        <v>53</v>
      </c>
      <c r="D27" s="126" t="s">
        <v>54</v>
      </c>
      <c r="E27" s="127">
        <v>3000</v>
      </c>
      <c r="F27" s="128" t="s">
        <v>43</v>
      </c>
      <c r="G27" s="130">
        <v>0.0051</v>
      </c>
      <c r="H27" s="128" t="s">
        <v>44</v>
      </c>
      <c r="I27" s="154">
        <v>15.3</v>
      </c>
      <c r="J27" s="128" t="s">
        <v>45</v>
      </c>
      <c r="K27" s="155"/>
      <c r="L27" s="126" t="s">
        <v>55</v>
      </c>
      <c r="M27" s="126" t="s">
        <v>47</v>
      </c>
      <c r="N27" s="126" t="s">
        <v>56</v>
      </c>
      <c r="O27" s="156"/>
    </row>
    <row r="28" ht="25.5" customHeight="1" spans="1:15">
      <c r="A28" s="125">
        <v>4</v>
      </c>
      <c r="B28" s="126" t="s">
        <v>57</v>
      </c>
      <c r="C28" s="126" t="s">
        <v>58</v>
      </c>
      <c r="D28" s="126" t="s">
        <v>54</v>
      </c>
      <c r="E28" s="127">
        <v>6000</v>
      </c>
      <c r="F28" s="128" t="s">
        <v>43</v>
      </c>
      <c r="G28" s="131">
        <v>0.00392</v>
      </c>
      <c r="H28" s="128" t="s">
        <v>44</v>
      </c>
      <c r="I28" s="154">
        <v>23.52</v>
      </c>
      <c r="J28" s="128" t="s">
        <v>45</v>
      </c>
      <c r="K28" s="155"/>
      <c r="L28" s="126" t="s">
        <v>55</v>
      </c>
      <c r="M28" s="126" t="s">
        <v>47</v>
      </c>
      <c r="N28" s="126" t="s">
        <v>59</v>
      </c>
      <c r="O28" s="156"/>
    </row>
    <row r="29" ht="25.5" customHeight="1" spans="1:15">
      <c r="A29" s="125">
        <v>5</v>
      </c>
      <c r="B29" s="126" t="s">
        <v>60</v>
      </c>
      <c r="C29" s="126" t="s">
        <v>61</v>
      </c>
      <c r="D29" s="126" t="s">
        <v>54</v>
      </c>
      <c r="E29" s="127">
        <v>3000</v>
      </c>
      <c r="F29" s="128" t="s">
        <v>43</v>
      </c>
      <c r="G29" s="131">
        <v>0.01316</v>
      </c>
      <c r="H29" s="128" t="s">
        <v>44</v>
      </c>
      <c r="I29" s="154">
        <v>39.48</v>
      </c>
      <c r="J29" s="128" t="s">
        <v>45</v>
      </c>
      <c r="K29" s="155"/>
      <c r="L29" s="126" t="s">
        <v>55</v>
      </c>
      <c r="M29" s="126" t="s">
        <v>47</v>
      </c>
      <c r="N29" s="126" t="s">
        <v>62</v>
      </c>
      <c r="O29" s="156"/>
    </row>
    <row r="30" ht="37.35" customHeight="1" spans="1:15">
      <c r="A30" s="125">
        <v>6</v>
      </c>
      <c r="B30" s="126" t="s">
        <v>63</v>
      </c>
      <c r="C30" s="126" t="s">
        <v>64</v>
      </c>
      <c r="D30" s="126" t="s">
        <v>65</v>
      </c>
      <c r="E30" s="127">
        <v>18000</v>
      </c>
      <c r="F30" s="128" t="s">
        <v>43</v>
      </c>
      <c r="G30" s="129">
        <v>0.082</v>
      </c>
      <c r="H30" s="128" t="s">
        <v>44</v>
      </c>
      <c r="I30" s="154">
        <v>1476</v>
      </c>
      <c r="J30" s="128" t="s">
        <v>45</v>
      </c>
      <c r="K30" s="128" t="s">
        <v>45</v>
      </c>
      <c r="L30" s="126" t="s">
        <v>66</v>
      </c>
      <c r="M30" s="126" t="s">
        <v>47</v>
      </c>
      <c r="N30" s="126" t="s">
        <v>67</v>
      </c>
      <c r="O30" s="156"/>
    </row>
    <row r="31" ht="37.35" customHeight="1" spans="1:15">
      <c r="A31" s="125">
        <v>7</v>
      </c>
      <c r="B31" s="126" t="s">
        <v>68</v>
      </c>
      <c r="C31" s="126" t="s">
        <v>69</v>
      </c>
      <c r="D31" s="126" t="s">
        <v>70</v>
      </c>
      <c r="E31" s="127">
        <v>3000</v>
      </c>
      <c r="F31" s="128" t="s">
        <v>43</v>
      </c>
      <c r="G31" s="130">
        <v>0.0026</v>
      </c>
      <c r="H31" s="128" t="s">
        <v>44</v>
      </c>
      <c r="I31" s="154">
        <v>7.8</v>
      </c>
      <c r="J31" s="128" t="s">
        <v>45</v>
      </c>
      <c r="K31" s="155"/>
      <c r="L31" s="126" t="s">
        <v>55</v>
      </c>
      <c r="M31" s="126" t="s">
        <v>47</v>
      </c>
      <c r="N31" s="126" t="s">
        <v>71</v>
      </c>
      <c r="O31" s="156"/>
    </row>
    <row r="32" ht="25.5" customHeight="1" spans="1:15">
      <c r="A32" s="125">
        <v>8</v>
      </c>
      <c r="B32" s="126" t="s">
        <v>72</v>
      </c>
      <c r="C32" s="126" t="s">
        <v>73</v>
      </c>
      <c r="D32" s="126" t="s">
        <v>42</v>
      </c>
      <c r="E32" s="127">
        <v>8400</v>
      </c>
      <c r="F32" s="128" t="s">
        <v>43</v>
      </c>
      <c r="G32" s="132">
        <v>0.5</v>
      </c>
      <c r="H32" s="128" t="s">
        <v>44</v>
      </c>
      <c r="I32" s="154">
        <v>4200</v>
      </c>
      <c r="J32" s="128" t="s">
        <v>45</v>
      </c>
      <c r="K32" s="155"/>
      <c r="L32" s="126" t="s">
        <v>46</v>
      </c>
      <c r="M32" s="126" t="s">
        <v>47</v>
      </c>
      <c r="N32" s="126" t="s">
        <v>74</v>
      </c>
      <c r="O32" s="156"/>
    </row>
    <row r="33" ht="25.5" customHeight="1" spans="1:15">
      <c r="A33" s="125">
        <v>9</v>
      </c>
      <c r="B33" s="126" t="s">
        <v>75</v>
      </c>
      <c r="C33" s="126" t="s">
        <v>76</v>
      </c>
      <c r="D33" s="126" t="s">
        <v>77</v>
      </c>
      <c r="E33" s="127">
        <v>480</v>
      </c>
      <c r="F33" s="128" t="s">
        <v>43</v>
      </c>
      <c r="G33" s="125">
        <v>3</v>
      </c>
      <c r="H33" s="128" t="s">
        <v>44</v>
      </c>
      <c r="I33" s="154">
        <v>1440</v>
      </c>
      <c r="J33" s="128" t="s">
        <v>45</v>
      </c>
      <c r="K33" s="155"/>
      <c r="L33" s="126" t="s">
        <v>78</v>
      </c>
      <c r="M33" s="126" t="s">
        <v>47</v>
      </c>
      <c r="N33" s="126" t="s">
        <v>79</v>
      </c>
      <c r="O33" s="156"/>
    </row>
    <row r="34" ht="25.5" customHeight="1" spans="1:15">
      <c r="A34" s="125">
        <v>10</v>
      </c>
      <c r="B34" s="126" t="s">
        <v>80</v>
      </c>
      <c r="C34" s="126" t="s">
        <v>81</v>
      </c>
      <c r="D34" s="126" t="s">
        <v>65</v>
      </c>
      <c r="E34" s="127">
        <v>3000</v>
      </c>
      <c r="F34" s="128" t="s">
        <v>43</v>
      </c>
      <c r="G34" s="130">
        <v>0.0095</v>
      </c>
      <c r="H34" s="128" t="s">
        <v>44</v>
      </c>
      <c r="I34" s="154">
        <v>28.5</v>
      </c>
      <c r="J34" s="128" t="s">
        <v>45</v>
      </c>
      <c r="K34" s="128" t="s">
        <v>82</v>
      </c>
      <c r="L34" s="126" t="s">
        <v>83</v>
      </c>
      <c r="M34" s="126" t="s">
        <v>47</v>
      </c>
      <c r="N34" s="126" t="s">
        <v>84</v>
      </c>
      <c r="O34" s="156"/>
    </row>
    <row r="35" ht="37.35" customHeight="1" spans="1:15">
      <c r="A35" s="125">
        <v>11</v>
      </c>
      <c r="B35" s="126" t="s">
        <v>85</v>
      </c>
      <c r="C35" s="126" t="s">
        <v>86</v>
      </c>
      <c r="D35" s="126" t="s">
        <v>54</v>
      </c>
      <c r="E35" s="127">
        <v>3000</v>
      </c>
      <c r="F35" s="128" t="s">
        <v>43</v>
      </c>
      <c r="G35" s="131">
        <v>0.00541</v>
      </c>
      <c r="H35" s="128" t="s">
        <v>44</v>
      </c>
      <c r="I35" s="154">
        <v>16.23</v>
      </c>
      <c r="J35" s="128" t="s">
        <v>45</v>
      </c>
      <c r="K35" s="155"/>
      <c r="L35" s="126" t="s">
        <v>87</v>
      </c>
      <c r="M35" s="126" t="s">
        <v>47</v>
      </c>
      <c r="N35" s="126" t="s">
        <v>88</v>
      </c>
      <c r="O35" s="156"/>
    </row>
    <row r="36" ht="37.35" customHeight="1" spans="1:15">
      <c r="A36" s="123" t="s">
        <v>89</v>
      </c>
      <c r="B36" s="123"/>
      <c r="C36" s="123"/>
      <c r="D36" s="133"/>
      <c r="E36" s="134">
        <v>86180</v>
      </c>
      <c r="F36" s="133"/>
      <c r="G36" s="135"/>
      <c r="H36" s="135"/>
      <c r="I36" s="157">
        <v>11639.99</v>
      </c>
      <c r="J36" s="135"/>
      <c r="K36" s="135"/>
      <c r="L36" s="135"/>
      <c r="M36" s="135"/>
      <c r="N36" s="135"/>
      <c r="O36" s="156"/>
    </row>
    <row r="37" ht="37.35" customHeight="1" spans="1:15">
      <c r="A37" s="136"/>
      <c r="B37" s="136"/>
      <c r="C37" s="136"/>
      <c r="D37" s="136"/>
      <c r="E37" s="136"/>
      <c r="F37" s="137"/>
      <c r="G37" s="137"/>
      <c r="H37" s="137"/>
      <c r="I37" s="137"/>
      <c r="J37" s="137"/>
      <c r="K37" s="158"/>
      <c r="L37" s="158"/>
      <c r="M37" s="158"/>
      <c r="N37" s="158"/>
      <c r="O37" s="156"/>
    </row>
    <row r="38" ht="37.35" customHeight="1" spans="1:15">
      <c r="A38" s="138"/>
      <c r="B38" s="138"/>
      <c r="C38" s="139" t="s">
        <v>90</v>
      </c>
      <c r="D38" s="138"/>
      <c r="E38" s="139" t="s">
        <v>91</v>
      </c>
      <c r="F38" s="139"/>
      <c r="G38" s="139"/>
      <c r="H38" s="139"/>
      <c r="I38" s="139"/>
      <c r="J38" s="139"/>
      <c r="K38" s="159"/>
      <c r="L38" s="159"/>
      <c r="M38" s="159"/>
      <c r="N38" s="159"/>
      <c r="O38" s="156"/>
    </row>
    <row r="39" ht="25.5" customHeight="1" spans="1:15">
      <c r="A39" s="140"/>
      <c r="B39" s="140"/>
      <c r="C39" s="140"/>
      <c r="D39" s="141"/>
      <c r="E39" s="141"/>
      <c r="F39" s="142"/>
      <c r="G39" s="142"/>
      <c r="H39" s="143" t="s">
        <v>3</v>
      </c>
      <c r="I39" s="143"/>
      <c r="J39" s="143"/>
      <c r="K39" s="143"/>
      <c r="L39" s="143"/>
      <c r="M39" s="143"/>
      <c r="N39" s="143"/>
      <c r="O39" s="156"/>
    </row>
    <row r="40" ht="37.35" customHeight="1" spans="1:15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60"/>
      <c r="L40" s="160"/>
      <c r="M40" s="160"/>
      <c r="N40" s="161"/>
      <c r="O40" s="156"/>
    </row>
    <row r="41" ht="37.35" customHeight="1" spans="15:15">
      <c r="O41" s="156"/>
    </row>
    <row r="42" ht="37.35" customHeight="1" spans="15:15">
      <c r="O42" s="156"/>
    </row>
    <row r="43" ht="25.5" customHeight="1" spans="15:15">
      <c r="O43" s="156"/>
    </row>
    <row r="44" ht="25.5" customHeight="1" spans="15:15">
      <c r="O44" s="156"/>
    </row>
    <row r="45" ht="25.5" customHeight="1" spans="15:15">
      <c r="O45" s="156"/>
    </row>
    <row r="46" ht="25.5" customHeight="1" spans="15:15">
      <c r="O46" s="156"/>
    </row>
    <row r="47" ht="25.5" customHeight="1" spans="15:15">
      <c r="O47" s="156"/>
    </row>
    <row r="48" ht="25.5" customHeight="1" spans="15:15">
      <c r="O48" s="156"/>
    </row>
    <row r="49" ht="25.5" customHeight="1" spans="15:15">
      <c r="O49" s="156"/>
    </row>
    <row r="50" ht="25.5" customHeight="1" spans="15:15">
      <c r="O50" s="156"/>
    </row>
    <row r="51" ht="25.5" customHeight="1" spans="15:15">
      <c r="O51" s="156"/>
    </row>
    <row r="52" ht="25.5" customHeight="1" spans="15:15">
      <c r="O52" s="156"/>
    </row>
    <row r="53" ht="37.35" customHeight="1" spans="15:15">
      <c r="O53" s="156"/>
    </row>
    <row r="54" ht="25.5" customHeight="1" spans="15:15">
      <c r="O54" s="156"/>
    </row>
    <row r="55" ht="37.35" customHeight="1" spans="15:15">
      <c r="O55" s="156"/>
    </row>
    <row r="56" ht="37.35" customHeight="1" spans="15:15">
      <c r="O56" s="156"/>
    </row>
    <row r="57" ht="37.35" customHeight="1" spans="15:15">
      <c r="O57" s="156"/>
    </row>
    <row r="58" ht="25.5" customHeight="1" spans="15:15">
      <c r="O58" s="156"/>
    </row>
    <row r="59" ht="37.35" customHeight="1" spans="15:15">
      <c r="O59" s="156"/>
    </row>
    <row r="60" ht="37.35" customHeight="1" spans="15:15">
      <c r="O60" s="156"/>
    </row>
    <row r="61" ht="37.35" customHeight="1" spans="15:15">
      <c r="O61" s="156"/>
    </row>
    <row r="62" ht="37.35" customHeight="1" spans="15:15">
      <c r="O62" s="156"/>
    </row>
    <row r="63" ht="37.35" customHeight="1" spans="15:15">
      <c r="O63" s="156"/>
    </row>
    <row r="64" ht="37.35" customHeight="1" spans="15:15">
      <c r="O64" s="156"/>
    </row>
    <row r="65" ht="25.5" customHeight="1" spans="15:15">
      <c r="O65" s="156"/>
    </row>
    <row r="66" ht="37.35" customHeight="1" spans="15:15">
      <c r="O66" s="156"/>
    </row>
    <row r="67" ht="25.5" customHeight="1" spans="15:15">
      <c r="O67" s="156"/>
    </row>
    <row r="68" ht="25.5" customHeight="1" spans="15:15">
      <c r="O68" s="156"/>
    </row>
    <row r="69" ht="37.35" customHeight="1" spans="15:15">
      <c r="O69" s="156"/>
    </row>
    <row r="70" ht="37.35" customHeight="1" spans="15:15">
      <c r="O70" s="156"/>
    </row>
    <row r="71" ht="37.35" customHeight="1" spans="15:15">
      <c r="O71" s="156"/>
    </row>
    <row r="72" ht="25.5" customHeight="1" spans="15:15">
      <c r="O72" s="156"/>
    </row>
    <row r="73" ht="25.5" customHeight="1" spans="15:15">
      <c r="O73" s="156"/>
    </row>
    <row r="74" ht="25.5" customHeight="1" spans="15:15">
      <c r="O74" s="156"/>
    </row>
    <row r="75" ht="25.5" customHeight="1" spans="15:15">
      <c r="O75" s="156"/>
    </row>
    <row r="76" ht="25.5" customHeight="1" spans="15:15">
      <c r="O76" s="156"/>
    </row>
    <row r="77" ht="25.5" customHeight="1" spans="15:15">
      <c r="O77" s="156"/>
    </row>
    <row r="78" ht="25.5" customHeight="1" spans="15:15">
      <c r="O78" s="156"/>
    </row>
    <row r="79" ht="37.35" customHeight="1" spans="15:15">
      <c r="O79" s="156"/>
    </row>
    <row r="80" ht="37.35" customHeight="1" spans="15:15">
      <c r="O80" s="156"/>
    </row>
    <row r="81" ht="37.35" customHeight="1" spans="15:15">
      <c r="O81" s="156"/>
    </row>
    <row r="82" ht="37.35" customHeight="1" spans="15:15">
      <c r="O82" s="156"/>
    </row>
    <row r="83" ht="25.5" customHeight="1" spans="15:15">
      <c r="O83" s="156"/>
    </row>
    <row r="84" ht="37.35" customHeight="1" spans="15:15">
      <c r="O84" s="156"/>
    </row>
    <row r="85" ht="37.35" customHeight="1" spans="15:15">
      <c r="O85" s="156"/>
    </row>
    <row r="86" ht="37.35" customHeight="1" spans="15:15">
      <c r="O86" s="156"/>
    </row>
    <row r="87" ht="25.5" customHeight="1" spans="15:15">
      <c r="O87" s="156"/>
    </row>
    <row r="88" ht="25.5" customHeight="1" spans="15:15">
      <c r="O88" s="156"/>
    </row>
    <row r="89" ht="25.5" customHeight="1" spans="15:15">
      <c r="O89" s="156"/>
    </row>
    <row r="90" ht="25.5" customHeight="1" spans="15:15">
      <c r="O90" s="156"/>
    </row>
    <row r="91" ht="25.5" customHeight="1" spans="15:15">
      <c r="O91" s="156"/>
    </row>
    <row r="92" ht="25.5" customHeight="1" spans="15:15">
      <c r="O92" s="156"/>
    </row>
    <row r="93" ht="25.5" customHeight="1" spans="15:15">
      <c r="O93" s="156"/>
    </row>
    <row r="94" ht="25.5" customHeight="1" spans="15:15">
      <c r="O94" s="156"/>
    </row>
    <row r="95" ht="25.5" customHeight="1" spans="15:15">
      <c r="O95" s="156"/>
    </row>
    <row r="96" ht="25.5" customHeight="1" spans="15:15">
      <c r="O96" s="156"/>
    </row>
    <row r="97" ht="25.5" customHeight="1" spans="15:15">
      <c r="O97" s="156"/>
    </row>
    <row r="98" ht="25.5" customHeight="1" spans="15:15">
      <c r="O98" s="156"/>
    </row>
    <row r="99" ht="25.5" customHeight="1" spans="15:15">
      <c r="O99" s="156"/>
    </row>
    <row r="100" ht="37.35" customHeight="1" spans="15:15">
      <c r="O100" s="156"/>
    </row>
    <row r="101" ht="37.35" customHeight="1" spans="15:15">
      <c r="O101" s="156"/>
    </row>
    <row r="102" ht="37.35" customHeight="1" spans="15:15">
      <c r="O102" s="156"/>
    </row>
    <row r="103" ht="37.35" customHeight="1" spans="15:15">
      <c r="O103" s="156"/>
    </row>
    <row r="104" ht="37.35" customHeight="1" spans="15:15">
      <c r="O104" s="156"/>
    </row>
    <row r="105" ht="25.5" customHeight="1" spans="15:15">
      <c r="O105" s="156"/>
    </row>
    <row r="106" ht="60.95" customHeight="1" spans="15:15">
      <c r="O106" s="156"/>
    </row>
    <row r="107" ht="37.35" customHeight="1" spans="15:15">
      <c r="O107" s="156"/>
    </row>
    <row r="108" ht="37.35" customHeight="1" spans="15:15">
      <c r="O108" s="156"/>
    </row>
    <row r="109" ht="25.5" customHeight="1" spans="15:15">
      <c r="O109" s="156"/>
    </row>
    <row r="110" ht="25.5" customHeight="1" spans="15:15">
      <c r="O110" s="156"/>
    </row>
    <row r="111" ht="25.5" customHeight="1" spans="15:15">
      <c r="O111" s="156"/>
    </row>
    <row r="112" ht="25.5" customHeight="1" spans="15:15">
      <c r="O112" s="156"/>
    </row>
    <row r="113" ht="25.5" customHeight="1" spans="15:15">
      <c r="O113" s="156"/>
    </row>
    <row r="114" ht="25.5" customHeight="1" spans="15:15">
      <c r="O114" s="156"/>
    </row>
    <row r="115" ht="25.5" customHeight="1" spans="15:15">
      <c r="O115" s="156"/>
    </row>
    <row r="116" ht="25.5" customHeight="1" spans="15:15">
      <c r="O116" s="156"/>
    </row>
    <row r="117" ht="25.5" customHeight="1" spans="15:15">
      <c r="O117" s="156"/>
    </row>
    <row r="118" ht="25.5" customHeight="1" spans="15:15">
      <c r="O118" s="156"/>
    </row>
    <row r="119" ht="25.5" customHeight="1" spans="15:15">
      <c r="O119" s="156"/>
    </row>
    <row r="120" ht="37.35" customHeight="1" spans="15:15">
      <c r="O120" s="156"/>
    </row>
    <row r="121" ht="37.35" customHeight="1" spans="15:15">
      <c r="O121" s="156"/>
    </row>
    <row r="122" ht="25.5" customHeight="1" spans="15:15">
      <c r="O122" s="156"/>
    </row>
    <row r="123" ht="25.5" customHeight="1" spans="15:15">
      <c r="O123" s="156"/>
    </row>
    <row r="124" ht="25.5" customHeight="1" spans="15:15">
      <c r="O124" s="156"/>
    </row>
    <row r="125" ht="37.35" customHeight="1" spans="15:15">
      <c r="O125" s="156"/>
    </row>
    <row r="126" ht="25.5" customHeight="1" spans="15:15">
      <c r="O126" s="156"/>
    </row>
    <row r="127" ht="25.5" customHeight="1" spans="15:15">
      <c r="O127" s="156"/>
    </row>
    <row r="128" ht="25.5" customHeight="1" spans="15:15">
      <c r="O128" s="156"/>
    </row>
    <row r="129" ht="25.5" customHeight="1" spans="15:15">
      <c r="O129" s="156"/>
    </row>
    <row r="130" ht="25.5" customHeight="1" spans="15:15">
      <c r="O130" s="156"/>
    </row>
    <row r="131" ht="25.5" customHeight="1" spans="15:15">
      <c r="O131" s="156"/>
    </row>
    <row r="132" ht="25.5" customHeight="1" spans="15:15">
      <c r="O132" s="156"/>
    </row>
    <row r="133" ht="25.5" customHeight="1" spans="15:15">
      <c r="O133" s="156"/>
    </row>
    <row r="134" ht="37.35" customHeight="1" spans="15:15">
      <c r="O134" s="156"/>
    </row>
    <row r="135" ht="25.5" customHeight="1" spans="15:15">
      <c r="O135" s="156"/>
    </row>
    <row r="136" ht="25.5" customHeight="1" spans="15:15">
      <c r="O136" s="156"/>
    </row>
    <row r="137" ht="25.5" customHeight="1" spans="15:15">
      <c r="O137" s="156"/>
    </row>
    <row r="138" ht="25.5" customHeight="1" spans="15:15">
      <c r="O138" s="156"/>
    </row>
    <row r="139" ht="25.5" customHeight="1" spans="15:15">
      <c r="O139" s="156"/>
    </row>
    <row r="140" ht="25.5" customHeight="1" spans="15:15">
      <c r="O140" s="156"/>
    </row>
    <row r="141" ht="37.35" customHeight="1" spans="15:15">
      <c r="O141" s="156"/>
    </row>
    <row r="142" ht="25.5" customHeight="1" spans="15:15">
      <c r="O142" s="156"/>
    </row>
    <row r="143" ht="37.35" customHeight="1" spans="15:15">
      <c r="O143" s="156"/>
    </row>
    <row r="144" ht="25.5" customHeight="1" spans="15:15">
      <c r="O144" s="156"/>
    </row>
    <row r="145" ht="25.5" customHeight="1" spans="15:15">
      <c r="O145" s="156"/>
    </row>
    <row r="146" ht="37.35" customHeight="1" spans="15:15">
      <c r="O146" s="156"/>
    </row>
    <row r="147" ht="25.5" customHeight="1" spans="15:15">
      <c r="O147" s="156"/>
    </row>
    <row r="148" ht="37.35" customHeight="1" spans="15:15">
      <c r="O148" s="156"/>
    </row>
    <row r="149" ht="25.5" customHeight="1" spans="15:15">
      <c r="O149" s="156"/>
    </row>
    <row r="150" ht="25.5" customHeight="1" spans="15:15">
      <c r="O150" s="156"/>
    </row>
    <row r="151" ht="25.5" customHeight="1" spans="15:15">
      <c r="O151" s="156"/>
    </row>
    <row r="152" ht="37.35" customHeight="1" spans="15:15">
      <c r="O152" s="156"/>
    </row>
    <row r="153" ht="37.35" customHeight="1" spans="15:15">
      <c r="O153" s="156"/>
    </row>
    <row r="154" ht="37.35" customHeight="1" spans="15:15">
      <c r="O154" s="156"/>
    </row>
    <row r="155" ht="25.5" customHeight="1" spans="15:15">
      <c r="O155" s="156"/>
    </row>
    <row r="156" ht="37.35" customHeight="1" spans="15:15">
      <c r="O156" s="156"/>
    </row>
    <row r="157" ht="25.5" customHeight="1" spans="15:15">
      <c r="O157" s="156"/>
    </row>
    <row r="158" ht="37.35" customHeight="1" spans="15:15">
      <c r="O158" s="156"/>
    </row>
    <row r="159" ht="37.35" customHeight="1" spans="15:15">
      <c r="O159" s="156"/>
    </row>
    <row r="160" ht="37.35" customHeight="1" spans="15:15">
      <c r="O160" s="156"/>
    </row>
    <row r="161" ht="37.35" customHeight="1" spans="15:15">
      <c r="O161" s="156"/>
    </row>
    <row r="162" ht="25.5" customHeight="1" spans="15:15">
      <c r="O162" s="156"/>
    </row>
    <row r="163" ht="25.5" customHeight="1" spans="15:15">
      <c r="O163" s="156"/>
    </row>
    <row r="164" ht="37.35" customHeight="1" spans="15:15">
      <c r="O164" s="156"/>
    </row>
    <row r="165" ht="37.35" customHeight="1" spans="15:15">
      <c r="O165" s="156"/>
    </row>
    <row r="166" ht="37.35" customHeight="1" spans="15:15">
      <c r="O166" s="156"/>
    </row>
    <row r="167" ht="25.5" customHeight="1" spans="15:15">
      <c r="O167" s="156"/>
    </row>
    <row r="168" ht="25.5" customHeight="1" spans="15:15">
      <c r="O168" s="156"/>
    </row>
    <row r="169" ht="37.35" customHeight="1" spans="15:15">
      <c r="O169" s="156"/>
    </row>
    <row r="170" ht="37.35" customHeight="1" spans="15:15">
      <c r="O170" s="156"/>
    </row>
    <row r="171" ht="37.35" customHeight="1" spans="15:15">
      <c r="O171" s="156"/>
    </row>
    <row r="172" ht="25.5" customHeight="1" spans="15:15">
      <c r="O172" s="156"/>
    </row>
    <row r="173" ht="25.5" customHeight="1" spans="15:15">
      <c r="O173" s="156"/>
    </row>
    <row r="174" ht="25.5" customHeight="1" spans="15:15">
      <c r="O174" s="156"/>
    </row>
    <row r="175" ht="25.5" customHeight="1" spans="15:15">
      <c r="O175" s="156"/>
    </row>
    <row r="176" ht="25.5" customHeight="1" spans="15:15">
      <c r="O176" s="156"/>
    </row>
    <row r="177" ht="37.35" customHeight="1" spans="15:15">
      <c r="O177" s="156"/>
    </row>
    <row r="178" ht="37.35" customHeight="1" spans="15:15">
      <c r="O178" s="156"/>
    </row>
    <row r="179" ht="37.35" customHeight="1" spans="15:15">
      <c r="O179" s="156"/>
    </row>
    <row r="180" ht="25.5" customHeight="1" spans="15:15">
      <c r="O180" s="156"/>
    </row>
    <row r="181" ht="25.5" customHeight="1" spans="15:15">
      <c r="O181" s="156"/>
    </row>
    <row r="182" ht="25.5" customHeight="1" spans="15:15">
      <c r="O182" s="156"/>
    </row>
    <row r="183" ht="25.5" customHeight="1" spans="15:15">
      <c r="O183" s="156"/>
    </row>
    <row r="184" ht="25.5" customHeight="1" spans="15:15">
      <c r="O184" s="156"/>
    </row>
    <row r="185" ht="25.5" customHeight="1" spans="15:15">
      <c r="O185" s="156"/>
    </row>
    <row r="186" ht="25.5" customHeight="1" spans="15:15">
      <c r="O186" s="156"/>
    </row>
    <row r="187" ht="25.5" customHeight="1" spans="15:15">
      <c r="O187" s="156"/>
    </row>
    <row r="188" ht="25.5" customHeight="1" spans="15:15">
      <c r="O188" s="156"/>
    </row>
    <row r="189" ht="25.5" customHeight="1" spans="15:15">
      <c r="O189" s="156"/>
    </row>
    <row r="190" ht="25.5" customHeight="1" spans="15:15">
      <c r="O190" s="156"/>
    </row>
    <row r="191" ht="25.5" customHeight="1" spans="15:15">
      <c r="O191" s="156"/>
    </row>
    <row r="192" ht="37.35" customHeight="1" spans="15:15">
      <c r="O192" s="156"/>
    </row>
    <row r="193" ht="25.5" customHeight="1" spans="15:15">
      <c r="O193" s="156"/>
    </row>
    <row r="194" ht="37.35" customHeight="1" spans="15:15">
      <c r="O194" s="156"/>
    </row>
    <row r="195" ht="25.5" customHeight="1" spans="15:15">
      <c r="O195" s="156"/>
    </row>
    <row r="196" ht="37.35" customHeight="1" spans="15:15">
      <c r="O196" s="156"/>
    </row>
    <row r="197" ht="37.35" customHeight="1" spans="15:15">
      <c r="O197" s="156"/>
    </row>
    <row r="198" ht="11.1" customHeight="1" spans="15:15">
      <c r="O198" s="162"/>
    </row>
    <row r="199" ht="4.35" customHeight="1"/>
    <row r="200" ht="13.35" customHeight="1"/>
    <row r="201" ht="55.7" customHeight="1" spans="9:14">
      <c r="I201" s="163" t="s">
        <v>3</v>
      </c>
      <c r="J201" s="163"/>
      <c r="K201" s="163"/>
      <c r="L201" s="163"/>
      <c r="M201" s="163"/>
      <c r="N201" s="163"/>
    </row>
    <row r="202" ht="13.9" customHeight="1"/>
  </sheetData>
  <autoFilter ref="A24:P36">
    <extLst/>
  </autoFilter>
  <mergeCells count="44">
    <mergeCell ref="A1:N1"/>
    <mergeCell ref="A2:B2"/>
    <mergeCell ref="H2:I2"/>
    <mergeCell ref="A3:F3"/>
    <mergeCell ref="H3:J3"/>
    <mergeCell ref="A4:F4"/>
    <mergeCell ref="H4:J4"/>
    <mergeCell ref="A6:B6"/>
    <mergeCell ref="H6:I6"/>
    <mergeCell ref="A7:F7"/>
    <mergeCell ref="H7:J7"/>
    <mergeCell ref="A8:F8"/>
    <mergeCell ref="A9:F9"/>
    <mergeCell ref="A10:F10"/>
    <mergeCell ref="A12:B12"/>
    <mergeCell ref="H12:I12"/>
    <mergeCell ref="A13:F13"/>
    <mergeCell ref="H13:J13"/>
    <mergeCell ref="A14:F14"/>
    <mergeCell ref="A15:F15"/>
    <mergeCell ref="A16:F16"/>
    <mergeCell ref="A18:B18"/>
    <mergeCell ref="E18:F18"/>
    <mergeCell ref="A21:B21"/>
    <mergeCell ref="E21:G21"/>
    <mergeCell ref="A36:C36"/>
    <mergeCell ref="E38:J38"/>
    <mergeCell ref="H39:N39"/>
    <mergeCell ref="K40:M40"/>
    <mergeCell ref="I201:N20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</mergeCells>
  <printOptions horizontalCentered="1"/>
  <pageMargins left="0.236220472440945" right="0.236220472440945" top="0.31496062992126" bottom="0.15748031496063" header="0.5" footer="0.5"/>
  <pageSetup paperSize="9" scale="75" pageOrder="overThenDown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zoomScaleSheetLayoutView="60" topLeftCell="A28" workbookViewId="0">
      <selection activeCell="M50" sqref="M50"/>
    </sheetView>
  </sheetViews>
  <sheetFormatPr defaultColWidth="9" defaultRowHeight="14.25"/>
  <sheetData>
    <row r="1" ht="20.25" spans="1:9">
      <c r="A1" s="9" t="s">
        <v>92</v>
      </c>
      <c r="B1" s="9"/>
      <c r="C1" s="9"/>
      <c r="D1" s="9"/>
      <c r="E1" s="9"/>
      <c r="F1" s="9"/>
      <c r="G1" s="9"/>
      <c r="H1" s="10"/>
      <c r="I1" s="10"/>
    </row>
    <row r="2" ht="20.25" spans="1:9">
      <c r="A2" s="11"/>
      <c r="B2" s="11"/>
      <c r="C2" s="11"/>
      <c r="D2" s="11"/>
      <c r="E2" s="11"/>
      <c r="F2" s="11"/>
      <c r="G2" s="11"/>
      <c r="H2" s="10"/>
      <c r="I2" s="10"/>
    </row>
    <row r="3" spans="1:9">
      <c r="A3" s="12" t="s">
        <v>1</v>
      </c>
      <c r="B3" s="12"/>
      <c r="C3" s="13"/>
      <c r="D3" s="14"/>
      <c r="E3" s="15" t="s">
        <v>93</v>
      </c>
      <c r="F3" s="15"/>
      <c r="G3" s="15"/>
      <c r="H3" s="16"/>
      <c r="I3" s="81"/>
    </row>
    <row r="4" ht="15" spans="1:9">
      <c r="A4" s="17" t="s">
        <v>3</v>
      </c>
      <c r="B4" s="17"/>
      <c r="C4" s="17"/>
      <c r="D4" s="17"/>
      <c r="E4" s="18" t="s">
        <v>4</v>
      </c>
      <c r="F4" s="18"/>
      <c r="G4" s="18"/>
      <c r="H4" s="19"/>
      <c r="I4" s="82"/>
    </row>
    <row r="5" ht="15" spans="1:9">
      <c r="A5" s="17" t="s">
        <v>5</v>
      </c>
      <c r="B5" s="17"/>
      <c r="C5" s="17"/>
      <c r="D5" s="17"/>
      <c r="E5" s="18" t="s">
        <v>6</v>
      </c>
      <c r="F5" s="18"/>
      <c r="G5" s="18"/>
      <c r="H5" s="19"/>
      <c r="I5" s="82"/>
    </row>
    <row r="6" ht="15" spans="1:9">
      <c r="A6" s="20"/>
      <c r="B6" s="21"/>
      <c r="C6" s="21"/>
      <c r="D6" s="22"/>
      <c r="E6" s="20"/>
      <c r="F6" s="21"/>
      <c r="G6" s="23"/>
      <c r="H6" s="24"/>
      <c r="I6" s="83"/>
    </row>
    <row r="7" ht="15" spans="1:9">
      <c r="A7" s="12" t="s">
        <v>7</v>
      </c>
      <c r="B7" s="12"/>
      <c r="C7" s="13"/>
      <c r="D7" s="14"/>
      <c r="E7" s="12" t="s">
        <v>94</v>
      </c>
      <c r="F7" s="25"/>
      <c r="G7" s="26"/>
      <c r="H7" s="27"/>
      <c r="I7" s="84"/>
    </row>
    <row r="8" ht="15" spans="1:9">
      <c r="A8" s="17" t="s">
        <v>9</v>
      </c>
      <c r="B8" s="17"/>
      <c r="C8" s="17"/>
      <c r="D8" s="17"/>
      <c r="E8" s="28"/>
      <c r="F8" s="29"/>
      <c r="G8" s="30"/>
      <c r="H8" s="19"/>
      <c r="I8" s="82"/>
    </row>
    <row r="9" ht="15" spans="1:9">
      <c r="A9" s="17" t="s">
        <v>11</v>
      </c>
      <c r="B9" s="17"/>
      <c r="C9" s="17"/>
      <c r="D9" s="17"/>
      <c r="E9" s="28"/>
      <c r="F9" s="29"/>
      <c r="G9" s="30"/>
      <c r="H9" s="19"/>
      <c r="I9" s="82"/>
    </row>
    <row r="10" ht="15" spans="1:9">
      <c r="A10" s="31"/>
      <c r="B10" s="31"/>
      <c r="C10" s="31"/>
      <c r="D10" s="31"/>
      <c r="E10" s="28"/>
      <c r="F10" s="29"/>
      <c r="G10" s="30"/>
      <c r="H10" s="19"/>
      <c r="I10" s="82"/>
    </row>
    <row r="11" ht="15" spans="1:9">
      <c r="A11" s="32"/>
      <c r="B11" s="32"/>
      <c r="C11" s="32"/>
      <c r="D11" s="32"/>
      <c r="E11" s="28"/>
      <c r="F11" s="29"/>
      <c r="G11" s="30"/>
      <c r="H11" s="19"/>
      <c r="I11" s="82"/>
    </row>
    <row r="12" ht="15" spans="1:9">
      <c r="A12" s="12" t="s">
        <v>12</v>
      </c>
      <c r="B12" s="12"/>
      <c r="C12" s="13"/>
      <c r="D12" s="14"/>
      <c r="E12" s="33"/>
      <c r="F12" s="29"/>
      <c r="G12" s="30"/>
      <c r="H12" s="19"/>
      <c r="I12" s="82"/>
    </row>
    <row r="13" ht="15" spans="1:9">
      <c r="A13" s="17" t="s">
        <v>14</v>
      </c>
      <c r="B13" s="17"/>
      <c r="C13" s="17"/>
      <c r="D13" s="17"/>
      <c r="E13" s="28"/>
      <c r="F13" s="29"/>
      <c r="G13" s="30"/>
      <c r="H13" s="19"/>
      <c r="I13" s="82"/>
    </row>
    <row r="14" ht="15" spans="1:9">
      <c r="A14" s="17" t="s">
        <v>16</v>
      </c>
      <c r="B14" s="17"/>
      <c r="C14" s="17"/>
      <c r="D14" s="17"/>
      <c r="E14" s="28"/>
      <c r="F14" s="29"/>
      <c r="G14" s="30"/>
      <c r="H14" s="19"/>
      <c r="I14" s="82"/>
    </row>
    <row r="15" ht="15" spans="1:9">
      <c r="A15" s="17" t="s">
        <v>14</v>
      </c>
      <c r="B15" s="17"/>
      <c r="C15" s="17"/>
      <c r="D15" s="17"/>
      <c r="E15" s="28"/>
      <c r="F15" s="29"/>
      <c r="G15" s="30"/>
      <c r="H15" s="19"/>
      <c r="I15" s="82"/>
    </row>
    <row r="16" ht="15" spans="1:9">
      <c r="A16" s="34" t="s">
        <v>18</v>
      </c>
      <c r="B16" s="35"/>
      <c r="C16" s="35"/>
      <c r="D16" s="36"/>
      <c r="E16" s="28"/>
      <c r="F16" s="29"/>
      <c r="G16" s="30"/>
      <c r="H16" s="19"/>
      <c r="I16" s="82"/>
    </row>
    <row r="17" ht="15" spans="1:9">
      <c r="A17" s="12" t="s">
        <v>95</v>
      </c>
      <c r="B17" s="12"/>
      <c r="C17" s="13"/>
      <c r="D17" s="37" t="s">
        <v>96</v>
      </c>
      <c r="E17" s="28"/>
      <c r="F17" s="29"/>
      <c r="G17" s="30"/>
      <c r="H17" s="19"/>
      <c r="I17" s="82"/>
    </row>
    <row r="18" ht="15" spans="1:9">
      <c r="A18" s="20"/>
      <c r="B18" s="21"/>
      <c r="C18" s="21"/>
      <c r="D18" s="22"/>
      <c r="E18" s="33"/>
      <c r="F18" s="29"/>
      <c r="G18" s="30"/>
      <c r="H18" s="19"/>
      <c r="I18" s="82"/>
    </row>
    <row r="19" ht="22.5" spans="1:9">
      <c r="A19" s="12" t="s">
        <v>22</v>
      </c>
      <c r="B19" s="13"/>
      <c r="C19" s="13"/>
      <c r="D19" s="37" t="s">
        <v>23</v>
      </c>
      <c r="E19" s="28"/>
      <c r="F19" s="29"/>
      <c r="G19" s="30"/>
      <c r="H19" s="19"/>
      <c r="I19" s="82"/>
    </row>
    <row r="20" ht="15" spans="1:9">
      <c r="A20" s="20"/>
      <c r="B20" s="21"/>
      <c r="C20" s="21"/>
      <c r="D20" s="22"/>
      <c r="E20" s="20"/>
      <c r="F20" s="21"/>
      <c r="G20" s="23"/>
      <c r="H20" s="24"/>
      <c r="I20" s="83"/>
    </row>
    <row r="21" ht="22.5" spans="1:9">
      <c r="A21" s="38" t="s">
        <v>97</v>
      </c>
      <c r="B21" s="39" t="s">
        <v>28</v>
      </c>
      <c r="C21" s="39" t="s">
        <v>27</v>
      </c>
      <c r="D21" s="38" t="s">
        <v>98</v>
      </c>
      <c r="E21" s="39" t="s">
        <v>99</v>
      </c>
      <c r="F21" s="39" t="s">
        <v>31</v>
      </c>
      <c r="G21" s="38" t="s">
        <v>100</v>
      </c>
      <c r="H21" s="38" t="s">
        <v>101</v>
      </c>
      <c r="I21" s="38" t="s">
        <v>102</v>
      </c>
    </row>
    <row r="22" spans="1:9">
      <c r="A22" s="38"/>
      <c r="B22" s="39"/>
      <c r="C22" s="39"/>
      <c r="D22" s="38"/>
      <c r="E22" s="39"/>
      <c r="F22" s="39"/>
      <c r="G22" s="38"/>
      <c r="H22" s="38"/>
      <c r="I22" s="39" t="s">
        <v>103</v>
      </c>
    </row>
    <row r="23" spans="1:9">
      <c r="A23" s="40" t="s">
        <v>104</v>
      </c>
      <c r="B23" s="40" t="s">
        <v>50</v>
      </c>
      <c r="C23" s="40" t="s">
        <v>49</v>
      </c>
      <c r="D23" s="40" t="s">
        <v>42</v>
      </c>
      <c r="E23" s="41">
        <v>4800</v>
      </c>
      <c r="F23" s="42" t="s">
        <v>43</v>
      </c>
      <c r="G23" s="43">
        <v>5.838</v>
      </c>
      <c r="H23" s="44">
        <v>7.05</v>
      </c>
      <c r="I23" s="85" t="s">
        <v>105</v>
      </c>
    </row>
    <row r="24" spans="1:9">
      <c r="A24" s="40" t="s">
        <v>106</v>
      </c>
      <c r="B24" s="40" t="s">
        <v>50</v>
      </c>
      <c r="C24" s="40" t="s">
        <v>49</v>
      </c>
      <c r="D24" s="40" t="s">
        <v>42</v>
      </c>
      <c r="E24" s="41">
        <v>4800</v>
      </c>
      <c r="F24" s="42" t="s">
        <v>43</v>
      </c>
      <c r="G24" s="43">
        <v>5.838</v>
      </c>
      <c r="H24" s="44">
        <v>7.05</v>
      </c>
      <c r="I24" s="86"/>
    </row>
    <row r="25" spans="1:9">
      <c r="A25" s="40" t="s">
        <v>107</v>
      </c>
      <c r="B25" s="40" t="s">
        <v>50</v>
      </c>
      <c r="C25" s="40" t="s">
        <v>49</v>
      </c>
      <c r="D25" s="40" t="s">
        <v>42</v>
      </c>
      <c r="E25" s="41">
        <v>4800</v>
      </c>
      <c r="F25" s="42" t="s">
        <v>43</v>
      </c>
      <c r="G25" s="43">
        <v>5.838</v>
      </c>
      <c r="H25" s="44">
        <v>7.05</v>
      </c>
      <c r="I25" s="86"/>
    </row>
    <row r="26" spans="1:9">
      <c r="A26" s="40" t="s">
        <v>108</v>
      </c>
      <c r="B26" s="40" t="s">
        <v>50</v>
      </c>
      <c r="C26" s="40" t="s">
        <v>49</v>
      </c>
      <c r="D26" s="40" t="s">
        <v>42</v>
      </c>
      <c r="E26" s="41">
        <v>4800</v>
      </c>
      <c r="F26" s="42" t="s">
        <v>43</v>
      </c>
      <c r="G26" s="43">
        <v>5.838</v>
      </c>
      <c r="H26" s="44">
        <v>7.05</v>
      </c>
      <c r="I26" s="86"/>
    </row>
    <row r="27" spans="1:9">
      <c r="A27" s="40" t="s">
        <v>109</v>
      </c>
      <c r="B27" s="40" t="s">
        <v>50</v>
      </c>
      <c r="C27" s="40" t="s">
        <v>49</v>
      </c>
      <c r="D27" s="40" t="s">
        <v>42</v>
      </c>
      <c r="E27" s="41">
        <v>4000</v>
      </c>
      <c r="F27" s="42" t="s">
        <v>43</v>
      </c>
      <c r="G27" s="43">
        <v>4.865</v>
      </c>
      <c r="H27" s="44">
        <v>6.1</v>
      </c>
      <c r="I27" s="86"/>
    </row>
    <row r="28" spans="1:9">
      <c r="A28" s="40" t="s">
        <v>110</v>
      </c>
      <c r="B28" s="40" t="s">
        <v>73</v>
      </c>
      <c r="C28" s="40" t="s">
        <v>72</v>
      </c>
      <c r="D28" s="40" t="s">
        <v>42</v>
      </c>
      <c r="E28" s="41">
        <v>350</v>
      </c>
      <c r="F28" s="42" t="s">
        <v>43</v>
      </c>
      <c r="G28" s="43">
        <v>0.946</v>
      </c>
      <c r="H28" s="44">
        <v>2.2</v>
      </c>
      <c r="I28" s="86"/>
    </row>
    <row r="29" spans="1:9">
      <c r="A29" s="40" t="s">
        <v>111</v>
      </c>
      <c r="B29" s="40" t="s">
        <v>50</v>
      </c>
      <c r="C29" s="40" t="s">
        <v>49</v>
      </c>
      <c r="D29" s="40" t="s">
        <v>42</v>
      </c>
      <c r="E29" s="41">
        <v>3200</v>
      </c>
      <c r="F29" s="42" t="s">
        <v>43</v>
      </c>
      <c r="G29" s="43">
        <v>3.892</v>
      </c>
      <c r="H29" s="44">
        <v>5.1</v>
      </c>
      <c r="I29" s="86"/>
    </row>
    <row r="30" spans="1:9">
      <c r="A30" s="40" t="s">
        <v>112</v>
      </c>
      <c r="B30" s="40" t="s">
        <v>50</v>
      </c>
      <c r="C30" s="40" t="s">
        <v>49</v>
      </c>
      <c r="D30" s="40" t="s">
        <v>42</v>
      </c>
      <c r="E30" s="41">
        <v>4800</v>
      </c>
      <c r="F30" s="42" t="s">
        <v>43</v>
      </c>
      <c r="G30" s="43">
        <v>5.838</v>
      </c>
      <c r="H30" s="44">
        <v>7.1</v>
      </c>
      <c r="I30" s="86"/>
    </row>
    <row r="31" spans="1:9">
      <c r="A31" s="40" t="s">
        <v>113</v>
      </c>
      <c r="B31" s="40" t="s">
        <v>50</v>
      </c>
      <c r="C31" s="40" t="s">
        <v>49</v>
      </c>
      <c r="D31" s="40" t="s">
        <v>42</v>
      </c>
      <c r="E31" s="41">
        <v>3200</v>
      </c>
      <c r="F31" s="42" t="s">
        <v>43</v>
      </c>
      <c r="G31" s="43">
        <v>3.892</v>
      </c>
      <c r="H31" s="44">
        <v>5.1</v>
      </c>
      <c r="I31" s="86"/>
    </row>
    <row r="32" spans="1:9">
      <c r="A32" s="40" t="s">
        <v>114</v>
      </c>
      <c r="B32" s="40" t="s">
        <v>50</v>
      </c>
      <c r="C32" s="40" t="s">
        <v>49</v>
      </c>
      <c r="D32" s="40" t="s">
        <v>42</v>
      </c>
      <c r="E32" s="41">
        <v>3200</v>
      </c>
      <c r="F32" s="42" t="s">
        <v>43</v>
      </c>
      <c r="G32" s="43">
        <v>3.892</v>
      </c>
      <c r="H32" s="44">
        <v>5.2</v>
      </c>
      <c r="I32" s="86"/>
    </row>
    <row r="33" spans="1:9">
      <c r="A33" s="40" t="s">
        <v>115</v>
      </c>
      <c r="B33" s="40" t="s">
        <v>41</v>
      </c>
      <c r="C33" s="40" t="s">
        <v>40</v>
      </c>
      <c r="D33" s="40" t="s">
        <v>42</v>
      </c>
      <c r="E33" s="41">
        <v>700</v>
      </c>
      <c r="F33" s="42" t="s">
        <v>43</v>
      </c>
      <c r="G33" s="43">
        <v>2.796</v>
      </c>
      <c r="H33" s="44">
        <v>3.75</v>
      </c>
      <c r="I33" s="86"/>
    </row>
    <row r="34" spans="1:9">
      <c r="A34" s="40" t="s">
        <v>116</v>
      </c>
      <c r="B34" s="40" t="s">
        <v>73</v>
      </c>
      <c r="C34" s="40" t="s">
        <v>72</v>
      </c>
      <c r="D34" s="40" t="s">
        <v>42</v>
      </c>
      <c r="E34" s="41">
        <v>3500</v>
      </c>
      <c r="F34" s="42" t="s">
        <v>43</v>
      </c>
      <c r="G34" s="43">
        <v>9.46</v>
      </c>
      <c r="H34" s="44">
        <v>12.2</v>
      </c>
      <c r="I34" s="86"/>
    </row>
    <row r="35" spans="1:9">
      <c r="A35" s="40" t="s">
        <v>117</v>
      </c>
      <c r="B35" s="40" t="s">
        <v>73</v>
      </c>
      <c r="C35" s="40" t="s">
        <v>72</v>
      </c>
      <c r="D35" s="40" t="s">
        <v>42</v>
      </c>
      <c r="E35" s="41">
        <v>3500</v>
      </c>
      <c r="F35" s="42" t="s">
        <v>43</v>
      </c>
      <c r="G35" s="43">
        <v>9.46</v>
      </c>
      <c r="H35" s="44">
        <v>12.2</v>
      </c>
      <c r="I35" s="86"/>
    </row>
    <row r="36" spans="1:9">
      <c r="A36" s="40" t="s">
        <v>118</v>
      </c>
      <c r="B36" s="40" t="s">
        <v>73</v>
      </c>
      <c r="C36" s="40" t="s">
        <v>72</v>
      </c>
      <c r="D36" s="40" t="s">
        <v>42</v>
      </c>
      <c r="E36" s="41">
        <v>1050</v>
      </c>
      <c r="F36" s="42" t="s">
        <v>43</v>
      </c>
      <c r="G36" s="43">
        <v>2.838</v>
      </c>
      <c r="H36" s="44">
        <v>4.05</v>
      </c>
      <c r="I36" s="86"/>
    </row>
    <row r="37" spans="1:9">
      <c r="A37" s="40" t="s">
        <v>119</v>
      </c>
      <c r="B37" s="40" t="s">
        <v>76</v>
      </c>
      <c r="C37" s="40" t="s">
        <v>75</v>
      </c>
      <c r="D37" s="40" t="s">
        <v>77</v>
      </c>
      <c r="E37" s="41">
        <v>300</v>
      </c>
      <c r="F37" s="42" t="s">
        <v>43</v>
      </c>
      <c r="G37" s="43">
        <v>6.855</v>
      </c>
      <c r="H37" s="44">
        <v>7.65</v>
      </c>
      <c r="I37" s="86"/>
    </row>
    <row r="38" spans="1:9">
      <c r="A38" s="40" t="s">
        <v>120</v>
      </c>
      <c r="B38" s="40" t="s">
        <v>76</v>
      </c>
      <c r="C38" s="40" t="s">
        <v>75</v>
      </c>
      <c r="D38" s="40" t="s">
        <v>77</v>
      </c>
      <c r="E38" s="41">
        <v>180</v>
      </c>
      <c r="F38" s="42" t="s">
        <v>43</v>
      </c>
      <c r="G38" s="43">
        <v>4.113</v>
      </c>
      <c r="H38" s="44">
        <v>5.15</v>
      </c>
      <c r="I38" s="86"/>
    </row>
    <row r="39" spans="1:9">
      <c r="A39" s="40" t="s">
        <v>121</v>
      </c>
      <c r="B39" s="40" t="s">
        <v>53</v>
      </c>
      <c r="C39" s="40" t="s">
        <v>52</v>
      </c>
      <c r="D39" s="40" t="s">
        <v>54</v>
      </c>
      <c r="E39" s="41">
        <v>3000</v>
      </c>
      <c r="F39" s="42" t="s">
        <v>43</v>
      </c>
      <c r="G39" s="43">
        <v>0.091</v>
      </c>
      <c r="H39" s="44">
        <v>0.45</v>
      </c>
      <c r="I39" s="86"/>
    </row>
    <row r="40" spans="1:9">
      <c r="A40" s="40" t="s">
        <v>122</v>
      </c>
      <c r="B40" s="40" t="s">
        <v>64</v>
      </c>
      <c r="C40" s="40" t="s">
        <v>63</v>
      </c>
      <c r="D40" s="40" t="s">
        <v>65</v>
      </c>
      <c r="E40" s="41">
        <v>18000</v>
      </c>
      <c r="F40" s="42" t="s">
        <v>43</v>
      </c>
      <c r="G40" s="43">
        <v>0.996</v>
      </c>
      <c r="H40" s="44">
        <v>1.4</v>
      </c>
      <c r="I40" s="86"/>
    </row>
    <row r="41" spans="1:9">
      <c r="A41" s="40" t="s">
        <v>123</v>
      </c>
      <c r="B41" s="40" t="s">
        <v>69</v>
      </c>
      <c r="C41" s="40" t="s">
        <v>68</v>
      </c>
      <c r="D41" s="40" t="s">
        <v>70</v>
      </c>
      <c r="E41" s="41">
        <v>3000</v>
      </c>
      <c r="F41" s="42" t="s">
        <v>43</v>
      </c>
      <c r="G41" s="43">
        <v>0.003</v>
      </c>
      <c r="H41" s="44">
        <v>0.4</v>
      </c>
      <c r="I41" s="86"/>
    </row>
    <row r="42" spans="1:9">
      <c r="A42" s="40" t="s">
        <v>124</v>
      </c>
      <c r="B42" s="40" t="s">
        <v>86</v>
      </c>
      <c r="C42" s="40" t="s">
        <v>85</v>
      </c>
      <c r="D42" s="40" t="s">
        <v>54</v>
      </c>
      <c r="E42" s="41">
        <v>3000</v>
      </c>
      <c r="F42" s="42" t="s">
        <v>43</v>
      </c>
      <c r="G42" s="43">
        <v>0.039</v>
      </c>
      <c r="H42" s="44">
        <v>0.4</v>
      </c>
      <c r="I42" s="86"/>
    </row>
    <row r="43" spans="1:9">
      <c r="A43" s="40" t="s">
        <v>125</v>
      </c>
      <c r="B43" s="40" t="s">
        <v>58</v>
      </c>
      <c r="C43" s="40" t="s">
        <v>57</v>
      </c>
      <c r="D43" s="40" t="s">
        <v>54</v>
      </c>
      <c r="E43" s="41">
        <v>6000</v>
      </c>
      <c r="F43" s="42" t="s">
        <v>43</v>
      </c>
      <c r="G43" s="43">
        <v>0.18</v>
      </c>
      <c r="H43" s="44">
        <v>0.45</v>
      </c>
      <c r="I43" s="86"/>
    </row>
    <row r="44" spans="1:9">
      <c r="A44" s="40" t="s">
        <v>126</v>
      </c>
      <c r="B44" s="40" t="s">
        <v>61</v>
      </c>
      <c r="C44" s="40" t="s">
        <v>60</v>
      </c>
      <c r="D44" s="40" t="s">
        <v>54</v>
      </c>
      <c r="E44" s="41">
        <v>3000</v>
      </c>
      <c r="F44" s="42" t="s">
        <v>43</v>
      </c>
      <c r="G44" s="43">
        <v>0.177</v>
      </c>
      <c r="H44" s="44">
        <v>0.45</v>
      </c>
      <c r="I44" s="86"/>
    </row>
    <row r="45" spans="1:9">
      <c r="A45" s="40" t="s">
        <v>127</v>
      </c>
      <c r="B45" s="40" t="s">
        <v>81</v>
      </c>
      <c r="C45" s="40" t="s">
        <v>80</v>
      </c>
      <c r="D45" s="40" t="s">
        <v>65</v>
      </c>
      <c r="E45" s="41">
        <v>3000</v>
      </c>
      <c r="F45" s="42" t="s">
        <v>43</v>
      </c>
      <c r="G45" s="43">
        <v>0.163</v>
      </c>
      <c r="H45" s="44">
        <v>0.5</v>
      </c>
      <c r="I45" s="87"/>
    </row>
    <row r="46" spans="1:9">
      <c r="A46" s="45" t="s">
        <v>128</v>
      </c>
      <c r="B46" s="46"/>
      <c r="C46" s="46"/>
      <c r="D46" s="47"/>
      <c r="E46" s="41"/>
      <c r="F46" s="42"/>
      <c r="G46" s="43"/>
      <c r="H46" s="44">
        <v>18.95</v>
      </c>
      <c r="I46" s="88"/>
    </row>
    <row r="47" spans="1:9">
      <c r="A47" s="48">
        <v>23</v>
      </c>
      <c r="B47" s="49"/>
      <c r="C47" s="50"/>
      <c r="D47" s="38" t="s">
        <v>129</v>
      </c>
      <c r="E47" s="51">
        <v>86180</v>
      </c>
      <c r="F47" s="52"/>
      <c r="G47" s="53">
        <v>83.848</v>
      </c>
      <c r="H47" s="54">
        <v>127</v>
      </c>
      <c r="I47" s="87">
        <f>120*100*114/1000000</f>
        <v>1.368</v>
      </c>
    </row>
    <row r="48" ht="15" spans="1:9">
      <c r="A48" s="55"/>
      <c r="B48" s="55"/>
      <c r="C48" s="56"/>
      <c r="D48" s="56"/>
      <c r="E48" s="56"/>
      <c r="F48" s="56"/>
      <c r="G48" s="57"/>
      <c r="H48" s="57"/>
      <c r="I48" s="89"/>
    </row>
    <row r="49" ht="15" spans="1:9">
      <c r="A49" s="58"/>
      <c r="B49" s="59" t="s">
        <v>90</v>
      </c>
      <c r="C49" s="58"/>
      <c r="D49" s="60" t="s">
        <v>91</v>
      </c>
      <c r="E49" s="60"/>
      <c r="F49" s="60"/>
      <c r="G49" s="61"/>
      <c r="H49" s="61"/>
      <c r="I49" s="90"/>
    </row>
    <row r="50" ht="15" spans="1:9">
      <c r="A50" s="62"/>
      <c r="B50" s="62"/>
      <c r="C50" s="63"/>
      <c r="D50" s="60" t="s">
        <v>130</v>
      </c>
      <c r="E50" s="64">
        <v>1</v>
      </c>
      <c r="F50" s="61"/>
      <c r="G50" s="61"/>
      <c r="H50" s="61"/>
      <c r="I50" s="90"/>
    </row>
    <row r="51" ht="15" spans="1:9">
      <c r="A51" s="62"/>
      <c r="B51" s="62"/>
      <c r="C51" s="63"/>
      <c r="D51" s="60" t="s">
        <v>131</v>
      </c>
      <c r="E51" s="65" t="s">
        <v>132</v>
      </c>
      <c r="F51" s="61"/>
      <c r="G51" s="61"/>
      <c r="H51" s="61"/>
      <c r="I51" s="90"/>
    </row>
    <row r="52" ht="15" spans="1:9">
      <c r="A52" s="62"/>
      <c r="B52" s="62"/>
      <c r="C52" s="63"/>
      <c r="D52" s="60" t="s">
        <v>133</v>
      </c>
      <c r="E52" s="65" t="s">
        <v>134</v>
      </c>
      <c r="F52" s="61"/>
      <c r="G52" s="61"/>
      <c r="H52" s="61"/>
      <c r="I52" s="90"/>
    </row>
    <row r="53" ht="15" spans="1:9">
      <c r="A53" s="62"/>
      <c r="B53" s="62"/>
      <c r="C53" s="63"/>
      <c r="D53" s="66" t="s">
        <v>3</v>
      </c>
      <c r="E53" s="66"/>
      <c r="F53" s="66"/>
      <c r="G53" s="66"/>
      <c r="H53" s="66"/>
      <c r="I53" s="91"/>
    </row>
    <row r="54" spans="1:9">
      <c r="A54" s="67"/>
      <c r="B54" s="68"/>
      <c r="C54" s="68"/>
      <c r="D54" s="68"/>
      <c r="E54" s="69"/>
      <c r="F54" s="69"/>
      <c r="G54" s="70"/>
      <c r="H54" s="70"/>
      <c r="I54" s="92"/>
    </row>
    <row r="55" spans="1:9">
      <c r="A55" s="71" t="s">
        <v>135</v>
      </c>
      <c r="B55" s="39" t="s">
        <v>136</v>
      </c>
      <c r="C55" s="39" t="s">
        <v>137</v>
      </c>
      <c r="D55" s="72" t="s">
        <v>138</v>
      </c>
      <c r="E55" s="73" t="s">
        <v>139</v>
      </c>
      <c r="F55" s="73"/>
      <c r="G55" s="70"/>
      <c r="H55" s="70"/>
      <c r="I55" s="92"/>
    </row>
    <row r="56" ht="55.5" customHeight="1" spans="1:9">
      <c r="A56" s="74" t="s">
        <v>140</v>
      </c>
      <c r="B56" s="42" t="s">
        <v>105</v>
      </c>
      <c r="C56" s="75">
        <v>127</v>
      </c>
      <c r="D56" s="76">
        <v>23</v>
      </c>
      <c r="E56" s="77" t="s">
        <v>141</v>
      </c>
      <c r="F56" s="77"/>
      <c r="G56" s="70"/>
      <c r="H56" s="70"/>
      <c r="I56" s="92"/>
    </row>
    <row r="57" spans="4:9">
      <c r="D57" s="78"/>
      <c r="E57" s="78"/>
      <c r="F57" s="78"/>
      <c r="G57" s="78"/>
      <c r="H57" s="78"/>
      <c r="I57" s="93"/>
    </row>
    <row r="58" ht="78.75" customHeight="1" spans="1:9">
      <c r="A58" s="79" t="s">
        <v>142</v>
      </c>
      <c r="B58" s="80"/>
      <c r="C58" s="80" t="s">
        <v>143</v>
      </c>
      <c r="D58" s="80"/>
      <c r="E58" s="80"/>
      <c r="F58" s="80"/>
      <c r="G58" s="80"/>
      <c r="H58" s="80"/>
      <c r="I58" s="94"/>
    </row>
  </sheetData>
  <mergeCells count="35">
    <mergeCell ref="A1:G1"/>
    <mergeCell ref="A2:G2"/>
    <mergeCell ref="A3:B3"/>
    <mergeCell ref="E3:G3"/>
    <mergeCell ref="A4:D4"/>
    <mergeCell ref="E4:G4"/>
    <mergeCell ref="A5:D5"/>
    <mergeCell ref="E5:G5"/>
    <mergeCell ref="A7:B7"/>
    <mergeCell ref="A8:D8"/>
    <mergeCell ref="A9:D9"/>
    <mergeCell ref="A10:D10"/>
    <mergeCell ref="A11:D11"/>
    <mergeCell ref="A12:B12"/>
    <mergeCell ref="A13:D13"/>
    <mergeCell ref="A14:D14"/>
    <mergeCell ref="A15:D15"/>
    <mergeCell ref="A17:B17"/>
    <mergeCell ref="A46:D46"/>
    <mergeCell ref="D49:F49"/>
    <mergeCell ref="D53:I53"/>
    <mergeCell ref="E55:F55"/>
    <mergeCell ref="E56:F56"/>
    <mergeCell ref="A58:B58"/>
    <mergeCell ref="C58:I58"/>
    <mergeCell ref="A21:A22"/>
    <mergeCell ref="B21:B22"/>
    <mergeCell ref="C21:C22"/>
    <mergeCell ref="D21:D22"/>
    <mergeCell ref="E21:E22"/>
    <mergeCell ref="F21:F22"/>
    <mergeCell ref="G21:G22"/>
    <mergeCell ref="H21:H22"/>
    <mergeCell ref="I23:I45"/>
    <mergeCell ref="H1:I2"/>
  </mergeCells>
  <pageMargins left="0.7" right="0.7" top="0.75" bottom="0.75" header="0.3" footer="0.3"/>
  <pageSetup paperSize="9" scale="73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view="pageBreakPreview" zoomScale="60" zoomScaleNormal="100" workbookViewId="0">
      <selection activeCell="F27" sqref="F27:F28"/>
    </sheetView>
  </sheetViews>
  <sheetFormatPr defaultColWidth="9" defaultRowHeight="14.25" outlineLevelCol="7"/>
  <cols>
    <col min="1" max="1" width="33.875" style="1" customWidth="1"/>
    <col min="2" max="2" width="14.625" style="1" customWidth="1"/>
    <col min="3" max="3" width="21.375" style="1" customWidth="1"/>
    <col min="4" max="4" width="20" style="1" customWidth="1"/>
    <col min="5" max="5" width="18.5" style="1" customWidth="1"/>
    <col min="6" max="6" width="11.5" style="1" customWidth="1"/>
    <col min="7" max="7" width="13.875" style="1" customWidth="1"/>
    <col min="8" max="8" width="14.25" style="1" customWidth="1"/>
  </cols>
  <sheetData>
    <row r="1" ht="21.75" customHeight="1" spans="1:8">
      <c r="A1" s="2" t="s">
        <v>144</v>
      </c>
      <c r="B1" s="3" t="s">
        <v>145</v>
      </c>
      <c r="C1" s="3" t="s">
        <v>146</v>
      </c>
      <c r="D1" s="3" t="s">
        <v>147</v>
      </c>
      <c r="E1" s="2" t="s">
        <v>148</v>
      </c>
      <c r="F1" s="2" t="s">
        <v>149</v>
      </c>
      <c r="G1" s="3" t="s">
        <v>150</v>
      </c>
      <c r="H1" s="3" t="s">
        <v>151</v>
      </c>
    </row>
    <row r="2" ht="15" spans="1:8">
      <c r="A2" s="4" t="s">
        <v>88</v>
      </c>
      <c r="B2" s="4" t="s">
        <v>85</v>
      </c>
      <c r="C2" s="4">
        <v>3000</v>
      </c>
      <c r="D2" s="4">
        <v>0.00541</v>
      </c>
      <c r="E2" s="4">
        <f>C2*D2</f>
        <v>16.23</v>
      </c>
      <c r="F2" s="4">
        <v>0.039</v>
      </c>
      <c r="G2" s="4" t="s">
        <v>87</v>
      </c>
      <c r="H2" s="4" t="s">
        <v>152</v>
      </c>
    </row>
    <row r="3" ht="15" spans="1:8">
      <c r="A3" s="4" t="s">
        <v>79</v>
      </c>
      <c r="B3" s="4" t="s">
        <v>75</v>
      </c>
      <c r="C3" s="4">
        <v>480</v>
      </c>
      <c r="D3" s="4">
        <v>3</v>
      </c>
      <c r="E3" s="4">
        <f t="shared" ref="E3:E12" si="0">C3*D3</f>
        <v>1440</v>
      </c>
      <c r="F3" s="4">
        <v>10.968</v>
      </c>
      <c r="G3" s="4" t="s">
        <v>153</v>
      </c>
      <c r="H3" s="4" t="s">
        <v>154</v>
      </c>
    </row>
    <row r="4" ht="15" spans="1:8">
      <c r="A4" s="4" t="s">
        <v>67</v>
      </c>
      <c r="B4" s="4" t="s">
        <v>63</v>
      </c>
      <c r="C4" s="4">
        <v>18000</v>
      </c>
      <c r="D4" s="4">
        <v>0.082</v>
      </c>
      <c r="E4" s="4">
        <f t="shared" si="0"/>
        <v>1476</v>
      </c>
      <c r="F4" s="4">
        <v>0.996</v>
      </c>
      <c r="G4" s="4" t="s">
        <v>155</v>
      </c>
      <c r="H4" s="4" t="s">
        <v>156</v>
      </c>
    </row>
    <row r="5" ht="15" spans="1:8">
      <c r="A5" s="4" t="s">
        <v>59</v>
      </c>
      <c r="B5" s="4" t="s">
        <v>57</v>
      </c>
      <c r="C5" s="4">
        <v>6000</v>
      </c>
      <c r="D5" s="4">
        <v>0.00392</v>
      </c>
      <c r="E5" s="4">
        <f t="shared" si="0"/>
        <v>23.52</v>
      </c>
      <c r="F5" s="4">
        <v>0.18</v>
      </c>
      <c r="G5" s="4" t="s">
        <v>55</v>
      </c>
      <c r="H5" s="4" t="s">
        <v>152</v>
      </c>
    </row>
    <row r="6" ht="15" spans="1:8">
      <c r="A6" s="4" t="s">
        <v>56</v>
      </c>
      <c r="B6" s="4" t="s">
        <v>52</v>
      </c>
      <c r="C6" s="4">
        <v>3000</v>
      </c>
      <c r="D6" s="4">
        <v>0.0051</v>
      </c>
      <c r="E6" s="4">
        <f t="shared" si="0"/>
        <v>15.3</v>
      </c>
      <c r="F6" s="4">
        <v>0.091</v>
      </c>
      <c r="G6" s="4" t="s">
        <v>55</v>
      </c>
      <c r="H6" s="4" t="s">
        <v>152</v>
      </c>
    </row>
    <row r="7" ht="15" spans="1:8">
      <c r="A7" s="4" t="s">
        <v>71</v>
      </c>
      <c r="B7" s="4" t="s">
        <v>68</v>
      </c>
      <c r="C7" s="4">
        <v>3000</v>
      </c>
      <c r="D7" s="4">
        <v>0.0026</v>
      </c>
      <c r="E7" s="4">
        <f t="shared" si="0"/>
        <v>7.8</v>
      </c>
      <c r="F7" s="4">
        <v>0.003</v>
      </c>
      <c r="G7" s="4" t="s">
        <v>55</v>
      </c>
      <c r="H7" s="4" t="s">
        <v>157</v>
      </c>
    </row>
    <row r="8" ht="15" spans="1:8">
      <c r="A8" s="4" t="s">
        <v>51</v>
      </c>
      <c r="B8" s="4" t="s">
        <v>49</v>
      </c>
      <c r="C8" s="4">
        <v>37600</v>
      </c>
      <c r="D8" s="4">
        <v>0.1136</v>
      </c>
      <c r="E8" s="4">
        <f t="shared" si="0"/>
        <v>4271.36</v>
      </c>
      <c r="F8" s="4">
        <v>45.731</v>
      </c>
      <c r="G8" s="4" t="s">
        <v>46</v>
      </c>
      <c r="H8" s="4" t="s">
        <v>158</v>
      </c>
    </row>
    <row r="9" ht="15" spans="1:8">
      <c r="A9" s="4" t="s">
        <v>48</v>
      </c>
      <c r="B9" s="4" t="s">
        <v>40</v>
      </c>
      <c r="C9" s="4">
        <v>700</v>
      </c>
      <c r="D9" s="4">
        <v>0.174</v>
      </c>
      <c r="E9" s="4">
        <f t="shared" si="0"/>
        <v>121.8</v>
      </c>
      <c r="F9" s="4">
        <v>2.796</v>
      </c>
      <c r="G9" s="4" t="s">
        <v>46</v>
      </c>
      <c r="H9" s="4" t="s">
        <v>158</v>
      </c>
    </row>
    <row r="10" ht="15" spans="1:8">
      <c r="A10" s="4" t="s">
        <v>74</v>
      </c>
      <c r="B10" s="4" t="s">
        <v>72</v>
      </c>
      <c r="C10" s="4">
        <v>8400</v>
      </c>
      <c r="D10" s="4">
        <v>0.5</v>
      </c>
      <c r="E10" s="4">
        <f t="shared" si="0"/>
        <v>4200</v>
      </c>
      <c r="F10" s="4">
        <v>22.704</v>
      </c>
      <c r="G10" s="4" t="s">
        <v>46</v>
      </c>
      <c r="H10" s="4" t="s">
        <v>158</v>
      </c>
    </row>
    <row r="11" ht="15" spans="1:8">
      <c r="A11" s="4" t="s">
        <v>62</v>
      </c>
      <c r="B11" s="4" t="s">
        <v>60</v>
      </c>
      <c r="C11" s="4">
        <v>3000</v>
      </c>
      <c r="D11" s="4">
        <v>0.01316</v>
      </c>
      <c r="E11" s="4">
        <f t="shared" si="0"/>
        <v>39.48</v>
      </c>
      <c r="F11" s="4">
        <v>0.177</v>
      </c>
      <c r="G11" s="4" t="s">
        <v>55</v>
      </c>
      <c r="H11" s="4" t="s">
        <v>152</v>
      </c>
    </row>
    <row r="12" ht="15" spans="1:8">
      <c r="A12" s="4" t="s">
        <v>84</v>
      </c>
      <c r="B12" s="4" t="s">
        <v>80</v>
      </c>
      <c r="C12" s="4">
        <v>3000</v>
      </c>
      <c r="D12" s="4">
        <v>0.0095</v>
      </c>
      <c r="E12" s="4">
        <f t="shared" si="0"/>
        <v>28.5</v>
      </c>
      <c r="F12" s="4">
        <v>0.163</v>
      </c>
      <c r="G12" s="4" t="s">
        <v>83</v>
      </c>
      <c r="H12" s="4" t="s">
        <v>156</v>
      </c>
    </row>
    <row r="13" ht="15.75" spans="1:8">
      <c r="A13" s="5"/>
      <c r="B13" s="6" t="s">
        <v>159</v>
      </c>
      <c r="C13" s="7">
        <f>SUM(C2:C12)</f>
        <v>86180</v>
      </c>
      <c r="D13" s="6" t="s">
        <v>160</v>
      </c>
      <c r="E13" s="7">
        <f>SUM(E2:E12)</f>
        <v>11639.99</v>
      </c>
      <c r="F13" s="8">
        <v>83.848</v>
      </c>
      <c r="G13" s="5"/>
      <c r="H13" s="5"/>
    </row>
  </sheetData>
  <autoFilter ref="A1:H13">
    <extLst/>
  </autoFilter>
  <conditionalFormatting sqref="B1:B2 B5:B13">
    <cfRule type="duplicateValues" dxfId="0" priority="4" stopIfTrue="1"/>
  </conditionalFormatting>
  <pageMargins left="0.7" right="0.7" top="0.75" bottom="0.75" header="0.3" footer="0.3"/>
  <pageSetup paperSize="9" scale="62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9A2A7F-C421-43AB-82EC-50DF9F1927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PACKING</vt:lpstr>
      <vt:lpstr>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101774</dc:creator>
  <cp:lastModifiedBy>D000208</cp:lastModifiedBy>
  <dcterms:created xsi:type="dcterms:W3CDTF">2025-12-10T07:43:00Z</dcterms:created>
  <cp:lastPrinted>2025-12-17T03:37:00Z</cp:lastPrinted>
  <dcterms:modified xsi:type="dcterms:W3CDTF">2025-12-18T02:04:17Z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ABB1C982D7FF40CFBBC5122CED3A204E</vt:lpwstr>
  </property>
  <property fmtid="{D5CDD505-2E9C-101B-9397-08002B2CF9AE}" pid="3" name="KSOProductBuildVer">
    <vt:lpwstr>2052-11.8.2.12118</vt:lpwstr>
  </property>
</Properties>
</file>